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pivotTables/pivotTable3.xml" ContentType="application/vnd.openxmlformats-officedocument.spreadsheetml.pivotTable+xml"/>
  <Override PartName="/xl/drawings/drawing8.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59907c6bc069efc9/Desktop/"/>
    </mc:Choice>
  </mc:AlternateContent>
  <xr:revisionPtr revIDLastSave="2812" documentId="11_51AD942B6A8FFF8FCAF5F03BE19B948B570A2C57" xr6:coauthVersionLast="47" xr6:coauthVersionMax="47" xr10:uidLastSave="{2BE84D85-F747-452E-BB7F-7FD25E37EB6B}"/>
  <bookViews>
    <workbookView xWindow="-108" yWindow="-108" windowWidth="23256" windowHeight="12456" firstSheet="2" activeTab="3" xr2:uid="{00000000-000D-0000-FFFF-FFFF00000000}"/>
  </bookViews>
  <sheets>
    <sheet name="BROADER CATEGORIES" sheetId="2" r:id="rId1"/>
    <sheet name="BROADER CATEGORY SOL" sheetId="7" r:id="rId2"/>
    <sheet name="Y-O-Y HIGHER INF RATE" sheetId="3" r:id="rId3"/>
    <sheet name="M-O-M HIGH &amp; LOW INF" sheetId="4" r:id="rId4"/>
    <sheet name="PRE VS POST COVID INF" sheetId="5" r:id="rId5"/>
    <sheet name="Oil Inflation analysis" sheetId="10" r:id="rId6"/>
  </sheets>
  <definedNames>
    <definedName name="_xlnm._FilterDatabase" localSheetId="1" hidden="1">'BROADER CATEGORY SOL'!$A$1:$D$14</definedName>
    <definedName name="ExternalData_1" localSheetId="0" hidden="1">'BROADER CATEGORIES'!$A$1:$AG$367</definedName>
  </definedNames>
  <calcPr calcId="191029"/>
  <pivotCaches>
    <pivotCache cacheId="0" r:id="rId7"/>
    <pivotCache cacheId="1" r:id="rId8"/>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3" i="10" l="1"/>
  <c r="AT179" i="2"/>
  <c r="AU2" i="2"/>
  <c r="AI2" i="2" s="1"/>
  <c r="AU3" i="2"/>
  <c r="AN3" i="2" s="1"/>
  <c r="AU4" i="2"/>
  <c r="AK4" i="2" s="1"/>
  <c r="AU5" i="2"/>
  <c r="AN5" i="2" s="1"/>
  <c r="AU6" i="2"/>
  <c r="AU7" i="2"/>
  <c r="AI7" i="2" s="1"/>
  <c r="AU8" i="2"/>
  <c r="AU9" i="2"/>
  <c r="AK9" i="2" s="1"/>
  <c r="AU10" i="2"/>
  <c r="AM10" i="2" s="1"/>
  <c r="AU11" i="2"/>
  <c r="AU12" i="2"/>
  <c r="AM12" i="2" s="1"/>
  <c r="AU13" i="2"/>
  <c r="AU14" i="2"/>
  <c r="AU15" i="2"/>
  <c r="AL15" i="2" s="1"/>
  <c r="AU16" i="2"/>
  <c r="AM16" i="2" s="1"/>
  <c r="AU17" i="2"/>
  <c r="AL17" i="2" s="1"/>
  <c r="AU18" i="2"/>
  <c r="AU19" i="2"/>
  <c r="AI19" i="2" s="1"/>
  <c r="AU20" i="2"/>
  <c r="AI20" i="2" s="1"/>
  <c r="AU21" i="2"/>
  <c r="AI21" i="2" s="1"/>
  <c r="AU22" i="2"/>
  <c r="AI22" i="2" s="1"/>
  <c r="AU23" i="2"/>
  <c r="AJ23" i="2" s="1"/>
  <c r="AU24" i="2"/>
  <c r="AU25" i="2"/>
  <c r="AU26" i="2"/>
  <c r="AH26" i="2" s="1"/>
  <c r="AU27" i="2"/>
  <c r="AQ27" i="2" s="1"/>
  <c r="AU28" i="2"/>
  <c r="AJ28" i="2" s="1"/>
  <c r="AU29" i="2"/>
  <c r="AM29" i="2" s="1"/>
  <c r="AU30" i="2"/>
  <c r="AU31" i="2"/>
  <c r="AN31" i="2" s="1"/>
  <c r="AU32" i="2"/>
  <c r="AH32" i="2" s="1"/>
  <c r="AU33" i="2"/>
  <c r="AU34" i="2"/>
  <c r="AL34" i="2" s="1"/>
  <c r="AU35" i="2"/>
  <c r="AU36" i="2"/>
  <c r="AU37" i="2"/>
  <c r="AU38" i="2"/>
  <c r="AI38" i="2" s="1"/>
  <c r="AU39" i="2"/>
  <c r="AQ39" i="2" s="1"/>
  <c r="AU40" i="2"/>
  <c r="AP40" i="2" s="1"/>
  <c r="AU41" i="2"/>
  <c r="AH41" i="2" s="1"/>
  <c r="AU42" i="2"/>
  <c r="AU43" i="2"/>
  <c r="AU44" i="2"/>
  <c r="AH44" i="2" s="1"/>
  <c r="AU45" i="2"/>
  <c r="AL45" i="2" s="1"/>
  <c r="AU46" i="2"/>
  <c r="AK46" i="2" s="1"/>
  <c r="AU47" i="2"/>
  <c r="AK47" i="2" s="1"/>
  <c r="AU48" i="2"/>
  <c r="AK48" i="2" s="1"/>
  <c r="AU49" i="2"/>
  <c r="AH49" i="2" s="1"/>
  <c r="AU50" i="2"/>
  <c r="AU51" i="2"/>
  <c r="AM51" i="2" s="1"/>
  <c r="AU52" i="2"/>
  <c r="AQ52" i="2" s="1"/>
  <c r="AU53" i="2"/>
  <c r="AH53" i="2" s="1"/>
  <c r="AU54" i="2"/>
  <c r="AK54" i="2" s="1"/>
  <c r="AU55" i="2"/>
  <c r="AU56" i="2"/>
  <c r="AJ56" i="2" s="1"/>
  <c r="AU57" i="2"/>
  <c r="AN57" i="2" s="1"/>
  <c r="AU58" i="2"/>
  <c r="AU59" i="2"/>
  <c r="AM59" i="2" s="1"/>
  <c r="AU60" i="2"/>
  <c r="AU61" i="2"/>
  <c r="AU62" i="2"/>
  <c r="AU63" i="2"/>
  <c r="AU64" i="2"/>
  <c r="AO64" i="2" s="1"/>
  <c r="AU65" i="2"/>
  <c r="AK65" i="2" s="1"/>
  <c r="AU66" i="2"/>
  <c r="AH66" i="2" s="1"/>
  <c r="AU67" i="2"/>
  <c r="AU68" i="2"/>
  <c r="AU69" i="2"/>
  <c r="AU70" i="2"/>
  <c r="AJ70" i="2" s="1"/>
  <c r="AU71" i="2"/>
  <c r="AU72" i="2"/>
  <c r="AN72" i="2" s="1"/>
  <c r="AU73" i="2"/>
  <c r="AU74" i="2"/>
  <c r="AU75" i="2"/>
  <c r="AL75" i="2" s="1"/>
  <c r="AU76" i="2"/>
  <c r="AK76" i="2" s="1"/>
  <c r="AU77" i="2"/>
  <c r="AO77" i="2" s="1"/>
  <c r="AU78" i="2"/>
  <c r="AI78" i="2" s="1"/>
  <c r="AU79" i="2"/>
  <c r="AU80" i="2"/>
  <c r="AU81" i="2"/>
  <c r="AN81" i="2" s="1"/>
  <c r="AU82" i="2"/>
  <c r="AU83" i="2"/>
  <c r="AU84" i="2"/>
  <c r="AU85" i="2"/>
  <c r="AI85" i="2" s="1"/>
  <c r="AU86" i="2"/>
  <c r="AH86" i="2" s="1"/>
  <c r="AU87" i="2"/>
  <c r="AJ87" i="2" s="1"/>
  <c r="AU88" i="2"/>
  <c r="AK88" i="2" s="1"/>
  <c r="AU89" i="2"/>
  <c r="AK89" i="2" s="1"/>
  <c r="AU90" i="2"/>
  <c r="AK90" i="2" s="1"/>
  <c r="AU91" i="2"/>
  <c r="AJ91" i="2" s="1"/>
  <c r="AU92" i="2"/>
  <c r="AO92" i="2" s="1"/>
  <c r="AU93" i="2"/>
  <c r="AU94" i="2"/>
  <c r="AM94" i="2" s="1"/>
  <c r="AU95" i="2"/>
  <c r="AL95" i="2" s="1"/>
  <c r="AU96" i="2"/>
  <c r="AP96" i="2" s="1"/>
  <c r="AU97" i="2"/>
  <c r="AQ97" i="2" s="1"/>
  <c r="AU98" i="2"/>
  <c r="AL98" i="2" s="1"/>
  <c r="AU99" i="2"/>
  <c r="AH99" i="2" s="1"/>
  <c r="AU100" i="2"/>
  <c r="AH100" i="2" s="1"/>
  <c r="AU101" i="2"/>
  <c r="AH101" i="2" s="1"/>
  <c r="AU102" i="2"/>
  <c r="AP102" i="2" s="1"/>
  <c r="AU103" i="2"/>
  <c r="AU104" i="2"/>
  <c r="AU105" i="2"/>
  <c r="AP105" i="2" s="1"/>
  <c r="AU106" i="2"/>
  <c r="AU107" i="2"/>
  <c r="AJ107" i="2" s="1"/>
  <c r="AU108" i="2"/>
  <c r="AI108" i="2" s="1"/>
  <c r="AU109" i="2"/>
  <c r="AU110" i="2"/>
  <c r="AK110" i="2" s="1"/>
  <c r="AU111" i="2"/>
  <c r="AL111" i="2" s="1"/>
  <c r="AU112" i="2"/>
  <c r="AM112" i="2" s="1"/>
  <c r="AU113" i="2"/>
  <c r="AM113" i="2" s="1"/>
  <c r="AU114" i="2"/>
  <c r="AU115" i="2"/>
  <c r="AH115" i="2" s="1"/>
  <c r="AU116" i="2"/>
  <c r="AI116" i="2" s="1"/>
  <c r="AU117" i="2"/>
  <c r="AJ117" i="2" s="1"/>
  <c r="AU118" i="2"/>
  <c r="AM118" i="2" s="1"/>
  <c r="AU119" i="2"/>
  <c r="AU120" i="2"/>
  <c r="AN120" i="2" s="1"/>
  <c r="AU121" i="2"/>
  <c r="AH121" i="2" s="1"/>
  <c r="AU122" i="2"/>
  <c r="AL122" i="2" s="1"/>
  <c r="AU123" i="2"/>
  <c r="AO123" i="2" s="1"/>
  <c r="AU124" i="2"/>
  <c r="AO124" i="2" s="1"/>
  <c r="AU125" i="2"/>
  <c r="AK125" i="2" s="1"/>
  <c r="AU126" i="2"/>
  <c r="AQ126" i="2" s="1"/>
  <c r="AU127" i="2"/>
  <c r="AU128" i="2"/>
  <c r="AH128" i="2" s="1"/>
  <c r="AU129" i="2"/>
  <c r="AU130" i="2"/>
  <c r="AU131" i="2"/>
  <c r="AP131" i="2" s="1"/>
  <c r="AU132" i="2"/>
  <c r="AP132" i="2" s="1"/>
  <c r="AU133" i="2"/>
  <c r="AP133" i="2" s="1"/>
  <c r="AU134" i="2"/>
  <c r="AU135" i="2"/>
  <c r="AK135" i="2" s="1"/>
  <c r="AU136" i="2"/>
  <c r="AJ136" i="2" s="1"/>
  <c r="AU137" i="2"/>
  <c r="AH137" i="2" s="1"/>
  <c r="AU138" i="2"/>
  <c r="AU139" i="2"/>
  <c r="AU140" i="2"/>
  <c r="AU141" i="2"/>
  <c r="AU142" i="2"/>
  <c r="AU143" i="2"/>
  <c r="AI143" i="2" s="1"/>
  <c r="AU144" i="2"/>
  <c r="AI144" i="2" s="1"/>
  <c r="AU145" i="2"/>
  <c r="AI145" i="2" s="1"/>
  <c r="AU146" i="2"/>
  <c r="AL146" i="2" s="1"/>
  <c r="AU147" i="2"/>
  <c r="AJ147" i="2" s="1"/>
  <c r="AU148" i="2"/>
  <c r="AM148" i="2" s="1"/>
  <c r="AU149" i="2"/>
  <c r="AH149" i="2" s="1"/>
  <c r="AU150" i="2"/>
  <c r="AU151" i="2"/>
  <c r="AN151" i="2" s="1"/>
  <c r="AU152" i="2"/>
  <c r="AI152" i="2" s="1"/>
  <c r="AU153" i="2"/>
  <c r="AO153" i="2" s="1"/>
  <c r="AU154" i="2"/>
  <c r="AO154" i="2" s="1"/>
  <c r="AU155" i="2"/>
  <c r="AO155" i="2" s="1"/>
  <c r="AU156" i="2"/>
  <c r="AN156" i="2" s="1"/>
  <c r="AU157" i="2"/>
  <c r="AU158" i="2"/>
  <c r="AU159" i="2"/>
  <c r="AL159" i="2" s="1"/>
  <c r="AU160" i="2"/>
  <c r="AK160" i="2" s="1"/>
  <c r="AU161" i="2"/>
  <c r="AK161" i="2" s="1"/>
  <c r="AU162" i="2"/>
  <c r="AL162" i="2" s="1"/>
  <c r="AU163" i="2"/>
  <c r="AH163" i="2" s="1"/>
  <c r="AU164" i="2"/>
  <c r="AM164" i="2" s="1"/>
  <c r="AU165" i="2"/>
  <c r="AU166" i="2"/>
  <c r="AU167" i="2"/>
  <c r="AU168" i="2"/>
  <c r="AU169" i="2"/>
  <c r="AU170" i="2"/>
  <c r="AL170" i="2" s="1"/>
  <c r="AU171" i="2"/>
  <c r="AJ171" i="2" s="1"/>
  <c r="AU172" i="2"/>
  <c r="AJ172" i="2" s="1"/>
  <c r="AU173" i="2"/>
  <c r="AN173" i="2" s="1"/>
  <c r="AU174" i="2"/>
  <c r="AP174" i="2" s="1"/>
  <c r="AU175" i="2"/>
  <c r="AH175" i="2" s="1"/>
  <c r="AU176" i="2"/>
  <c r="AU177" i="2"/>
  <c r="AU178" i="2"/>
  <c r="AU179" i="2"/>
  <c r="AU180" i="2"/>
  <c r="AH180" i="2" s="1"/>
  <c r="AU181" i="2"/>
  <c r="AU182" i="2"/>
  <c r="AI182" i="2" s="1"/>
  <c r="AU183" i="2"/>
  <c r="AM183" i="2" s="1"/>
  <c r="AU184" i="2"/>
  <c r="AP184" i="2" s="1"/>
  <c r="AU185" i="2"/>
  <c r="AH185" i="2" s="1"/>
  <c r="AU186" i="2"/>
  <c r="AU187" i="2"/>
  <c r="AU188" i="2"/>
  <c r="AI188" i="2" s="1"/>
  <c r="AU189" i="2"/>
  <c r="AU190" i="2"/>
  <c r="AO190" i="2" s="1"/>
  <c r="AU191" i="2"/>
  <c r="AM191" i="2" s="1"/>
  <c r="AU192" i="2"/>
  <c r="AO192" i="2" s="1"/>
  <c r="AU193" i="2"/>
  <c r="AU194" i="2"/>
  <c r="AJ194" i="2" s="1"/>
  <c r="AU195" i="2"/>
  <c r="AK195" i="2" s="1"/>
  <c r="AU196" i="2"/>
  <c r="AK196" i="2" s="1"/>
  <c r="AU197" i="2"/>
  <c r="AK197" i="2" s="1"/>
  <c r="AU198" i="2"/>
  <c r="AU199" i="2"/>
  <c r="AH199" i="2" s="1"/>
  <c r="AU200" i="2"/>
  <c r="AQ200" i="2" s="1"/>
  <c r="AU201" i="2"/>
  <c r="AQ201" i="2" s="1"/>
  <c r="AU202" i="2"/>
  <c r="AU203" i="2"/>
  <c r="AU204" i="2"/>
  <c r="AU205" i="2"/>
  <c r="AU206" i="2"/>
  <c r="AU207" i="2"/>
  <c r="AO207" i="2" s="1"/>
  <c r="AU208" i="2"/>
  <c r="AM208" i="2" s="1"/>
  <c r="AU209" i="2"/>
  <c r="AH209" i="2" s="1"/>
  <c r="AU210" i="2"/>
  <c r="AJ210" i="2" s="1"/>
  <c r="AU211" i="2"/>
  <c r="AO211" i="2" s="1"/>
  <c r="AU212" i="2"/>
  <c r="AU213" i="2"/>
  <c r="AU214" i="2"/>
  <c r="AP214" i="2" s="1"/>
  <c r="AU215" i="2"/>
  <c r="AU216" i="2"/>
  <c r="AU217" i="2"/>
  <c r="AU218" i="2"/>
  <c r="AH218" i="2" s="1"/>
  <c r="AU219" i="2"/>
  <c r="AJ219" i="2" s="1"/>
  <c r="AU220" i="2"/>
  <c r="AH220" i="2" s="1"/>
  <c r="AU221" i="2"/>
  <c r="AN221" i="2" s="1"/>
  <c r="AU222" i="2"/>
  <c r="AK222" i="2" s="1"/>
  <c r="AU223" i="2"/>
  <c r="AU224" i="2"/>
  <c r="AU225" i="2"/>
  <c r="AM225" i="2" s="1"/>
  <c r="AU226" i="2"/>
  <c r="AQ226" i="2" s="1"/>
  <c r="AU227" i="2"/>
  <c r="AI227" i="2" s="1"/>
  <c r="AU228" i="2"/>
  <c r="AU229" i="2"/>
  <c r="AU230" i="2"/>
  <c r="AJ230" i="2" s="1"/>
  <c r="AU231" i="2"/>
  <c r="AM231" i="2" s="1"/>
  <c r="AU232" i="2"/>
  <c r="AI232" i="2" s="1"/>
  <c r="AU233" i="2"/>
  <c r="AK233" i="2" s="1"/>
  <c r="AU234" i="2"/>
  <c r="AU235" i="2"/>
  <c r="AP235" i="2" s="1"/>
  <c r="AU236" i="2"/>
  <c r="AU237" i="2"/>
  <c r="AU238" i="2"/>
  <c r="AN238" i="2" s="1"/>
  <c r="AU239" i="2"/>
  <c r="AU240" i="2"/>
  <c r="AU241" i="2"/>
  <c r="AU242" i="2"/>
  <c r="AM242" i="2" s="1"/>
  <c r="AU243" i="2"/>
  <c r="AH243" i="2" s="1"/>
  <c r="AU244" i="2"/>
  <c r="AJ244" i="2" s="1"/>
  <c r="AU245" i="2"/>
  <c r="AP245" i="2" s="1"/>
  <c r="AU246" i="2"/>
  <c r="AI246" i="2" s="1"/>
  <c r="AU247" i="2"/>
  <c r="AI247" i="2" s="1"/>
  <c r="AU248" i="2"/>
  <c r="AN248" i="2" s="1"/>
  <c r="AU249" i="2"/>
  <c r="AU250" i="2"/>
  <c r="AU251" i="2"/>
  <c r="AU252" i="2"/>
  <c r="AI252" i="2" s="1"/>
  <c r="AU253" i="2"/>
  <c r="AP253" i="2" s="1"/>
  <c r="AU254" i="2"/>
  <c r="AK254" i="2" s="1"/>
  <c r="AU255" i="2"/>
  <c r="AQ255" i="2" s="1"/>
  <c r="AU256" i="2"/>
  <c r="AH256" i="2" s="1"/>
  <c r="AU257" i="2"/>
  <c r="AN257" i="2" s="1"/>
  <c r="AU258" i="2"/>
  <c r="AU259" i="2"/>
  <c r="AU260" i="2"/>
  <c r="AU261" i="2"/>
  <c r="AN261" i="2" s="1"/>
  <c r="AU262" i="2"/>
  <c r="AN262" i="2" s="1"/>
  <c r="AU263" i="2"/>
  <c r="AN263" i="2" s="1"/>
  <c r="AU264" i="2"/>
  <c r="AN264" i="2" s="1"/>
  <c r="AU265" i="2"/>
  <c r="AU266" i="2"/>
  <c r="AM266" i="2" s="1"/>
  <c r="AU267" i="2"/>
  <c r="AJ267" i="2" s="1"/>
  <c r="AU268" i="2"/>
  <c r="AQ268" i="2" s="1"/>
  <c r="AU269" i="2"/>
  <c r="AQ269" i="2" s="1"/>
  <c r="AU270" i="2"/>
  <c r="AU271" i="2"/>
  <c r="AI271" i="2" s="1"/>
  <c r="AU272" i="2"/>
  <c r="AU273" i="2"/>
  <c r="AU274" i="2"/>
  <c r="AU275" i="2"/>
  <c r="AM275" i="2" s="1"/>
  <c r="AU276" i="2"/>
  <c r="AH276" i="2" s="1"/>
  <c r="AU277" i="2"/>
  <c r="AH277" i="2" s="1"/>
  <c r="AU278" i="2"/>
  <c r="AL278" i="2" s="1"/>
  <c r="AU279" i="2"/>
  <c r="AM279" i="2" s="1"/>
  <c r="AU280" i="2"/>
  <c r="AI280" i="2" s="1"/>
  <c r="AU281" i="2"/>
  <c r="AM281" i="2" s="1"/>
  <c r="AU282" i="2"/>
  <c r="AM282" i="2" s="1"/>
  <c r="AU283" i="2"/>
  <c r="AJ283" i="2" s="1"/>
  <c r="AU284" i="2"/>
  <c r="AI284" i="2" s="1"/>
  <c r="AU285" i="2"/>
  <c r="AI285" i="2" s="1"/>
  <c r="AU286" i="2"/>
  <c r="AU287" i="2"/>
  <c r="AI287" i="2" s="1"/>
  <c r="AU288" i="2"/>
  <c r="AU289" i="2"/>
  <c r="AU290" i="2"/>
  <c r="AI290" i="2" s="1"/>
  <c r="AU291" i="2"/>
  <c r="AN291" i="2" s="1"/>
  <c r="AU292" i="2"/>
  <c r="AP292" i="2" s="1"/>
  <c r="AU293" i="2"/>
  <c r="AH293" i="2" s="1"/>
  <c r="AU294" i="2"/>
  <c r="AK294" i="2" s="1"/>
  <c r="AU295" i="2"/>
  <c r="AH295" i="2" s="1"/>
  <c r="AU296" i="2"/>
  <c r="AU297" i="2"/>
  <c r="AU298" i="2"/>
  <c r="AU299" i="2"/>
  <c r="AK299" i="2" s="1"/>
  <c r="AU300" i="2"/>
  <c r="AU301" i="2"/>
  <c r="AU302" i="2"/>
  <c r="AU303" i="2"/>
  <c r="AL303" i="2" s="1"/>
  <c r="AU304" i="2"/>
  <c r="AL304" i="2" s="1"/>
  <c r="AU305" i="2"/>
  <c r="AJ305" i="2" s="1"/>
  <c r="AU306" i="2"/>
  <c r="AH306" i="2" s="1"/>
  <c r="AU307" i="2"/>
  <c r="AH307" i="2" s="1"/>
  <c r="AU308" i="2"/>
  <c r="AU309" i="2"/>
  <c r="AU310" i="2"/>
  <c r="AU311" i="2"/>
  <c r="AU312" i="2"/>
  <c r="AU313" i="2"/>
  <c r="AU314" i="2"/>
  <c r="AO314" i="2" s="1"/>
  <c r="AU315" i="2"/>
  <c r="AN315" i="2" s="1"/>
  <c r="AU316" i="2"/>
  <c r="AN316" i="2" s="1"/>
  <c r="AU317" i="2"/>
  <c r="AJ317" i="2" s="1"/>
  <c r="AU318" i="2"/>
  <c r="AH318" i="2" s="1"/>
  <c r="AU319" i="2"/>
  <c r="AL319" i="2" s="1"/>
  <c r="AU320" i="2"/>
  <c r="AI320" i="2" s="1"/>
  <c r="AU321" i="2"/>
  <c r="AK321" i="2" s="1"/>
  <c r="AU322" i="2"/>
  <c r="AN322" i="2" s="1"/>
  <c r="AU323" i="2"/>
  <c r="AL323" i="2" s="1"/>
  <c r="AU324" i="2"/>
  <c r="AQ324" i="2" s="1"/>
  <c r="AU325" i="2"/>
  <c r="AQ325" i="2" s="1"/>
  <c r="AU326" i="2"/>
  <c r="AK326" i="2" s="1"/>
  <c r="AU327" i="2"/>
  <c r="AP327" i="2" s="1"/>
  <c r="AU328" i="2"/>
  <c r="AP328" i="2" s="1"/>
  <c r="AU329" i="2"/>
  <c r="AN329" i="2" s="1"/>
  <c r="AU330" i="2"/>
  <c r="AJ330" i="2" s="1"/>
  <c r="AU331" i="2"/>
  <c r="AN331" i="2" s="1"/>
  <c r="AU332" i="2"/>
  <c r="AU333" i="2"/>
  <c r="AP333" i="2" s="1"/>
  <c r="AU334" i="2"/>
  <c r="AI334" i="2" s="1"/>
  <c r="AU335" i="2"/>
  <c r="AU336" i="2"/>
  <c r="AU337" i="2"/>
  <c r="AU338" i="2"/>
  <c r="AU339" i="2"/>
  <c r="AM339" i="2" s="1"/>
  <c r="AU340" i="2"/>
  <c r="AH340" i="2" s="1"/>
  <c r="AU341" i="2"/>
  <c r="AL341" i="2" s="1"/>
  <c r="AU342" i="2"/>
  <c r="AH342" i="2" s="1"/>
  <c r="AU343" i="2"/>
  <c r="AU344" i="2"/>
  <c r="AU345" i="2"/>
  <c r="AO345" i="2" s="1"/>
  <c r="AU346" i="2"/>
  <c r="AN346" i="2" s="1"/>
  <c r="AU347" i="2"/>
  <c r="AP347" i="2" s="1"/>
  <c r="AU348" i="2"/>
  <c r="AJ348" i="2" s="1"/>
  <c r="AU349" i="2"/>
  <c r="AU350" i="2"/>
  <c r="AJ350" i="2" s="1"/>
  <c r="AU351" i="2"/>
  <c r="AK351" i="2" s="1"/>
  <c r="AU352" i="2"/>
  <c r="AK352" i="2" s="1"/>
  <c r="AU353" i="2"/>
  <c r="AH353" i="2" s="1"/>
  <c r="AU354" i="2"/>
  <c r="AU355" i="2"/>
  <c r="AU356" i="2"/>
  <c r="AH356" i="2" s="1"/>
  <c r="AU357" i="2"/>
  <c r="AU358" i="2"/>
  <c r="AU359" i="2"/>
  <c r="AU360" i="2"/>
  <c r="AU361" i="2"/>
  <c r="AU362" i="2"/>
  <c r="AU363" i="2"/>
  <c r="AL363" i="2" s="1"/>
  <c r="AU364" i="2"/>
  <c r="AP364" i="2" s="1"/>
  <c r="AU365" i="2"/>
  <c r="AJ365" i="2" s="1"/>
  <c r="AU366" i="2"/>
  <c r="AN366" i="2" s="1"/>
  <c r="AU367" i="2"/>
  <c r="B35" i="10"/>
  <c r="B34"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 i="10"/>
  <c r="AH352" i="2" l="1"/>
  <c r="AH305" i="2"/>
  <c r="AH196" i="2"/>
  <c r="AH124" i="2"/>
  <c r="AK148" i="2"/>
  <c r="AL52" i="2"/>
  <c r="AM340" i="2"/>
  <c r="AM317" i="2"/>
  <c r="AM316" i="2"/>
  <c r="AM100" i="2"/>
  <c r="AM28" i="2"/>
  <c r="AN244" i="2"/>
  <c r="AN208" i="2"/>
  <c r="AJ208" i="2"/>
  <c r="AJ196" i="2"/>
  <c r="AO340" i="2"/>
  <c r="AO76" i="2"/>
  <c r="AJ209" i="2"/>
  <c r="AJ17" i="2"/>
  <c r="AK304" i="2"/>
  <c r="AP175" i="2"/>
  <c r="AH65" i="2"/>
  <c r="AK53" i="2"/>
  <c r="AH5" i="2"/>
  <c r="AL364" i="2"/>
  <c r="AO232" i="2"/>
  <c r="AI126" i="2"/>
  <c r="AL292" i="2"/>
  <c r="AO220" i="2"/>
  <c r="AJ280" i="2"/>
  <c r="AL280" i="2"/>
  <c r="AO89" i="2"/>
  <c r="AK2" i="2"/>
  <c r="AI117" i="2"/>
  <c r="AJ16" i="2"/>
  <c r="AL184" i="2"/>
  <c r="AN209" i="2"/>
  <c r="AP173" i="2"/>
  <c r="AH278" i="2"/>
  <c r="AH246" i="2"/>
  <c r="AH245" i="2"/>
  <c r="AI46" i="2"/>
  <c r="AK221" i="2"/>
  <c r="AN149" i="2"/>
  <c r="AP172" i="2"/>
  <c r="AH244" i="2"/>
  <c r="AJ364" i="2"/>
  <c r="AK208" i="2"/>
  <c r="AL88" i="2"/>
  <c r="AN125" i="2"/>
  <c r="AP76" i="2"/>
  <c r="AJ290" i="2"/>
  <c r="AH197" i="2"/>
  <c r="AJ341" i="2"/>
  <c r="AK149" i="2"/>
  <c r="AL53" i="2"/>
  <c r="AN124" i="2"/>
  <c r="AP5" i="2"/>
  <c r="AP291" i="2"/>
  <c r="AK207" i="2"/>
  <c r="AN243" i="2"/>
  <c r="AH255" i="2"/>
  <c r="AK159" i="2"/>
  <c r="AM135" i="2"/>
  <c r="AL279" i="2"/>
  <c r="AJ2" i="2"/>
  <c r="AN135" i="2"/>
  <c r="AJ363" i="2"/>
  <c r="AK87" i="2"/>
  <c r="AJ135" i="2"/>
  <c r="AO75" i="2"/>
  <c r="AH304" i="2"/>
  <c r="AJ110" i="2"/>
  <c r="AM315" i="2"/>
  <c r="AH303" i="2"/>
  <c r="AH184" i="2"/>
  <c r="AJ339" i="2"/>
  <c r="AJ89" i="2"/>
  <c r="AK225" i="2"/>
  <c r="AK52" i="2"/>
  <c r="AL161" i="2"/>
  <c r="AM256" i="2"/>
  <c r="AN111" i="2"/>
  <c r="AP317" i="2"/>
  <c r="AQ363" i="2"/>
  <c r="AJ27" i="2"/>
  <c r="AM195" i="2"/>
  <c r="AH123" i="2"/>
  <c r="AM147" i="2"/>
  <c r="AP183" i="2"/>
  <c r="AL87" i="2"/>
  <c r="AM111" i="2"/>
  <c r="AH351" i="2"/>
  <c r="AH75" i="2"/>
  <c r="AJ15" i="2"/>
  <c r="AJ207" i="2"/>
  <c r="AM99" i="2"/>
  <c r="AK325" i="2"/>
  <c r="AM87" i="2"/>
  <c r="AP87" i="2"/>
  <c r="AH51" i="2"/>
  <c r="AL183" i="2"/>
  <c r="AH195" i="2"/>
  <c r="AJ340" i="2"/>
  <c r="AK303" i="2"/>
  <c r="AM27" i="2"/>
  <c r="AN112" i="2"/>
  <c r="AH280" i="2"/>
  <c r="AH183" i="2"/>
  <c r="AH4" i="2"/>
  <c r="AJ292" i="2"/>
  <c r="AJ88" i="2"/>
  <c r="AK51" i="2"/>
  <c r="AL160" i="2"/>
  <c r="AN365" i="2"/>
  <c r="AN27" i="2"/>
  <c r="AP316" i="2"/>
  <c r="AQ315" i="2"/>
  <c r="AJ26" i="2"/>
  <c r="AO327" i="2"/>
  <c r="AH122" i="2"/>
  <c r="AH111" i="2"/>
  <c r="AO219" i="2"/>
  <c r="AK147" i="2"/>
  <c r="AH279" i="2"/>
  <c r="AH135" i="2"/>
  <c r="AH3" i="2"/>
  <c r="AJ291" i="2"/>
  <c r="AK3" i="2"/>
  <c r="AL147" i="2"/>
  <c r="AM196" i="2"/>
  <c r="AN363" i="2"/>
  <c r="AO352" i="2"/>
  <c r="AQ123" i="2"/>
  <c r="AI332" i="2"/>
  <c r="AL332" i="2"/>
  <c r="AH332" i="2"/>
  <c r="AJ332" i="2"/>
  <c r="AN367" i="2"/>
  <c r="AJ367" i="2"/>
  <c r="AJ103" i="2"/>
  <c r="AH103" i="2"/>
  <c r="AI210" i="2"/>
  <c r="AO210" i="2"/>
  <c r="AL174" i="2"/>
  <c r="AH174" i="2"/>
  <c r="AJ174" i="2"/>
  <c r="AL66" i="2"/>
  <c r="AI66" i="2"/>
  <c r="AN30" i="2"/>
  <c r="AM30" i="2"/>
  <c r="AP30" i="2"/>
  <c r="AJ90" i="2"/>
  <c r="AK318" i="2"/>
  <c r="AN210" i="2"/>
  <c r="AQ225" i="2"/>
  <c r="AI225" i="2"/>
  <c r="AN308" i="2"/>
  <c r="AL308" i="2"/>
  <c r="AO236" i="2"/>
  <c r="AL236" i="2"/>
  <c r="AM212" i="2"/>
  <c r="AI212" i="2"/>
  <c r="AM80" i="2"/>
  <c r="AN80" i="2"/>
  <c r="AK342" i="2"/>
  <c r="AI342" i="2"/>
  <c r="AL342" i="2"/>
  <c r="AP258" i="2"/>
  <c r="AH258" i="2"/>
  <c r="AJ186" i="2"/>
  <c r="AL186" i="2"/>
  <c r="AO150" i="2"/>
  <c r="AN150" i="2"/>
  <c r="AM150" i="2"/>
  <c r="AL42" i="2"/>
  <c r="AJ42" i="2"/>
  <c r="AP6" i="2"/>
  <c r="AO6" i="2"/>
  <c r="AP103" i="2"/>
  <c r="AK150" i="2"/>
  <c r="AP318" i="2"/>
  <c r="AH7" i="2"/>
  <c r="AH6" i="2"/>
  <c r="AI237" i="2"/>
  <c r="AL237" i="2"/>
  <c r="AH224" i="2"/>
  <c r="AI224" i="2"/>
  <c r="AM224" i="2"/>
  <c r="AM104" i="2"/>
  <c r="AH104" i="2"/>
  <c r="AQ43" i="2"/>
  <c r="AL43" i="2"/>
  <c r="AH56" i="2"/>
  <c r="AM366" i="2"/>
  <c r="AH366" i="2"/>
  <c r="AJ366" i="2"/>
  <c r="AK366" i="2"/>
  <c r="AQ306" i="2"/>
  <c r="AM306" i="2"/>
  <c r="AQ270" i="2"/>
  <c r="AJ270" i="2"/>
  <c r="AK270" i="2"/>
  <c r="AK234" i="2"/>
  <c r="AP234" i="2"/>
  <c r="AM198" i="2"/>
  <c r="AH198" i="2"/>
  <c r="AK198" i="2"/>
  <c r="AI162" i="2"/>
  <c r="AK162" i="2"/>
  <c r="AJ162" i="2"/>
  <c r="AH162" i="2"/>
  <c r="AP162" i="2"/>
  <c r="AJ102" i="2"/>
  <c r="AH102" i="2"/>
  <c r="AI54" i="2"/>
  <c r="AM54" i="2"/>
  <c r="AI18" i="2"/>
  <c r="AK18" i="2"/>
  <c r="AH247" i="2"/>
  <c r="AK66" i="2"/>
  <c r="AM318" i="2"/>
  <c r="AH341" i="2"/>
  <c r="AK124" i="2"/>
  <c r="AL340" i="2"/>
  <c r="AL244" i="2"/>
  <c r="AN352" i="2"/>
  <c r="AN197" i="2"/>
  <c r="AO303" i="2"/>
  <c r="AO208" i="2"/>
  <c r="AO16" i="2"/>
  <c r="AP267" i="2"/>
  <c r="AP75" i="2"/>
  <c r="AQ303" i="2"/>
  <c r="AQ305" i="2"/>
  <c r="AK280" i="2"/>
  <c r="AH339" i="2"/>
  <c r="AJ268" i="2"/>
  <c r="AL339" i="2"/>
  <c r="AL136" i="2"/>
  <c r="AN99" i="2"/>
  <c r="AQ291" i="2"/>
  <c r="AH161" i="2"/>
  <c r="AH28" i="2"/>
  <c r="AJ328" i="2"/>
  <c r="AK112" i="2"/>
  <c r="AL27" i="2"/>
  <c r="AN195" i="2"/>
  <c r="AO159" i="2"/>
  <c r="AP51" i="2"/>
  <c r="AH329" i="2"/>
  <c r="AJ245" i="2"/>
  <c r="AK364" i="2"/>
  <c r="AK16" i="2"/>
  <c r="AL232" i="2"/>
  <c r="AL16" i="2"/>
  <c r="AM159" i="2"/>
  <c r="AO4" i="2"/>
  <c r="AH365" i="2"/>
  <c r="AH328" i="2"/>
  <c r="AH219" i="2"/>
  <c r="AH159" i="2"/>
  <c r="AJ326" i="2"/>
  <c r="AJ51" i="2"/>
  <c r="AK363" i="2"/>
  <c r="AK268" i="2"/>
  <c r="AK15" i="2"/>
  <c r="AL231" i="2"/>
  <c r="AL124" i="2"/>
  <c r="AM268" i="2"/>
  <c r="AM52" i="2"/>
  <c r="AN159" i="2"/>
  <c r="AN40" i="2"/>
  <c r="AO269" i="2"/>
  <c r="AO136" i="2"/>
  <c r="AO3" i="2"/>
  <c r="AP233" i="2"/>
  <c r="AP124" i="2"/>
  <c r="AO209" i="2"/>
  <c r="AJ269" i="2"/>
  <c r="AJ76" i="2"/>
  <c r="AL28" i="2"/>
  <c r="AO281" i="2"/>
  <c r="AP161" i="2"/>
  <c r="AJ75" i="2"/>
  <c r="AK17" i="2"/>
  <c r="AM304" i="2"/>
  <c r="AP254" i="2"/>
  <c r="AQ219" i="2"/>
  <c r="AP148" i="2"/>
  <c r="AH364" i="2"/>
  <c r="AH327" i="2"/>
  <c r="AH257" i="2"/>
  <c r="AH17" i="2"/>
  <c r="AJ304" i="2"/>
  <c r="AJ243" i="2"/>
  <c r="AJ148" i="2"/>
  <c r="AK327" i="2"/>
  <c r="AK267" i="2"/>
  <c r="AL123" i="2"/>
  <c r="AM365" i="2"/>
  <c r="AM267" i="2"/>
  <c r="AM149" i="2"/>
  <c r="AN39" i="2"/>
  <c r="AO268" i="2"/>
  <c r="AO135" i="2"/>
  <c r="AP232" i="2"/>
  <c r="AP123" i="2"/>
  <c r="AP29" i="2"/>
  <c r="AQ147" i="2"/>
  <c r="AL245" i="2"/>
  <c r="AO17" i="2"/>
  <c r="AH233" i="2"/>
  <c r="AH232" i="2"/>
  <c r="AJ173" i="2"/>
  <c r="AK279" i="2"/>
  <c r="AK123" i="2"/>
  <c r="AM305" i="2"/>
  <c r="AN196" i="2"/>
  <c r="AO160" i="2"/>
  <c r="AP52" i="2"/>
  <c r="AH231" i="2"/>
  <c r="AJ255" i="2"/>
  <c r="AK365" i="2"/>
  <c r="AL135" i="2"/>
  <c r="AM160" i="2"/>
  <c r="AO280" i="2"/>
  <c r="AO5" i="2"/>
  <c r="AP160" i="2"/>
  <c r="AH268" i="2"/>
  <c r="AH160" i="2"/>
  <c r="AH27" i="2"/>
  <c r="AJ327" i="2"/>
  <c r="AJ52" i="2"/>
  <c r="AK269" i="2"/>
  <c r="AK111" i="2"/>
  <c r="AL125" i="2"/>
  <c r="AM303" i="2"/>
  <c r="AM53" i="2"/>
  <c r="AN160" i="2"/>
  <c r="AO279" i="2"/>
  <c r="AH363" i="2"/>
  <c r="AH136" i="2"/>
  <c r="AH76" i="2"/>
  <c r="AH16" i="2"/>
  <c r="AI146" i="2"/>
  <c r="AJ303" i="2"/>
  <c r="AK253" i="2"/>
  <c r="AL185" i="2"/>
  <c r="AM352" i="2"/>
  <c r="AM257" i="2"/>
  <c r="AP231" i="2"/>
  <c r="AP111" i="2"/>
  <c r="AQ125" i="2"/>
  <c r="AJ288" i="2"/>
  <c r="AP288" i="2"/>
  <c r="AH240" i="2"/>
  <c r="AM240" i="2"/>
  <c r="AI84" i="2"/>
  <c r="AH84" i="2"/>
  <c r="AO348" i="2"/>
  <c r="AO23" i="2"/>
  <c r="AK106" i="2"/>
  <c r="AJ106" i="2"/>
  <c r="AL357" i="2"/>
  <c r="AP357" i="2"/>
  <c r="AO357" i="2"/>
  <c r="AK357" i="2"/>
  <c r="AI357" i="2"/>
  <c r="AL309" i="2"/>
  <c r="AI309" i="2"/>
  <c r="AI261" i="2"/>
  <c r="AO261" i="2"/>
  <c r="AK213" i="2"/>
  <c r="AI213" i="2"/>
  <c r="AM213" i="2"/>
  <c r="AP213" i="2"/>
  <c r="AP189" i="2"/>
  <c r="AO189" i="2"/>
  <c r="AN189" i="2"/>
  <c r="AI141" i="2"/>
  <c r="AK141" i="2"/>
  <c r="AJ141" i="2"/>
  <c r="AQ141" i="2"/>
  <c r="AK93" i="2"/>
  <c r="AI93" i="2"/>
  <c r="AJ69" i="2"/>
  <c r="AP69" i="2"/>
  <c r="AM69" i="2"/>
  <c r="AQ21" i="2"/>
  <c r="AM21" i="2"/>
  <c r="AK70" i="2"/>
  <c r="AJ344" i="2"/>
  <c r="AI344" i="2"/>
  <c r="AN344" i="2"/>
  <c r="AQ344" i="2"/>
  <c r="AL344" i="2"/>
  <c r="AH344" i="2"/>
  <c r="AL296" i="2"/>
  <c r="AN296" i="2"/>
  <c r="AI296" i="2"/>
  <c r="AO296" i="2"/>
  <c r="AL248" i="2"/>
  <c r="AO248" i="2"/>
  <c r="AI248" i="2"/>
  <c r="AJ200" i="2"/>
  <c r="AL200" i="2"/>
  <c r="AI200" i="2"/>
  <c r="AN176" i="2"/>
  <c r="AI176" i="2"/>
  <c r="AH176" i="2"/>
  <c r="AM176" i="2"/>
  <c r="AO116" i="2"/>
  <c r="AH116" i="2"/>
  <c r="AJ68" i="2"/>
  <c r="AO68" i="2"/>
  <c r="AN68" i="2"/>
  <c r="AM68" i="2"/>
  <c r="AL68" i="2"/>
  <c r="AN20" i="2"/>
  <c r="AL20" i="2"/>
  <c r="AM20" i="2"/>
  <c r="AH20" i="2"/>
  <c r="AH48" i="2"/>
  <c r="AI104" i="2"/>
  <c r="AL92" i="2"/>
  <c r="AM34" i="2"/>
  <c r="AQ343" i="2"/>
  <c r="AL343" i="2"/>
  <c r="AH343" i="2"/>
  <c r="AL199" i="2"/>
  <c r="AI199" i="2"/>
  <c r="AJ127" i="2"/>
  <c r="AP127" i="2"/>
  <c r="AO55" i="2"/>
  <c r="AI55" i="2"/>
  <c r="AN55" i="2"/>
  <c r="AH55" i="2"/>
  <c r="AQ55" i="2"/>
  <c r="AH19" i="2"/>
  <c r="AL19" i="2"/>
  <c r="AH188" i="2"/>
  <c r="AJ175" i="2"/>
  <c r="AL295" i="2"/>
  <c r="AI343" i="2"/>
  <c r="AI164" i="2"/>
  <c r="AI163" i="2"/>
  <c r="AJ296" i="2"/>
  <c r="AJ108" i="2"/>
  <c r="AL284" i="2"/>
  <c r="AL57" i="2"/>
  <c r="AM192" i="2"/>
  <c r="AI69" i="2"/>
  <c r="AJ93" i="2"/>
  <c r="AK120" i="2"/>
  <c r="AN309" i="2"/>
  <c r="AN21" i="2"/>
  <c r="AQ104" i="2"/>
  <c r="AN300" i="2"/>
  <c r="AL300" i="2"/>
  <c r="AK300" i="2"/>
  <c r="AM239" i="2"/>
  <c r="AN239" i="2"/>
  <c r="AM321" i="2"/>
  <c r="AO321" i="2"/>
  <c r="AQ273" i="2"/>
  <c r="AO273" i="2"/>
  <c r="AO237" i="2"/>
  <c r="AM237" i="2"/>
  <c r="AK237" i="2"/>
  <c r="AN237" i="2"/>
  <c r="AK177" i="2"/>
  <c r="AN177" i="2"/>
  <c r="AI177" i="2"/>
  <c r="AM177" i="2"/>
  <c r="AI129" i="2"/>
  <c r="AQ129" i="2"/>
  <c r="AP129" i="2"/>
  <c r="AM81" i="2"/>
  <c r="AI81" i="2"/>
  <c r="AL81" i="2"/>
  <c r="AK81" i="2"/>
  <c r="AM9" i="2"/>
  <c r="AJ9" i="2"/>
  <c r="AN9" i="2"/>
  <c r="AK309" i="2"/>
  <c r="AL93" i="2"/>
  <c r="AL356" i="2"/>
  <c r="AI356" i="2"/>
  <c r="AJ356" i="2"/>
  <c r="AQ356" i="2"/>
  <c r="AM320" i="2"/>
  <c r="AO320" i="2"/>
  <c r="AJ320" i="2"/>
  <c r="AH320" i="2"/>
  <c r="AQ272" i="2"/>
  <c r="AJ272" i="2"/>
  <c r="AM236" i="2"/>
  <c r="AH236" i="2"/>
  <c r="AJ236" i="2"/>
  <c r="AJ188" i="2"/>
  <c r="AN188" i="2"/>
  <c r="AN140" i="2"/>
  <c r="AI140" i="2"/>
  <c r="AJ140" i="2"/>
  <c r="AM140" i="2"/>
  <c r="AQ140" i="2"/>
  <c r="AI92" i="2"/>
  <c r="AH92" i="2"/>
  <c r="AI56" i="2"/>
  <c r="AN56" i="2"/>
  <c r="AI8" i="2"/>
  <c r="AH8" i="2"/>
  <c r="AN8" i="2"/>
  <c r="AH140" i="2"/>
  <c r="AK69" i="2"/>
  <c r="AM143" i="2"/>
  <c r="AQ188" i="2"/>
  <c r="AP355" i="2"/>
  <c r="AI355" i="2"/>
  <c r="AQ355" i="2"/>
  <c r="AN307" i="2"/>
  <c r="AJ307" i="2"/>
  <c r="AI307" i="2"/>
  <c r="AI211" i="2"/>
  <c r="AH211" i="2"/>
  <c r="AP211" i="2"/>
  <c r="AO151" i="2"/>
  <c r="AH151" i="2"/>
  <c r="AL79" i="2"/>
  <c r="AH79" i="2"/>
  <c r="AH271" i="2"/>
  <c r="AI273" i="2"/>
  <c r="AJ248" i="2"/>
  <c r="AJ57" i="2"/>
  <c r="AL140" i="2"/>
  <c r="AL9" i="2"/>
  <c r="AN211" i="2"/>
  <c r="AO308" i="2"/>
  <c r="AO7" i="2"/>
  <c r="AI272" i="2"/>
  <c r="AI79" i="2"/>
  <c r="AM356" i="2"/>
  <c r="AH296" i="2"/>
  <c r="AH68" i="2"/>
  <c r="AI333" i="2"/>
  <c r="AI236" i="2"/>
  <c r="AI68" i="2"/>
  <c r="AJ92" i="2"/>
  <c r="AJ43" i="2"/>
  <c r="AM346" i="2"/>
  <c r="AO356" i="2"/>
  <c r="AO188" i="2"/>
  <c r="AQ296" i="2"/>
  <c r="AQ79" i="2"/>
  <c r="AL96" i="2"/>
  <c r="AN82" i="2"/>
  <c r="AM82" i="2"/>
  <c r="AI82" i="2"/>
  <c r="AO22" i="2"/>
  <c r="AN345" i="2"/>
  <c r="AM345" i="2"/>
  <c r="AL345" i="2"/>
  <c r="AL297" i="2"/>
  <c r="AK297" i="2"/>
  <c r="AP297" i="2"/>
  <c r="AM297" i="2"/>
  <c r="AP249" i="2"/>
  <c r="AL249" i="2"/>
  <c r="AO201" i="2"/>
  <c r="AL201" i="2"/>
  <c r="AK165" i="2"/>
  <c r="AI165" i="2"/>
  <c r="AN117" i="2"/>
  <c r="AM117" i="2"/>
  <c r="AP33" i="2"/>
  <c r="AL33" i="2"/>
  <c r="AO33" i="2"/>
  <c r="AK33" i="2"/>
  <c r="AI33" i="2"/>
  <c r="AN347" i="2"/>
  <c r="AQ189" i="2"/>
  <c r="AJ308" i="2"/>
  <c r="AH308" i="2"/>
  <c r="AI308" i="2"/>
  <c r="AJ260" i="2"/>
  <c r="AI260" i="2"/>
  <c r="AN260" i="2"/>
  <c r="AO260" i="2"/>
  <c r="AH260" i="2"/>
  <c r="AJ224" i="2"/>
  <c r="AL224" i="2"/>
  <c r="AI128" i="2"/>
  <c r="AJ128" i="2"/>
  <c r="AI80" i="2"/>
  <c r="AH80" i="2"/>
  <c r="AL80" i="2"/>
  <c r="AL32" i="2"/>
  <c r="AO32" i="2"/>
  <c r="AQ32" i="2"/>
  <c r="AI32" i="2"/>
  <c r="AH272" i="2"/>
  <c r="AL144" i="2"/>
  <c r="AM214" i="2"/>
  <c r="AN323" i="2"/>
  <c r="AO309" i="2"/>
  <c r="AO212" i="2"/>
  <c r="AI259" i="2"/>
  <c r="AO259" i="2"/>
  <c r="AH259" i="2"/>
  <c r="AH223" i="2"/>
  <c r="AI223" i="2"/>
  <c r="AN223" i="2"/>
  <c r="AL223" i="2"/>
  <c r="AN175" i="2"/>
  <c r="AQ175" i="2"/>
  <c r="AN139" i="2"/>
  <c r="AL139" i="2"/>
  <c r="AJ67" i="2"/>
  <c r="AN67" i="2"/>
  <c r="AP31" i="2"/>
  <c r="AQ31" i="2"/>
  <c r="AI103" i="2"/>
  <c r="AJ116" i="2"/>
  <c r="AL225" i="2"/>
  <c r="AO93" i="2"/>
  <c r="AH212" i="2"/>
  <c r="AH164" i="2"/>
  <c r="AH67" i="2"/>
  <c r="AI67" i="2"/>
  <c r="AJ212" i="2"/>
  <c r="AL177" i="2"/>
  <c r="AM261" i="2"/>
  <c r="AO177" i="2"/>
  <c r="AQ68" i="2"/>
  <c r="AO24" i="2"/>
  <c r="AK24" i="2"/>
  <c r="AJ24" i="2"/>
  <c r="AI83" i="2"/>
  <c r="AO83" i="2"/>
  <c r="AM83" i="2"/>
  <c r="AI288" i="2"/>
  <c r="AN348" i="2"/>
  <c r="AM333" i="2"/>
  <c r="AO333" i="2"/>
  <c r="AN333" i="2"/>
  <c r="AL153" i="2"/>
  <c r="AJ153" i="2"/>
  <c r="AL105" i="2"/>
  <c r="AK105" i="2"/>
  <c r="AO105" i="2"/>
  <c r="AJ105" i="2"/>
  <c r="AN45" i="2"/>
  <c r="AM45" i="2"/>
  <c r="AI45" i="2"/>
  <c r="AI190" i="2"/>
  <c r="AJ129" i="2"/>
  <c r="AN332" i="2"/>
  <c r="AM332" i="2"/>
  <c r="AM284" i="2"/>
  <c r="AJ284" i="2"/>
  <c r="AH284" i="2"/>
  <c r="AL152" i="2"/>
  <c r="AH152" i="2"/>
  <c r="AQ152" i="2"/>
  <c r="AN104" i="2"/>
  <c r="AJ104" i="2"/>
  <c r="AM44" i="2"/>
  <c r="AQ44" i="2"/>
  <c r="AI44" i="2"/>
  <c r="AI189" i="2"/>
  <c r="AQ367" i="2"/>
  <c r="AI367" i="2"/>
  <c r="AQ271" i="2"/>
  <c r="AJ271" i="2"/>
  <c r="AJ187" i="2"/>
  <c r="AL187" i="2"/>
  <c r="AK349" i="2"/>
  <c r="AP349" i="2"/>
  <c r="AJ349" i="2"/>
  <c r="AJ289" i="2"/>
  <c r="AI289" i="2"/>
  <c r="AH241" i="2"/>
  <c r="AM241" i="2"/>
  <c r="AK181" i="2"/>
  <c r="AH181" i="2"/>
  <c r="AK25" i="2"/>
  <c r="AH25" i="2"/>
  <c r="AH367" i="2"/>
  <c r="AH248" i="2"/>
  <c r="AH200" i="2"/>
  <c r="AI321" i="2"/>
  <c r="AI226" i="2"/>
  <c r="AI127" i="2"/>
  <c r="AJ211" i="2"/>
  <c r="AJ154" i="2"/>
  <c r="AL333" i="2"/>
  <c r="AL176" i="2"/>
  <c r="AL44" i="2"/>
  <c r="AN105" i="2"/>
  <c r="AO349" i="2"/>
  <c r="AO176" i="2"/>
  <c r="AO69" i="2"/>
  <c r="AQ224" i="2"/>
  <c r="AQ56" i="2"/>
  <c r="AJ354" i="2"/>
  <c r="AI354" i="2"/>
  <c r="AI258" i="2"/>
  <c r="AN258" i="2"/>
  <c r="AI222" i="2"/>
  <c r="AN222" i="2"/>
  <c r="AL222" i="2"/>
  <c r="AI114" i="2"/>
  <c r="AH114" i="2"/>
  <c r="AJ78" i="2"/>
  <c r="AL78" i="2"/>
  <c r="AK6" i="2"/>
  <c r="AN6" i="2"/>
  <c r="AH294" i="2"/>
  <c r="AI270" i="2"/>
  <c r="AI102" i="2"/>
  <c r="AJ282" i="2"/>
  <c r="AL318" i="2"/>
  <c r="AM78" i="2"/>
  <c r="AN282" i="2"/>
  <c r="AM161" i="2"/>
  <c r="AJ161" i="2"/>
  <c r="AO137" i="2"/>
  <c r="AL137" i="2"/>
  <c r="AK137" i="2"/>
  <c r="AN41" i="2"/>
  <c r="AJ41" i="2"/>
  <c r="AL317" i="2"/>
  <c r="AN281" i="2"/>
  <c r="AO53" i="2"/>
  <c r="AQ340" i="2"/>
  <c r="AN340" i="2"/>
  <c r="AK340" i="2"/>
  <c r="AO328" i="2"/>
  <c r="AK328" i="2"/>
  <c r="AM328" i="2"/>
  <c r="AL328" i="2"/>
  <c r="AK316" i="2"/>
  <c r="AJ316" i="2"/>
  <c r="AQ304" i="2"/>
  <c r="AP304" i="2"/>
  <c r="AQ292" i="2"/>
  <c r="AN292" i="2"/>
  <c r="AO292" i="2"/>
  <c r="AM292" i="2"/>
  <c r="AI256" i="2"/>
  <c r="AJ256" i="2"/>
  <c r="AK256" i="2"/>
  <c r="AP244" i="2"/>
  <c r="AM244" i="2"/>
  <c r="AJ220" i="2"/>
  <c r="AK220" i="2"/>
  <c r="AQ196" i="2"/>
  <c r="AO196" i="2"/>
  <c r="AP196" i="2"/>
  <c r="AL172" i="2"/>
  <c r="AH172" i="2"/>
  <c r="AQ160" i="2"/>
  <c r="AJ160" i="2"/>
  <c r="AN148" i="2"/>
  <c r="AH148" i="2"/>
  <c r="AN136" i="2"/>
  <c r="AK136" i="2"/>
  <c r="AQ124" i="2"/>
  <c r="AM124" i="2"/>
  <c r="AN100" i="2"/>
  <c r="AJ100" i="2"/>
  <c r="AP88" i="2"/>
  <c r="AO88" i="2"/>
  <c r="AH88" i="2"/>
  <c r="AK64" i="2"/>
  <c r="AH64" i="2"/>
  <c r="AQ40" i="2"/>
  <c r="AJ40" i="2"/>
  <c r="AH40" i="2"/>
  <c r="AN4" i="2"/>
  <c r="AJ4" i="2"/>
  <c r="AL4" i="2"/>
  <c r="AH350" i="2"/>
  <c r="AH316" i="2"/>
  <c r="AH292" i="2"/>
  <c r="AH267" i="2"/>
  <c r="AJ352" i="2"/>
  <c r="AJ279" i="2"/>
  <c r="AJ234" i="2"/>
  <c r="AK293" i="2"/>
  <c r="AK184" i="2"/>
  <c r="AL316" i="2"/>
  <c r="AL268" i="2"/>
  <c r="AL114" i="2"/>
  <c r="AN280" i="2"/>
  <c r="AN232" i="2"/>
  <c r="AN174" i="2"/>
  <c r="AN66" i="2"/>
  <c r="AO318" i="2"/>
  <c r="AO52" i="2"/>
  <c r="AN306" i="2"/>
  <c r="AI306" i="2"/>
  <c r="AN162" i="2"/>
  <c r="AM162" i="2"/>
  <c r="AN101" i="2"/>
  <c r="AJ101" i="2"/>
  <c r="AQ101" i="2"/>
  <c r="AP101" i="2"/>
  <c r="AH210" i="2"/>
  <c r="AH54" i="2"/>
  <c r="AI366" i="2"/>
  <c r="AI339" i="2"/>
  <c r="AN339" i="2"/>
  <c r="AK339" i="2"/>
  <c r="AQ339" i="2"/>
  <c r="AO339" i="2"/>
  <c r="AN327" i="2"/>
  <c r="AQ327" i="2"/>
  <c r="AL327" i="2"/>
  <c r="AO315" i="2"/>
  <c r="AJ315" i="2"/>
  <c r="AP315" i="2"/>
  <c r="AN303" i="2"/>
  <c r="AP303" i="2"/>
  <c r="AI291" i="2"/>
  <c r="AO291" i="2"/>
  <c r="AM291" i="2"/>
  <c r="AK255" i="2"/>
  <c r="AO255" i="2"/>
  <c r="AM255" i="2"/>
  <c r="AL255" i="2"/>
  <c r="AL243" i="2"/>
  <c r="AM243" i="2"/>
  <c r="AM219" i="2"/>
  <c r="AN219" i="2"/>
  <c r="AL219" i="2"/>
  <c r="AK219" i="2"/>
  <c r="AO195" i="2"/>
  <c r="AJ195" i="2"/>
  <c r="AO183" i="2"/>
  <c r="AQ183" i="2"/>
  <c r="AQ171" i="2"/>
  <c r="AL171" i="2"/>
  <c r="AH171" i="2"/>
  <c r="AI159" i="2"/>
  <c r="AJ159" i="2"/>
  <c r="AO147" i="2"/>
  <c r="AH147" i="2"/>
  <c r="AP147" i="2"/>
  <c r="AN123" i="2"/>
  <c r="AJ123" i="2"/>
  <c r="AM123" i="2"/>
  <c r="AJ99" i="2"/>
  <c r="AL99" i="2"/>
  <c r="AQ99" i="2"/>
  <c r="AO87" i="2"/>
  <c r="AQ87" i="2"/>
  <c r="AH87" i="2"/>
  <c r="AK63" i="2"/>
  <c r="AH63" i="2"/>
  <c r="AM39" i="2"/>
  <c r="AJ39" i="2"/>
  <c r="AH39" i="2"/>
  <c r="AP39" i="2"/>
  <c r="AQ15" i="2"/>
  <c r="AH15" i="2"/>
  <c r="AJ3" i="2"/>
  <c r="AL3" i="2"/>
  <c r="AH315" i="2"/>
  <c r="AH291" i="2"/>
  <c r="AH208" i="2"/>
  <c r="AH150" i="2"/>
  <c r="AH113" i="2"/>
  <c r="AH52" i="2"/>
  <c r="AJ351" i="2"/>
  <c r="AJ306" i="2"/>
  <c r="AJ232" i="2"/>
  <c r="AJ184" i="2"/>
  <c r="AJ64" i="2"/>
  <c r="AK292" i="2"/>
  <c r="AK232" i="2"/>
  <c r="AK183" i="2"/>
  <c r="AK126" i="2"/>
  <c r="AK40" i="2"/>
  <c r="AL315" i="2"/>
  <c r="AL267" i="2"/>
  <c r="AL113" i="2"/>
  <c r="AL18" i="2"/>
  <c r="AM172" i="2"/>
  <c r="AM64" i="2"/>
  <c r="AN279" i="2"/>
  <c r="AN231" i="2"/>
  <c r="AO366" i="2"/>
  <c r="AO317" i="2"/>
  <c r="AO51" i="2"/>
  <c r="AP340" i="2"/>
  <c r="AP270" i="2"/>
  <c r="AP210" i="2"/>
  <c r="AP64" i="2"/>
  <c r="AQ243" i="2"/>
  <c r="AL138" i="2"/>
  <c r="AK138" i="2"/>
  <c r="AH270" i="2"/>
  <c r="AH207" i="2"/>
  <c r="AH112" i="2"/>
  <c r="AH78" i="2"/>
  <c r="AH18" i="2"/>
  <c r="AI198" i="2"/>
  <c r="AJ231" i="2"/>
  <c r="AJ183" i="2"/>
  <c r="AJ63" i="2"/>
  <c r="AJ18" i="2"/>
  <c r="AK291" i="2"/>
  <c r="AK231" i="2"/>
  <c r="AK182" i="2"/>
  <c r="AK75" i="2"/>
  <c r="AK39" i="2"/>
  <c r="AL256" i="2"/>
  <c r="AL112" i="2"/>
  <c r="AL65" i="2"/>
  <c r="AM329" i="2"/>
  <c r="AM280" i="2"/>
  <c r="AM171" i="2"/>
  <c r="AM15" i="2"/>
  <c r="AN172" i="2"/>
  <c r="AN114" i="2"/>
  <c r="AO40" i="2"/>
  <c r="AP339" i="2"/>
  <c r="AP268" i="2"/>
  <c r="AP207" i="2"/>
  <c r="AP63" i="2"/>
  <c r="AQ350" i="2"/>
  <c r="AO350" i="2"/>
  <c r="AM350" i="2"/>
  <c r="AL350" i="2"/>
  <c r="AP350" i="2"/>
  <c r="AN350" i="2"/>
  <c r="AQ302" i="2"/>
  <c r="AP302" i="2"/>
  <c r="AK302" i="2"/>
  <c r="AO302" i="2"/>
  <c r="AN302" i="2"/>
  <c r="AL302" i="2"/>
  <c r="AM302" i="2"/>
  <c r="AH302" i="2"/>
  <c r="AJ302" i="2"/>
  <c r="AI302" i="2"/>
  <c r="AQ254" i="2"/>
  <c r="AO254" i="2"/>
  <c r="AH254" i="2"/>
  <c r="AM254" i="2"/>
  <c r="AN254" i="2"/>
  <c r="AL254" i="2"/>
  <c r="AI254" i="2"/>
  <c r="AQ206" i="2"/>
  <c r="AO206" i="2"/>
  <c r="AM206" i="2"/>
  <c r="AN206" i="2"/>
  <c r="AH206" i="2"/>
  <c r="AL206" i="2"/>
  <c r="AJ206" i="2"/>
  <c r="AP206" i="2"/>
  <c r="AQ134" i="2"/>
  <c r="AO134" i="2"/>
  <c r="AP134" i="2"/>
  <c r="AL134" i="2"/>
  <c r="AN134" i="2"/>
  <c r="AK134" i="2"/>
  <c r="AI134" i="2"/>
  <c r="AH134" i="2"/>
  <c r="AM134" i="2"/>
  <c r="AQ98" i="2"/>
  <c r="AO98" i="2"/>
  <c r="AP98" i="2"/>
  <c r="AJ98" i="2"/>
  <c r="AK98" i="2"/>
  <c r="AH98" i="2"/>
  <c r="AM98" i="2"/>
  <c r="AI98" i="2"/>
  <c r="AQ62" i="2"/>
  <c r="AO62" i="2"/>
  <c r="AN62" i="2"/>
  <c r="AK62" i="2"/>
  <c r="AH62" i="2"/>
  <c r="AP62" i="2"/>
  <c r="AJ62" i="2"/>
  <c r="AL62" i="2"/>
  <c r="AQ26" i="2"/>
  <c r="AO26" i="2"/>
  <c r="AL26" i="2"/>
  <c r="AI26" i="2"/>
  <c r="AK26" i="2"/>
  <c r="AP26" i="2"/>
  <c r="AM26" i="2"/>
  <c r="AN26" i="2"/>
  <c r="AQ14" i="2"/>
  <c r="AO14" i="2"/>
  <c r="AP14" i="2"/>
  <c r="AN14" i="2"/>
  <c r="AK14" i="2"/>
  <c r="AJ14" i="2"/>
  <c r="AH14" i="2"/>
  <c r="AM14" i="2"/>
  <c r="AL14" i="2"/>
  <c r="AI14" i="2"/>
  <c r="AP361" i="2"/>
  <c r="AN361" i="2"/>
  <c r="AO361" i="2"/>
  <c r="AL361" i="2"/>
  <c r="AQ361" i="2"/>
  <c r="AK361" i="2"/>
  <c r="AJ361" i="2"/>
  <c r="AI361" i="2"/>
  <c r="AM361" i="2"/>
  <c r="AH361" i="2"/>
  <c r="AN313" i="2"/>
  <c r="AL313" i="2"/>
  <c r="AM313" i="2"/>
  <c r="AQ313" i="2"/>
  <c r="AJ313" i="2"/>
  <c r="AI313" i="2"/>
  <c r="AP313" i="2"/>
  <c r="AK313" i="2"/>
  <c r="AO313" i="2"/>
  <c r="AN265" i="2"/>
  <c r="AL265" i="2"/>
  <c r="AQ265" i="2"/>
  <c r="AP265" i="2"/>
  <c r="AO265" i="2"/>
  <c r="AM265" i="2"/>
  <c r="AK265" i="2"/>
  <c r="AJ265" i="2"/>
  <c r="AI265" i="2"/>
  <c r="AH265" i="2"/>
  <c r="AQ205" i="2"/>
  <c r="AN205" i="2"/>
  <c r="AL205" i="2"/>
  <c r="AP205" i="2"/>
  <c r="AO205" i="2"/>
  <c r="AH205" i="2"/>
  <c r="AJ205" i="2"/>
  <c r="AM205" i="2"/>
  <c r="AK205" i="2"/>
  <c r="AQ133" i="2"/>
  <c r="AN133" i="2"/>
  <c r="AL133" i="2"/>
  <c r="AJ133" i="2"/>
  <c r="AM133" i="2"/>
  <c r="AK133" i="2"/>
  <c r="AI133" i="2"/>
  <c r="AH133" i="2"/>
  <c r="AO133" i="2"/>
  <c r="AQ360" i="2"/>
  <c r="AO360" i="2"/>
  <c r="AK360" i="2"/>
  <c r="AN360" i="2"/>
  <c r="AJ360" i="2"/>
  <c r="AI360" i="2"/>
  <c r="AP360" i="2"/>
  <c r="AM360" i="2"/>
  <c r="AL360" i="2"/>
  <c r="AH360" i="2"/>
  <c r="AP348" i="2"/>
  <c r="AH348" i="2"/>
  <c r="AL348" i="2"/>
  <c r="AQ348" i="2"/>
  <c r="AM348" i="2"/>
  <c r="AI348" i="2"/>
  <c r="AQ336" i="2"/>
  <c r="AN336" i="2"/>
  <c r="AL336" i="2"/>
  <c r="AJ336" i="2"/>
  <c r="AI336" i="2"/>
  <c r="AK336" i="2"/>
  <c r="AP336" i="2"/>
  <c r="AO336" i="2"/>
  <c r="AM336" i="2"/>
  <c r="AO324" i="2"/>
  <c r="AN324" i="2"/>
  <c r="AP324" i="2"/>
  <c r="AM324" i="2"/>
  <c r="AL324" i="2"/>
  <c r="AK324" i="2"/>
  <c r="AH324" i="2"/>
  <c r="AJ324" i="2"/>
  <c r="AI324" i="2"/>
  <c r="AO312" i="2"/>
  <c r="AN312" i="2"/>
  <c r="AM312" i="2"/>
  <c r="AL312" i="2"/>
  <c r="AQ312" i="2"/>
  <c r="AJ312" i="2"/>
  <c r="AI312" i="2"/>
  <c r="AP312" i="2"/>
  <c r="AK312" i="2"/>
  <c r="AQ300" i="2"/>
  <c r="AO300" i="2"/>
  <c r="AH300" i="2"/>
  <c r="AP300" i="2"/>
  <c r="AJ300" i="2"/>
  <c r="AI300" i="2"/>
  <c r="AN288" i="2"/>
  <c r="AO288" i="2"/>
  <c r="AK288" i="2"/>
  <c r="AQ288" i="2"/>
  <c r="AH288" i="2"/>
  <c r="AL288" i="2"/>
  <c r="AM288" i="2"/>
  <c r="AQ276" i="2"/>
  <c r="AL276" i="2"/>
  <c r="AO276" i="2"/>
  <c r="AP276" i="2"/>
  <c r="AM276" i="2"/>
  <c r="AJ276" i="2"/>
  <c r="AN276" i="2"/>
  <c r="AI276" i="2"/>
  <c r="AK276" i="2"/>
  <c r="AQ264" i="2"/>
  <c r="AO264" i="2"/>
  <c r="AM264" i="2"/>
  <c r="AJ264" i="2"/>
  <c r="AI264" i="2"/>
  <c r="AK264" i="2"/>
  <c r="AP264" i="2"/>
  <c r="AH264" i="2"/>
  <c r="AL264" i="2"/>
  <c r="AP252" i="2"/>
  <c r="AN252" i="2"/>
  <c r="AH252" i="2"/>
  <c r="AO252" i="2"/>
  <c r="AM252" i="2"/>
  <c r="AL252" i="2"/>
  <c r="AQ252" i="2"/>
  <c r="AK252" i="2"/>
  <c r="AN240" i="2"/>
  <c r="AP240" i="2"/>
  <c r="AQ240" i="2"/>
  <c r="AK240" i="2"/>
  <c r="AO240" i="2"/>
  <c r="AJ240" i="2"/>
  <c r="AI240" i="2"/>
  <c r="AO228" i="2"/>
  <c r="AL228" i="2"/>
  <c r="AM228" i="2"/>
  <c r="AK228" i="2"/>
  <c r="AN228" i="2"/>
  <c r="AP228" i="2"/>
  <c r="AQ228" i="2"/>
  <c r="AH228" i="2"/>
  <c r="AJ228" i="2"/>
  <c r="AQ216" i="2"/>
  <c r="AO216" i="2"/>
  <c r="AN216" i="2"/>
  <c r="AM216" i="2"/>
  <c r="AK216" i="2"/>
  <c r="AP216" i="2"/>
  <c r="AJ216" i="2"/>
  <c r="AI216" i="2"/>
  <c r="AL216" i="2"/>
  <c r="AH216" i="2"/>
  <c r="AP204" i="2"/>
  <c r="AO204" i="2"/>
  <c r="AN204" i="2"/>
  <c r="AH204" i="2"/>
  <c r="AL204" i="2"/>
  <c r="AM204" i="2"/>
  <c r="AQ204" i="2"/>
  <c r="AI204" i="2"/>
  <c r="AJ204" i="2"/>
  <c r="AK204" i="2"/>
  <c r="AQ192" i="2"/>
  <c r="AP192" i="2"/>
  <c r="AK192" i="2"/>
  <c r="AI192" i="2"/>
  <c r="AN192" i="2"/>
  <c r="AH192" i="2"/>
  <c r="AP180" i="2"/>
  <c r="AN180" i="2"/>
  <c r="AQ180" i="2"/>
  <c r="AO180" i="2"/>
  <c r="AM180" i="2"/>
  <c r="AL180" i="2"/>
  <c r="AJ180" i="2"/>
  <c r="AI180" i="2"/>
  <c r="AK180" i="2"/>
  <c r="AN168" i="2"/>
  <c r="AM168" i="2"/>
  <c r="AL168" i="2"/>
  <c r="AI168" i="2"/>
  <c r="AP168" i="2"/>
  <c r="AJ168" i="2"/>
  <c r="AH168" i="2"/>
  <c r="AK168" i="2"/>
  <c r="AQ168" i="2"/>
  <c r="AO168" i="2"/>
  <c r="AO156" i="2"/>
  <c r="AM156" i="2"/>
  <c r="AH156" i="2"/>
  <c r="AJ156" i="2"/>
  <c r="AL156" i="2"/>
  <c r="AQ156" i="2"/>
  <c r="AP156" i="2"/>
  <c r="AI156" i="2"/>
  <c r="AK156" i="2"/>
  <c r="AQ144" i="2"/>
  <c r="AK144" i="2"/>
  <c r="AO144" i="2"/>
  <c r="AP144" i="2"/>
  <c r="AN144" i="2"/>
  <c r="AJ144" i="2"/>
  <c r="AQ132" i="2"/>
  <c r="AL132" i="2"/>
  <c r="AJ132" i="2"/>
  <c r="AN132" i="2"/>
  <c r="AO132" i="2"/>
  <c r="AI132" i="2"/>
  <c r="AH132" i="2"/>
  <c r="AM132" i="2"/>
  <c r="AK132" i="2"/>
  <c r="AQ120" i="2"/>
  <c r="AO120" i="2"/>
  <c r="AI120" i="2"/>
  <c r="AP120" i="2"/>
  <c r="AJ120" i="2"/>
  <c r="AM120" i="2"/>
  <c r="AH120" i="2"/>
  <c r="AL120" i="2"/>
  <c r="AN108" i="2"/>
  <c r="AQ108" i="2"/>
  <c r="AM108" i="2"/>
  <c r="AL108" i="2"/>
  <c r="AH108" i="2"/>
  <c r="AP108" i="2"/>
  <c r="AO108" i="2"/>
  <c r="AK108" i="2"/>
  <c r="AK96" i="2"/>
  <c r="AJ96" i="2"/>
  <c r="AH96" i="2"/>
  <c r="AM96" i="2"/>
  <c r="AO96" i="2"/>
  <c r="AI96" i="2"/>
  <c r="AN96" i="2"/>
  <c r="AO84" i="2"/>
  <c r="AL84" i="2"/>
  <c r="AJ84" i="2"/>
  <c r="AQ84" i="2"/>
  <c r="AM84" i="2"/>
  <c r="AN84" i="2"/>
  <c r="AP84" i="2"/>
  <c r="AK84" i="2"/>
  <c r="AP72" i="2"/>
  <c r="AM72" i="2"/>
  <c r="AK72" i="2"/>
  <c r="AJ72" i="2"/>
  <c r="AI72" i="2"/>
  <c r="AL72" i="2"/>
  <c r="AH72" i="2"/>
  <c r="AQ72" i="2"/>
  <c r="AO72" i="2"/>
  <c r="AO60" i="2"/>
  <c r="AM60" i="2"/>
  <c r="AP60" i="2"/>
  <c r="AJ60" i="2"/>
  <c r="AQ60" i="2"/>
  <c r="AN60" i="2"/>
  <c r="AK60" i="2"/>
  <c r="AH60" i="2"/>
  <c r="AL60" i="2"/>
  <c r="AI60" i="2"/>
  <c r="AQ48" i="2"/>
  <c r="AP48" i="2"/>
  <c r="AJ48" i="2"/>
  <c r="AL48" i="2"/>
  <c r="AI48" i="2"/>
  <c r="AN48" i="2"/>
  <c r="AM48" i="2"/>
  <c r="AO48" i="2"/>
  <c r="AN36" i="2"/>
  <c r="AL36" i="2"/>
  <c r="AP36" i="2"/>
  <c r="AQ36" i="2"/>
  <c r="AO36" i="2"/>
  <c r="AM36" i="2"/>
  <c r="AJ36" i="2"/>
  <c r="AH36" i="2"/>
  <c r="AK36" i="2"/>
  <c r="AI36" i="2"/>
  <c r="AM24" i="2"/>
  <c r="AQ24" i="2"/>
  <c r="AN24" i="2"/>
  <c r="AL24" i="2"/>
  <c r="AI24" i="2"/>
  <c r="AP24" i="2"/>
  <c r="AH24" i="2"/>
  <c r="AN12" i="2"/>
  <c r="AQ12" i="2"/>
  <c r="AH12" i="2"/>
  <c r="AO12" i="2"/>
  <c r="AJ12" i="2"/>
  <c r="AP12" i="2"/>
  <c r="AL12" i="2"/>
  <c r="AK12" i="2"/>
  <c r="AI12" i="2"/>
  <c r="AH313" i="2"/>
  <c r="AH144" i="2"/>
  <c r="AJ252" i="2"/>
  <c r="AJ192" i="2"/>
  <c r="AJ134" i="2"/>
  <c r="AK206" i="2"/>
  <c r="AQ326" i="2"/>
  <c r="AP326" i="2"/>
  <c r="AL326" i="2"/>
  <c r="AM326" i="2"/>
  <c r="AO326" i="2"/>
  <c r="AH326" i="2"/>
  <c r="AQ278" i="2"/>
  <c r="AO278" i="2"/>
  <c r="AM278" i="2"/>
  <c r="AN278" i="2"/>
  <c r="AJ278" i="2"/>
  <c r="AI278" i="2"/>
  <c r="AP278" i="2"/>
  <c r="AQ230" i="2"/>
  <c r="AO230" i="2"/>
  <c r="AP230" i="2"/>
  <c r="AM230" i="2"/>
  <c r="AK230" i="2"/>
  <c r="AI230" i="2"/>
  <c r="AL230" i="2"/>
  <c r="AN230" i="2"/>
  <c r="AH230" i="2"/>
  <c r="AQ182" i="2"/>
  <c r="AO182" i="2"/>
  <c r="AL182" i="2"/>
  <c r="AN182" i="2"/>
  <c r="AP182" i="2"/>
  <c r="AJ182" i="2"/>
  <c r="AQ158" i="2"/>
  <c r="AO158" i="2"/>
  <c r="AP158" i="2"/>
  <c r="AK158" i="2"/>
  <c r="AN158" i="2"/>
  <c r="AH158" i="2"/>
  <c r="AJ158" i="2"/>
  <c r="AL158" i="2"/>
  <c r="AI158" i="2"/>
  <c r="AM158" i="2"/>
  <c r="AQ110" i="2"/>
  <c r="AO110" i="2"/>
  <c r="AN110" i="2"/>
  <c r="AP110" i="2"/>
  <c r="AL110" i="2"/>
  <c r="AM110" i="2"/>
  <c r="AH110" i="2"/>
  <c r="AI110" i="2"/>
  <c r="AQ74" i="2"/>
  <c r="AO74" i="2"/>
  <c r="AP74" i="2"/>
  <c r="AN74" i="2"/>
  <c r="AM74" i="2"/>
  <c r="AJ74" i="2"/>
  <c r="AI74" i="2"/>
  <c r="AK74" i="2"/>
  <c r="AH74" i="2"/>
  <c r="AL74" i="2"/>
  <c r="AQ38" i="2"/>
  <c r="AO38" i="2"/>
  <c r="AP38" i="2"/>
  <c r="AN38" i="2"/>
  <c r="AL38" i="2"/>
  <c r="AM38" i="2"/>
  <c r="AK38" i="2"/>
  <c r="AJ38" i="2"/>
  <c r="AH38" i="2"/>
  <c r="AQ2" i="2"/>
  <c r="AO2" i="2"/>
  <c r="AN2" i="2"/>
  <c r="AH2" i="2"/>
  <c r="AI326" i="2"/>
  <c r="AJ254" i="2"/>
  <c r="AN337" i="2"/>
  <c r="AP337" i="2"/>
  <c r="AO337" i="2"/>
  <c r="AM337" i="2"/>
  <c r="AL337" i="2"/>
  <c r="AQ337" i="2"/>
  <c r="AH337" i="2"/>
  <c r="AJ337" i="2"/>
  <c r="AI337" i="2"/>
  <c r="AK337" i="2"/>
  <c r="AN289" i="2"/>
  <c r="AL289" i="2"/>
  <c r="AP289" i="2"/>
  <c r="AK289" i="2"/>
  <c r="AO289" i="2"/>
  <c r="AM289" i="2"/>
  <c r="AQ289" i="2"/>
  <c r="AH289" i="2"/>
  <c r="AN229" i="2"/>
  <c r="AL229" i="2"/>
  <c r="AQ229" i="2"/>
  <c r="AK229" i="2"/>
  <c r="AM229" i="2"/>
  <c r="AO229" i="2"/>
  <c r="AH229" i="2"/>
  <c r="AP229" i="2"/>
  <c r="AJ229" i="2"/>
  <c r="AN145" i="2"/>
  <c r="AL145" i="2"/>
  <c r="AJ145" i="2"/>
  <c r="AK145" i="2"/>
  <c r="AQ145" i="2"/>
  <c r="AO145" i="2"/>
  <c r="AP145" i="2"/>
  <c r="AM145" i="2"/>
  <c r="AQ359" i="2"/>
  <c r="AP359" i="2"/>
  <c r="AO359" i="2"/>
  <c r="AK359" i="2"/>
  <c r="AM359" i="2"/>
  <c r="AJ359" i="2"/>
  <c r="AI359" i="2"/>
  <c r="AN359" i="2"/>
  <c r="AH359" i="2"/>
  <c r="AL359" i="2"/>
  <c r="AO347" i="2"/>
  <c r="AK347" i="2"/>
  <c r="AJ347" i="2"/>
  <c r="AH347" i="2"/>
  <c r="AL347" i="2"/>
  <c r="AQ347" i="2"/>
  <c r="AI347" i="2"/>
  <c r="AM347" i="2"/>
  <c r="AQ335" i="2"/>
  <c r="AP335" i="2"/>
  <c r="AN335" i="2"/>
  <c r="AL335" i="2"/>
  <c r="AJ335" i="2"/>
  <c r="AH335" i="2"/>
  <c r="AI335" i="2"/>
  <c r="AK335" i="2"/>
  <c r="AO335" i="2"/>
  <c r="AM335" i="2"/>
  <c r="AP323" i="2"/>
  <c r="AO323" i="2"/>
  <c r="AJ323" i="2"/>
  <c r="AH323" i="2"/>
  <c r="AK323" i="2"/>
  <c r="AQ323" i="2"/>
  <c r="AM323" i="2"/>
  <c r="AI323" i="2"/>
  <c r="AO311" i="2"/>
  <c r="AN311" i="2"/>
  <c r="AM311" i="2"/>
  <c r="AL311" i="2"/>
  <c r="AJ311" i="2"/>
  <c r="AQ311" i="2"/>
  <c r="AH311" i="2"/>
  <c r="AK311" i="2"/>
  <c r="AP311" i="2"/>
  <c r="AQ299" i="2"/>
  <c r="AO299" i="2"/>
  <c r="AN299" i="2"/>
  <c r="AM299" i="2"/>
  <c r="AL299" i="2"/>
  <c r="AJ299" i="2"/>
  <c r="AH299" i="2"/>
  <c r="AP299" i="2"/>
  <c r="AI299" i="2"/>
  <c r="AO287" i="2"/>
  <c r="AK287" i="2"/>
  <c r="AQ287" i="2"/>
  <c r="AJ287" i="2"/>
  <c r="AN287" i="2"/>
  <c r="AH287" i="2"/>
  <c r="AL287" i="2"/>
  <c r="AM287" i="2"/>
  <c r="AP287" i="2"/>
  <c r="AQ275" i="2"/>
  <c r="AJ275" i="2"/>
  <c r="AL275" i="2"/>
  <c r="AK275" i="2"/>
  <c r="AH275" i="2"/>
  <c r="AO275" i="2"/>
  <c r="AP275" i="2"/>
  <c r="AN275" i="2"/>
  <c r="AI275" i="2"/>
  <c r="AQ263" i="2"/>
  <c r="AO263" i="2"/>
  <c r="AM263" i="2"/>
  <c r="AP263" i="2"/>
  <c r="AJ263" i="2"/>
  <c r="AH263" i="2"/>
  <c r="AK263" i="2"/>
  <c r="AL263" i="2"/>
  <c r="AI263" i="2"/>
  <c r="AP251" i="2"/>
  <c r="AJ251" i="2"/>
  <c r="AN251" i="2"/>
  <c r="AH251" i="2"/>
  <c r="AO251" i="2"/>
  <c r="AM251" i="2"/>
  <c r="AL251" i="2"/>
  <c r="AI251" i="2"/>
  <c r="AQ251" i="2"/>
  <c r="AK251" i="2"/>
  <c r="AP239" i="2"/>
  <c r="AQ239" i="2"/>
  <c r="AH239" i="2"/>
  <c r="AJ239" i="2"/>
  <c r="AK239" i="2"/>
  <c r="AI239" i="2"/>
  <c r="AL239" i="2"/>
  <c r="AO239" i="2"/>
  <c r="AO227" i="2"/>
  <c r="AN227" i="2"/>
  <c r="AJ227" i="2"/>
  <c r="AL227" i="2"/>
  <c r="AH227" i="2"/>
  <c r="AM227" i="2"/>
  <c r="AK227" i="2"/>
  <c r="AP227" i="2"/>
  <c r="AQ215" i="2"/>
  <c r="AO215" i="2"/>
  <c r="AM215" i="2"/>
  <c r="AK215" i="2"/>
  <c r="AH215" i="2"/>
  <c r="AJ215" i="2"/>
  <c r="AP215" i="2"/>
  <c r="AN215" i="2"/>
  <c r="AI215" i="2"/>
  <c r="AL215" i="2"/>
  <c r="AP203" i="2"/>
  <c r="AO203" i="2"/>
  <c r="AJ203" i="2"/>
  <c r="AK203" i="2"/>
  <c r="AH203" i="2"/>
  <c r="AI203" i="2"/>
  <c r="AL203" i="2"/>
  <c r="AQ203" i="2"/>
  <c r="AM203" i="2"/>
  <c r="AN203" i="2"/>
  <c r="AQ191" i="2"/>
  <c r="AP191" i="2"/>
  <c r="AO191" i="2"/>
  <c r="AH191" i="2"/>
  <c r="AJ191" i="2"/>
  <c r="AK191" i="2"/>
  <c r="AI191" i="2"/>
  <c r="AN191" i="2"/>
  <c r="AQ179" i="2"/>
  <c r="AP179" i="2"/>
  <c r="AL179" i="2"/>
  <c r="AH179" i="2"/>
  <c r="AN179" i="2"/>
  <c r="AJ179" i="2"/>
  <c r="AI179" i="2"/>
  <c r="AK179" i="2"/>
  <c r="AM179" i="2"/>
  <c r="AO179" i="2"/>
  <c r="AN167" i="2"/>
  <c r="AP167" i="2"/>
  <c r="AM167" i="2"/>
  <c r="AL167" i="2"/>
  <c r="AH167" i="2"/>
  <c r="AJ167" i="2"/>
  <c r="AK167" i="2"/>
  <c r="AQ167" i="2"/>
  <c r="AO167" i="2"/>
  <c r="AN155" i="2"/>
  <c r="AP155" i="2"/>
  <c r="AM155" i="2"/>
  <c r="AL155" i="2"/>
  <c r="AH155" i="2"/>
  <c r="AK155" i="2"/>
  <c r="AI155" i="2"/>
  <c r="AQ155" i="2"/>
  <c r="AQ143" i="2"/>
  <c r="AO143" i="2"/>
  <c r="AK143" i="2"/>
  <c r="AH143" i="2"/>
  <c r="AP143" i="2"/>
  <c r="AJ143" i="2"/>
  <c r="AN143" i="2"/>
  <c r="AL143" i="2"/>
  <c r="AQ131" i="2"/>
  <c r="AO131" i="2"/>
  <c r="AK131" i="2"/>
  <c r="AH131" i="2"/>
  <c r="AJ131" i="2"/>
  <c r="AL131" i="2"/>
  <c r="AI131" i="2"/>
  <c r="AM131" i="2"/>
  <c r="AQ119" i="2"/>
  <c r="AH119" i="2"/>
  <c r="AP119" i="2"/>
  <c r="AL119" i="2"/>
  <c r="AO119" i="2"/>
  <c r="AK119" i="2"/>
  <c r="AM119" i="2"/>
  <c r="AI119" i="2"/>
  <c r="AJ119" i="2"/>
  <c r="AN119" i="2"/>
  <c r="AP107" i="2"/>
  <c r="AN107" i="2"/>
  <c r="AQ107" i="2"/>
  <c r="AM107" i="2"/>
  <c r="AH107" i="2"/>
  <c r="AI107" i="2"/>
  <c r="AL107" i="2"/>
  <c r="AK107" i="2"/>
  <c r="AO107" i="2"/>
  <c r="AO95" i="2"/>
  <c r="AP95" i="2"/>
  <c r="AH95" i="2"/>
  <c r="AK95" i="2"/>
  <c r="AJ95" i="2"/>
  <c r="AM95" i="2"/>
  <c r="AN95" i="2"/>
  <c r="AI95" i="2"/>
  <c r="AQ95" i="2"/>
  <c r="AQ83" i="2"/>
  <c r="AH83" i="2"/>
  <c r="AN83" i="2"/>
  <c r="AP83" i="2"/>
  <c r="AL83" i="2"/>
  <c r="AJ83" i="2"/>
  <c r="AK83" i="2"/>
  <c r="AP71" i="2"/>
  <c r="AO71" i="2"/>
  <c r="AK71" i="2"/>
  <c r="AJ71" i="2"/>
  <c r="AL71" i="2"/>
  <c r="AH71" i="2"/>
  <c r="AN71" i="2"/>
  <c r="AI71" i="2"/>
  <c r="AM71" i="2"/>
  <c r="AQ71" i="2"/>
  <c r="AP59" i="2"/>
  <c r="AN59" i="2"/>
  <c r="AQ59" i="2"/>
  <c r="AO59" i="2"/>
  <c r="AJ59" i="2"/>
  <c r="AK59" i="2"/>
  <c r="AH59" i="2"/>
  <c r="AI59" i="2"/>
  <c r="AL59" i="2"/>
  <c r="AQ47" i="2"/>
  <c r="AO47" i="2"/>
  <c r="AM47" i="2"/>
  <c r="AP47" i="2"/>
  <c r="AH47" i="2"/>
  <c r="AJ47" i="2"/>
  <c r="AL47" i="2"/>
  <c r="AI47" i="2"/>
  <c r="AN47" i="2"/>
  <c r="AP35" i="2"/>
  <c r="AQ35" i="2"/>
  <c r="AH35" i="2"/>
  <c r="AN35" i="2"/>
  <c r="AM35" i="2"/>
  <c r="AJ35" i="2"/>
  <c r="AO35" i="2"/>
  <c r="AL35" i="2"/>
  <c r="AK35" i="2"/>
  <c r="AI35" i="2"/>
  <c r="AQ23" i="2"/>
  <c r="AN23" i="2"/>
  <c r="AL23" i="2"/>
  <c r="AH23" i="2"/>
  <c r="AM23" i="2"/>
  <c r="AP23" i="2"/>
  <c r="AK23" i="2"/>
  <c r="AM11" i="2"/>
  <c r="AN11" i="2"/>
  <c r="AL11" i="2"/>
  <c r="AQ11" i="2"/>
  <c r="AH11" i="2"/>
  <c r="AO11" i="2"/>
  <c r="AJ11" i="2"/>
  <c r="AP11" i="2"/>
  <c r="AI11" i="2"/>
  <c r="AK11" i="2"/>
  <c r="AH312" i="2"/>
  <c r="AI311" i="2"/>
  <c r="AI167" i="2"/>
  <c r="AI23" i="2"/>
  <c r="AK350" i="2"/>
  <c r="AK278" i="2"/>
  <c r="AL240" i="2"/>
  <c r="AM300" i="2"/>
  <c r="AM182" i="2"/>
  <c r="AQ227" i="2"/>
  <c r="AQ338" i="2"/>
  <c r="AN338" i="2"/>
  <c r="AP338" i="2"/>
  <c r="AO338" i="2"/>
  <c r="AM338" i="2"/>
  <c r="AL338" i="2"/>
  <c r="AH338" i="2"/>
  <c r="AJ338" i="2"/>
  <c r="AI338" i="2"/>
  <c r="AK338" i="2"/>
  <c r="AQ290" i="2"/>
  <c r="AP290" i="2"/>
  <c r="AL290" i="2"/>
  <c r="AM290" i="2"/>
  <c r="AK290" i="2"/>
  <c r="AN290" i="2"/>
  <c r="AH290" i="2"/>
  <c r="AQ242" i="2"/>
  <c r="AO242" i="2"/>
  <c r="AN242" i="2"/>
  <c r="AL242" i="2"/>
  <c r="AP242" i="2"/>
  <c r="AH242" i="2"/>
  <c r="AI242" i="2"/>
  <c r="AJ242" i="2"/>
  <c r="AK242" i="2"/>
  <c r="AQ194" i="2"/>
  <c r="AO194" i="2"/>
  <c r="AP194" i="2"/>
  <c r="AN194" i="2"/>
  <c r="AL194" i="2"/>
  <c r="AM194" i="2"/>
  <c r="AK194" i="2"/>
  <c r="AH194" i="2"/>
  <c r="AI194" i="2"/>
  <c r="AQ146" i="2"/>
  <c r="AO146" i="2"/>
  <c r="AN146" i="2"/>
  <c r="AM146" i="2"/>
  <c r="AP146" i="2"/>
  <c r="AH146" i="2"/>
  <c r="AJ146" i="2"/>
  <c r="AK146" i="2"/>
  <c r="AQ86" i="2"/>
  <c r="AO86" i="2"/>
  <c r="AP86" i="2"/>
  <c r="AL86" i="2"/>
  <c r="AK86" i="2"/>
  <c r="AJ86" i="2"/>
  <c r="AN86" i="2"/>
  <c r="AM86" i="2"/>
  <c r="AI86" i="2"/>
  <c r="AN325" i="2"/>
  <c r="AL325" i="2"/>
  <c r="AO325" i="2"/>
  <c r="AP325" i="2"/>
  <c r="AM325" i="2"/>
  <c r="AH325" i="2"/>
  <c r="AI325" i="2"/>
  <c r="AJ325" i="2"/>
  <c r="AQ277" i="2"/>
  <c r="AN277" i="2"/>
  <c r="AL277" i="2"/>
  <c r="AO277" i="2"/>
  <c r="AP277" i="2"/>
  <c r="AM277" i="2"/>
  <c r="AJ277" i="2"/>
  <c r="AI277" i="2"/>
  <c r="AN241" i="2"/>
  <c r="AL241" i="2"/>
  <c r="AO241" i="2"/>
  <c r="AP241" i="2"/>
  <c r="AQ241" i="2"/>
  <c r="AJ241" i="2"/>
  <c r="AK241" i="2"/>
  <c r="AI241" i="2"/>
  <c r="AN193" i="2"/>
  <c r="AL193" i="2"/>
  <c r="AQ193" i="2"/>
  <c r="AM193" i="2"/>
  <c r="AP193" i="2"/>
  <c r="AK193" i="2"/>
  <c r="AO193" i="2"/>
  <c r="AH193" i="2"/>
  <c r="AI193" i="2"/>
  <c r="AN169" i="2"/>
  <c r="AL169" i="2"/>
  <c r="AJ169" i="2"/>
  <c r="AM169" i="2"/>
  <c r="AO169" i="2"/>
  <c r="AK169" i="2"/>
  <c r="AI169" i="2"/>
  <c r="AP169" i="2"/>
  <c r="AH169" i="2"/>
  <c r="AQ169" i="2"/>
  <c r="AN121" i="2"/>
  <c r="AL121" i="2"/>
  <c r="AP121" i="2"/>
  <c r="AJ121" i="2"/>
  <c r="AM121" i="2"/>
  <c r="AO121" i="2"/>
  <c r="AI121" i="2"/>
  <c r="AQ121" i="2"/>
  <c r="AK121" i="2"/>
  <c r="AN97" i="2"/>
  <c r="AL97" i="2"/>
  <c r="AP97" i="2"/>
  <c r="AJ97" i="2"/>
  <c r="AK97" i="2"/>
  <c r="AM97" i="2"/>
  <c r="AH97" i="2"/>
  <c r="AI97" i="2"/>
  <c r="AO97" i="2"/>
  <c r="AO73" i="2"/>
  <c r="AN73" i="2"/>
  <c r="AL73" i="2"/>
  <c r="AQ73" i="2"/>
  <c r="AP73" i="2"/>
  <c r="AJ73" i="2"/>
  <c r="AK73" i="2"/>
  <c r="AM73" i="2"/>
  <c r="AI73" i="2"/>
  <c r="AH73" i="2"/>
  <c r="AN49" i="2"/>
  <c r="AL49" i="2"/>
  <c r="AQ49" i="2"/>
  <c r="AJ49" i="2"/>
  <c r="AP49" i="2"/>
  <c r="AK49" i="2"/>
  <c r="AI49" i="2"/>
  <c r="AM49" i="2"/>
  <c r="AN25" i="2"/>
  <c r="AL25" i="2"/>
  <c r="AO25" i="2"/>
  <c r="AJ25" i="2"/>
  <c r="AM25" i="2"/>
  <c r="AI25" i="2"/>
  <c r="AP25" i="2"/>
  <c r="AQ25" i="2"/>
  <c r="AH145" i="2"/>
  <c r="AJ193" i="2"/>
  <c r="AM2" i="2"/>
  <c r="AP358" i="2"/>
  <c r="AQ358" i="2"/>
  <c r="AM358" i="2"/>
  <c r="AJ358" i="2"/>
  <c r="AH358" i="2"/>
  <c r="AK358" i="2"/>
  <c r="AN358" i="2"/>
  <c r="AI358" i="2"/>
  <c r="AL358" i="2"/>
  <c r="AO358" i="2"/>
  <c r="AQ334" i="2"/>
  <c r="AJ334" i="2"/>
  <c r="AH334" i="2"/>
  <c r="AO334" i="2"/>
  <c r="AK334" i="2"/>
  <c r="AP334" i="2"/>
  <c r="AL334" i="2"/>
  <c r="AN334" i="2"/>
  <c r="AM334" i="2"/>
  <c r="AP310" i="2"/>
  <c r="AQ310" i="2"/>
  <c r="AM310" i="2"/>
  <c r="AJ310" i="2"/>
  <c r="AH310" i="2"/>
  <c r="AL310" i="2"/>
  <c r="AK310" i="2"/>
  <c r="AN310" i="2"/>
  <c r="AO310" i="2"/>
  <c r="AO286" i="2"/>
  <c r="AM286" i="2"/>
  <c r="AL286" i="2"/>
  <c r="AN286" i="2"/>
  <c r="AQ286" i="2"/>
  <c r="AJ286" i="2"/>
  <c r="AH286" i="2"/>
  <c r="AK286" i="2"/>
  <c r="AP286" i="2"/>
  <c r="AI286" i="2"/>
  <c r="AP262" i="2"/>
  <c r="AJ262" i="2"/>
  <c r="AH262" i="2"/>
  <c r="AK262" i="2"/>
  <c r="AO262" i="2"/>
  <c r="AI262" i="2"/>
  <c r="AM262" i="2"/>
  <c r="AL262" i="2"/>
  <c r="AQ262" i="2"/>
  <c r="AP238" i="2"/>
  <c r="AQ238" i="2"/>
  <c r="AJ238" i="2"/>
  <c r="AH238" i="2"/>
  <c r="AI238" i="2"/>
  <c r="AK238" i="2"/>
  <c r="AO238" i="2"/>
  <c r="AL238" i="2"/>
  <c r="AM238" i="2"/>
  <c r="AQ214" i="2"/>
  <c r="AO214" i="2"/>
  <c r="AJ214" i="2"/>
  <c r="AH214" i="2"/>
  <c r="AL214" i="2"/>
  <c r="AN214" i="2"/>
  <c r="AK214" i="2"/>
  <c r="AI214" i="2"/>
  <c r="AK202" i="2"/>
  <c r="AJ202" i="2"/>
  <c r="AH202" i="2"/>
  <c r="AN202" i="2"/>
  <c r="AM202" i="2"/>
  <c r="AI202" i="2"/>
  <c r="AQ202" i="2"/>
  <c r="AL202" i="2"/>
  <c r="AP202" i="2"/>
  <c r="AO202" i="2"/>
  <c r="AP178" i="2"/>
  <c r="AO178" i="2"/>
  <c r="AQ178" i="2"/>
  <c r="AL178" i="2"/>
  <c r="AJ178" i="2"/>
  <c r="AH178" i="2"/>
  <c r="AN178" i="2"/>
  <c r="AI178" i="2"/>
  <c r="AM178" i="2"/>
  <c r="AK178" i="2"/>
  <c r="AP166" i="2"/>
  <c r="AO166" i="2"/>
  <c r="AH166" i="2"/>
  <c r="AJ166" i="2"/>
  <c r="AM166" i="2"/>
  <c r="AK166" i="2"/>
  <c r="AN166" i="2"/>
  <c r="AL166" i="2"/>
  <c r="AQ166" i="2"/>
  <c r="AO142" i="2"/>
  <c r="AN142" i="2"/>
  <c r="AM142" i="2"/>
  <c r="AL142" i="2"/>
  <c r="AP142" i="2"/>
  <c r="AH142" i="2"/>
  <c r="AK142" i="2"/>
  <c r="AJ142" i="2"/>
  <c r="AI142" i="2"/>
  <c r="AO130" i="2"/>
  <c r="AN130" i="2"/>
  <c r="AK130" i="2"/>
  <c r="AH130" i="2"/>
  <c r="AJ130" i="2"/>
  <c r="AL130" i="2"/>
  <c r="AM130" i="2"/>
  <c r="AI130" i="2"/>
  <c r="AQ130" i="2"/>
  <c r="AP130" i="2"/>
  <c r="AH85" i="2"/>
  <c r="AI350" i="2"/>
  <c r="AI310" i="2"/>
  <c r="AI229" i="2"/>
  <c r="AI206" i="2"/>
  <c r="AI166" i="2"/>
  <c r="AI62" i="2"/>
  <c r="AK277" i="2"/>
  <c r="AL192" i="2"/>
  <c r="AN131" i="2"/>
  <c r="AP2" i="2"/>
  <c r="AQ96" i="2"/>
  <c r="AQ362" i="2"/>
  <c r="AO362" i="2"/>
  <c r="AL362" i="2"/>
  <c r="AH362" i="2"/>
  <c r="AN362" i="2"/>
  <c r="AK362" i="2"/>
  <c r="AJ362" i="2"/>
  <c r="AI362" i="2"/>
  <c r="AP362" i="2"/>
  <c r="AM362" i="2"/>
  <c r="AQ314" i="2"/>
  <c r="AN314" i="2"/>
  <c r="AM314" i="2"/>
  <c r="AL314" i="2"/>
  <c r="AJ314" i="2"/>
  <c r="AI314" i="2"/>
  <c r="AK314" i="2"/>
  <c r="AP314" i="2"/>
  <c r="AQ266" i="2"/>
  <c r="AO266" i="2"/>
  <c r="AP266" i="2"/>
  <c r="AK266" i="2"/>
  <c r="AJ266" i="2"/>
  <c r="AI266" i="2"/>
  <c r="AN266" i="2"/>
  <c r="AH266" i="2"/>
  <c r="AL266" i="2"/>
  <c r="AQ218" i="2"/>
  <c r="AO218" i="2"/>
  <c r="AP218" i="2"/>
  <c r="AN218" i="2"/>
  <c r="AI218" i="2"/>
  <c r="AJ218" i="2"/>
  <c r="AK218" i="2"/>
  <c r="AL218" i="2"/>
  <c r="AQ170" i="2"/>
  <c r="AO170" i="2"/>
  <c r="AP170" i="2"/>
  <c r="AN170" i="2"/>
  <c r="AM170" i="2"/>
  <c r="AK170" i="2"/>
  <c r="AI170" i="2"/>
  <c r="AH170" i="2"/>
  <c r="AJ170" i="2"/>
  <c r="AQ122" i="2"/>
  <c r="AO122" i="2"/>
  <c r="AP122" i="2"/>
  <c r="AN122" i="2"/>
  <c r="AM122" i="2"/>
  <c r="AI122" i="2"/>
  <c r="AK122" i="2"/>
  <c r="AJ122" i="2"/>
  <c r="AQ50" i="2"/>
  <c r="AO50" i="2"/>
  <c r="AN50" i="2"/>
  <c r="AM50" i="2"/>
  <c r="AL50" i="2"/>
  <c r="AP50" i="2"/>
  <c r="AJ50" i="2"/>
  <c r="AH50" i="2"/>
  <c r="AK50" i="2"/>
  <c r="AI50" i="2"/>
  <c r="AQ349" i="2"/>
  <c r="AN349" i="2"/>
  <c r="AL349" i="2"/>
  <c r="AM349" i="2"/>
  <c r="AH349" i="2"/>
  <c r="AN301" i="2"/>
  <c r="AL301" i="2"/>
  <c r="AO301" i="2"/>
  <c r="AP301" i="2"/>
  <c r="AK301" i="2"/>
  <c r="AH301" i="2"/>
  <c r="AM301" i="2"/>
  <c r="AQ301" i="2"/>
  <c r="AI301" i="2"/>
  <c r="AJ301" i="2"/>
  <c r="AN253" i="2"/>
  <c r="AL253" i="2"/>
  <c r="AH253" i="2"/>
  <c r="AO253" i="2"/>
  <c r="AM253" i="2"/>
  <c r="AI253" i="2"/>
  <c r="AQ253" i="2"/>
  <c r="AP217" i="2"/>
  <c r="AO217" i="2"/>
  <c r="AN217" i="2"/>
  <c r="AL217" i="2"/>
  <c r="AM217" i="2"/>
  <c r="AK217" i="2"/>
  <c r="AQ217" i="2"/>
  <c r="AJ217" i="2"/>
  <c r="AI217" i="2"/>
  <c r="AN181" i="2"/>
  <c r="AL181" i="2"/>
  <c r="AP181" i="2"/>
  <c r="AJ181" i="2"/>
  <c r="AO181" i="2"/>
  <c r="AM181" i="2"/>
  <c r="AQ181" i="2"/>
  <c r="AI181" i="2"/>
  <c r="AN157" i="2"/>
  <c r="AL157" i="2"/>
  <c r="AO157" i="2"/>
  <c r="AJ157" i="2"/>
  <c r="AQ157" i="2"/>
  <c r="AK157" i="2"/>
  <c r="AH157" i="2"/>
  <c r="AI157" i="2"/>
  <c r="AM157" i="2"/>
  <c r="AP157" i="2"/>
  <c r="AN109" i="2"/>
  <c r="AL109" i="2"/>
  <c r="AQ109" i="2"/>
  <c r="AJ109" i="2"/>
  <c r="AP109" i="2"/>
  <c r="AM109" i="2"/>
  <c r="AH109" i="2"/>
  <c r="AI109" i="2"/>
  <c r="AK109" i="2"/>
  <c r="AP85" i="2"/>
  <c r="AN85" i="2"/>
  <c r="AL85" i="2"/>
  <c r="AO85" i="2"/>
  <c r="AJ85" i="2"/>
  <c r="AK85" i="2"/>
  <c r="AQ85" i="2"/>
  <c r="AM85" i="2"/>
  <c r="AQ61" i="2"/>
  <c r="AN61" i="2"/>
  <c r="AL61" i="2"/>
  <c r="AO61" i="2"/>
  <c r="AJ61" i="2"/>
  <c r="AM61" i="2"/>
  <c r="AK61" i="2"/>
  <c r="AH61" i="2"/>
  <c r="AN37" i="2"/>
  <c r="AL37" i="2"/>
  <c r="AP37" i="2"/>
  <c r="AM37" i="2"/>
  <c r="AJ37" i="2"/>
  <c r="AO37" i="2"/>
  <c r="AQ37" i="2"/>
  <c r="AK37" i="2"/>
  <c r="AI37" i="2"/>
  <c r="AH37" i="2"/>
  <c r="AP13" i="2"/>
  <c r="AN13" i="2"/>
  <c r="AL13" i="2"/>
  <c r="AO13" i="2"/>
  <c r="AJ13" i="2"/>
  <c r="AK13" i="2"/>
  <c r="AQ13" i="2"/>
  <c r="AH13" i="2"/>
  <c r="AM13" i="2"/>
  <c r="AI13" i="2"/>
  <c r="AH314" i="2"/>
  <c r="AH217" i="2"/>
  <c r="AJ253" i="2"/>
  <c r="AO109" i="2"/>
  <c r="AO346" i="2"/>
  <c r="AP346" i="2"/>
  <c r="AK346" i="2"/>
  <c r="AJ346" i="2"/>
  <c r="AH346" i="2"/>
  <c r="AQ346" i="2"/>
  <c r="AI346" i="2"/>
  <c r="AL346" i="2"/>
  <c r="AP322" i="2"/>
  <c r="AQ322" i="2"/>
  <c r="AO322" i="2"/>
  <c r="AJ322" i="2"/>
  <c r="AH322" i="2"/>
  <c r="AL322" i="2"/>
  <c r="AK322" i="2"/>
  <c r="AM322" i="2"/>
  <c r="AI322" i="2"/>
  <c r="AO298" i="2"/>
  <c r="AN298" i="2"/>
  <c r="AM298" i="2"/>
  <c r="AL298" i="2"/>
  <c r="AQ298" i="2"/>
  <c r="AJ298" i="2"/>
  <c r="AH298" i="2"/>
  <c r="AI298" i="2"/>
  <c r="AP298" i="2"/>
  <c r="AK298" i="2"/>
  <c r="AP274" i="2"/>
  <c r="AL274" i="2"/>
  <c r="AK274" i="2"/>
  <c r="AJ274" i="2"/>
  <c r="AH274" i="2"/>
  <c r="AQ274" i="2"/>
  <c r="AN274" i="2"/>
  <c r="AM274" i="2"/>
  <c r="AI274" i="2"/>
  <c r="AO274" i="2"/>
  <c r="AQ250" i="2"/>
  <c r="AO250" i="2"/>
  <c r="AN250" i="2"/>
  <c r="AJ250" i="2"/>
  <c r="AH250" i="2"/>
  <c r="AM250" i="2"/>
  <c r="AL250" i="2"/>
  <c r="AI250" i="2"/>
  <c r="AK250" i="2"/>
  <c r="AP250" i="2"/>
  <c r="AN226" i="2"/>
  <c r="AL226" i="2"/>
  <c r="AJ226" i="2"/>
  <c r="AH226" i="2"/>
  <c r="AP226" i="2"/>
  <c r="AO226" i="2"/>
  <c r="AM226" i="2"/>
  <c r="AK226" i="2"/>
  <c r="AJ190" i="2"/>
  <c r="AH190" i="2"/>
  <c r="AM190" i="2"/>
  <c r="AL190" i="2"/>
  <c r="AQ190" i="2"/>
  <c r="AK190" i="2"/>
  <c r="AN190" i="2"/>
  <c r="AP190" i="2"/>
  <c r="AN154" i="2"/>
  <c r="AP154" i="2"/>
  <c r="AM154" i="2"/>
  <c r="AL154" i="2"/>
  <c r="AQ154" i="2"/>
  <c r="AH154" i="2"/>
  <c r="AK154" i="2"/>
  <c r="AI154" i="2"/>
  <c r="AH336" i="2"/>
  <c r="AH182" i="2"/>
  <c r="AI349" i="2"/>
  <c r="AI228" i="2"/>
  <c r="AI205" i="2"/>
  <c r="AI61" i="2"/>
  <c r="AJ155" i="2"/>
  <c r="AK348" i="2"/>
  <c r="AL191" i="2"/>
  <c r="AL2" i="2"/>
  <c r="AM218" i="2"/>
  <c r="AM144" i="2"/>
  <c r="AM62" i="2"/>
  <c r="AN326" i="2"/>
  <c r="AN98" i="2"/>
  <c r="AO290" i="2"/>
  <c r="AO49" i="2"/>
  <c r="AP61" i="2"/>
  <c r="AQ142" i="2"/>
  <c r="AP118" i="2"/>
  <c r="AL118" i="2"/>
  <c r="AH118" i="2"/>
  <c r="AO118" i="2"/>
  <c r="AK118" i="2"/>
  <c r="AQ118" i="2"/>
  <c r="AP94" i="2"/>
  <c r="AQ94" i="2"/>
  <c r="AO94" i="2"/>
  <c r="AH94" i="2"/>
  <c r="AP70" i="2"/>
  <c r="AO70" i="2"/>
  <c r="AQ70" i="2"/>
  <c r="AN70" i="2"/>
  <c r="AL70" i="2"/>
  <c r="AH70" i="2"/>
  <c r="AP46" i="2"/>
  <c r="AM46" i="2"/>
  <c r="AJ46" i="2"/>
  <c r="AH46" i="2"/>
  <c r="AL46" i="2"/>
  <c r="AQ46" i="2"/>
  <c r="AP22" i="2"/>
  <c r="AM22" i="2"/>
  <c r="AL22" i="2"/>
  <c r="AH22" i="2"/>
  <c r="AK22" i="2"/>
  <c r="AI118" i="2"/>
  <c r="AN118" i="2"/>
  <c r="AN94" i="2"/>
  <c r="AO355" i="2"/>
  <c r="AM355" i="2"/>
  <c r="AN355" i="2"/>
  <c r="AK355" i="2"/>
  <c r="AO319" i="2"/>
  <c r="AM319" i="2"/>
  <c r="AQ319" i="2"/>
  <c r="AK319" i="2"/>
  <c r="AP319" i="2"/>
  <c r="AN319" i="2"/>
  <c r="AO283" i="2"/>
  <c r="AM283" i="2"/>
  <c r="AQ283" i="2"/>
  <c r="AN283" i="2"/>
  <c r="AK283" i="2"/>
  <c r="AP283" i="2"/>
  <c r="AI283" i="2"/>
  <c r="AH283" i="2"/>
  <c r="AQ235" i="2"/>
  <c r="AM235" i="2"/>
  <c r="AK235" i="2"/>
  <c r="AN235" i="2"/>
  <c r="AI235" i="2"/>
  <c r="AH235" i="2"/>
  <c r="AL235" i="2"/>
  <c r="AM199" i="2"/>
  <c r="AO199" i="2"/>
  <c r="AK199" i="2"/>
  <c r="AN199" i="2"/>
  <c r="AP199" i="2"/>
  <c r="AJ199" i="2"/>
  <c r="AQ163" i="2"/>
  <c r="AM163" i="2"/>
  <c r="AO163" i="2"/>
  <c r="AK163" i="2"/>
  <c r="AN163" i="2"/>
  <c r="AL163" i="2"/>
  <c r="AJ163" i="2"/>
  <c r="AP163" i="2"/>
  <c r="AM127" i="2"/>
  <c r="AQ127" i="2"/>
  <c r="AK127" i="2"/>
  <c r="AN127" i="2"/>
  <c r="AL127" i="2"/>
  <c r="AM103" i="2"/>
  <c r="AN103" i="2"/>
  <c r="AK103" i="2"/>
  <c r="AL103" i="2"/>
  <c r="AO103" i="2"/>
  <c r="AM79" i="2"/>
  <c r="AK79" i="2"/>
  <c r="AO79" i="2"/>
  <c r="AP79" i="2"/>
  <c r="AM43" i="2"/>
  <c r="AO43" i="2"/>
  <c r="AN43" i="2"/>
  <c r="AK43" i="2"/>
  <c r="AP43" i="2"/>
  <c r="AI43" i="2"/>
  <c r="AH43" i="2"/>
  <c r="AQ19" i="2"/>
  <c r="AM19" i="2"/>
  <c r="AP19" i="2"/>
  <c r="AK19" i="2"/>
  <c r="AJ19" i="2"/>
  <c r="AO19" i="2"/>
  <c r="AI34" i="2"/>
  <c r="AJ355" i="2"/>
  <c r="AN22" i="2"/>
  <c r="AQ366" i="2"/>
  <c r="AP366" i="2"/>
  <c r="AL366" i="2"/>
  <c r="AQ342" i="2"/>
  <c r="AP342" i="2"/>
  <c r="AN342" i="2"/>
  <c r="AO342" i="2"/>
  <c r="AM342" i="2"/>
  <c r="AJ342" i="2"/>
  <c r="AO330" i="2"/>
  <c r="AK330" i="2"/>
  <c r="AM330" i="2"/>
  <c r="AI330" i="2"/>
  <c r="AH330" i="2"/>
  <c r="AQ294" i="2"/>
  <c r="AP294" i="2"/>
  <c r="AM294" i="2"/>
  <c r="AJ294" i="2"/>
  <c r="AN294" i="2"/>
  <c r="AL294" i="2"/>
  <c r="AO270" i="2"/>
  <c r="AN270" i="2"/>
  <c r="AM270" i="2"/>
  <c r="AL270" i="2"/>
  <c r="AN246" i="2"/>
  <c r="AL246" i="2"/>
  <c r="AM246" i="2"/>
  <c r="AO246" i="2"/>
  <c r="AP246" i="2"/>
  <c r="AK246" i="2"/>
  <c r="AJ246" i="2"/>
  <c r="AQ246" i="2"/>
  <c r="AQ222" i="2"/>
  <c r="AP222" i="2"/>
  <c r="AO222" i="2"/>
  <c r="AO186" i="2"/>
  <c r="AP186" i="2"/>
  <c r="AN186" i="2"/>
  <c r="AM186" i="2"/>
  <c r="AQ186" i="2"/>
  <c r="AK186" i="2"/>
  <c r="AI186" i="2"/>
  <c r="AH186" i="2"/>
  <c r="AQ150" i="2"/>
  <c r="AP150" i="2"/>
  <c r="AJ150" i="2"/>
  <c r="AL150" i="2"/>
  <c r="AO126" i="2"/>
  <c r="AP126" i="2"/>
  <c r="AN126" i="2"/>
  <c r="AJ126" i="2"/>
  <c r="AM126" i="2"/>
  <c r="AN102" i="2"/>
  <c r="AL102" i="2"/>
  <c r="AM102" i="2"/>
  <c r="AO102" i="2"/>
  <c r="AP54" i="2"/>
  <c r="AL54" i="2"/>
  <c r="AN54" i="2"/>
  <c r="AQ54" i="2"/>
  <c r="AQ30" i="2"/>
  <c r="AJ30" i="2"/>
  <c r="AL30" i="2"/>
  <c r="AJ318" i="2"/>
  <c r="AJ258" i="2"/>
  <c r="AJ222" i="2"/>
  <c r="AK34" i="2"/>
  <c r="AL283" i="2"/>
  <c r="AM354" i="2"/>
  <c r="AQ365" i="2"/>
  <c r="AP365" i="2"/>
  <c r="AL365" i="2"/>
  <c r="AI365" i="2"/>
  <c r="AO365" i="2"/>
  <c r="AQ353" i="2"/>
  <c r="AN353" i="2"/>
  <c r="AL353" i="2"/>
  <c r="AI353" i="2"/>
  <c r="AP353" i="2"/>
  <c r="AO353" i="2"/>
  <c r="AM353" i="2"/>
  <c r="AK329" i="2"/>
  <c r="AI329" i="2"/>
  <c r="AP329" i="2"/>
  <c r="AO329" i="2"/>
  <c r="AJ329" i="2"/>
  <c r="AP305" i="2"/>
  <c r="AL305" i="2"/>
  <c r="AO305" i="2"/>
  <c r="AN305" i="2"/>
  <c r="AI305" i="2"/>
  <c r="AK305" i="2"/>
  <c r="AP281" i="2"/>
  <c r="AI281" i="2"/>
  <c r="AQ281" i="2"/>
  <c r="AJ281" i="2"/>
  <c r="AO257" i="2"/>
  <c r="AQ257" i="2"/>
  <c r="AP257" i="2"/>
  <c r="AL257" i="2"/>
  <c r="AK257" i="2"/>
  <c r="AI257" i="2"/>
  <c r="AN233" i="2"/>
  <c r="AO233" i="2"/>
  <c r="AL233" i="2"/>
  <c r="AM233" i="2"/>
  <c r="AQ233" i="2"/>
  <c r="AI233" i="2"/>
  <c r="AJ233" i="2"/>
  <c r="AQ197" i="2"/>
  <c r="AO197" i="2"/>
  <c r="AI197" i="2"/>
  <c r="AL197" i="2"/>
  <c r="AP197" i="2"/>
  <c r="AQ173" i="2"/>
  <c r="AI173" i="2"/>
  <c r="AK173" i="2"/>
  <c r="AO173" i="2"/>
  <c r="AH173" i="2"/>
  <c r="AL173" i="2"/>
  <c r="AQ149" i="2"/>
  <c r="AL149" i="2"/>
  <c r="AI149" i="2"/>
  <c r="AJ149" i="2"/>
  <c r="AO149" i="2"/>
  <c r="AP125" i="2"/>
  <c r="AJ125" i="2"/>
  <c r="AI125" i="2"/>
  <c r="AM125" i="2"/>
  <c r="AH125" i="2"/>
  <c r="AO101" i="2"/>
  <c r="AM101" i="2"/>
  <c r="AK101" i="2"/>
  <c r="AL101" i="2"/>
  <c r="AI101" i="2"/>
  <c r="AP89" i="2"/>
  <c r="AN89" i="2"/>
  <c r="AQ89" i="2"/>
  <c r="AL89" i="2"/>
  <c r="AM89" i="2"/>
  <c r="AI89" i="2"/>
  <c r="AP65" i="2"/>
  <c r="AQ65" i="2"/>
  <c r="AI65" i="2"/>
  <c r="AO65" i="2"/>
  <c r="AM65" i="2"/>
  <c r="AJ65" i="2"/>
  <c r="AN65" i="2"/>
  <c r="AP41" i="2"/>
  <c r="AQ41" i="2"/>
  <c r="AK41" i="2"/>
  <c r="AM41" i="2"/>
  <c r="AL41" i="2"/>
  <c r="AI41" i="2"/>
  <c r="AO41" i="2"/>
  <c r="AM17" i="2"/>
  <c r="AP17" i="2"/>
  <c r="AN17" i="2"/>
  <c r="AI17" i="2"/>
  <c r="AQ17" i="2"/>
  <c r="AH319" i="2"/>
  <c r="AH281" i="2"/>
  <c r="AI70" i="2"/>
  <c r="AJ118" i="2"/>
  <c r="AJ55" i="2"/>
  <c r="AQ106" i="2"/>
  <c r="AP106" i="2"/>
  <c r="AN106" i="2"/>
  <c r="AM106" i="2"/>
  <c r="AH106" i="2"/>
  <c r="AI106" i="2"/>
  <c r="AP82" i="2"/>
  <c r="AH82" i="2"/>
  <c r="AO82" i="2"/>
  <c r="AJ82" i="2"/>
  <c r="AQ82" i="2"/>
  <c r="AP58" i="2"/>
  <c r="AQ58" i="2"/>
  <c r="AN58" i="2"/>
  <c r="AO58" i="2"/>
  <c r="AJ58" i="2"/>
  <c r="AK58" i="2"/>
  <c r="AH58" i="2"/>
  <c r="AM58" i="2"/>
  <c r="AI58" i="2"/>
  <c r="AP34" i="2"/>
  <c r="AO34" i="2"/>
  <c r="AQ34" i="2"/>
  <c r="AJ34" i="2"/>
  <c r="AH34" i="2"/>
  <c r="AN34" i="2"/>
  <c r="AP10" i="2"/>
  <c r="AN10" i="2"/>
  <c r="AL10" i="2"/>
  <c r="AQ10" i="2"/>
  <c r="AO10" i="2"/>
  <c r="AH10" i="2"/>
  <c r="AI10" i="2"/>
  <c r="AJ22" i="2"/>
  <c r="AL94" i="2"/>
  <c r="AO46" i="2"/>
  <c r="AO106" i="2"/>
  <c r="AO343" i="2"/>
  <c r="AM343" i="2"/>
  <c r="AK343" i="2"/>
  <c r="AP343" i="2"/>
  <c r="AJ343" i="2"/>
  <c r="AN343" i="2"/>
  <c r="AP295" i="2"/>
  <c r="AO295" i="2"/>
  <c r="AM295" i="2"/>
  <c r="AK295" i="2"/>
  <c r="AJ295" i="2"/>
  <c r="AN295" i="2"/>
  <c r="AM271" i="2"/>
  <c r="AO271" i="2"/>
  <c r="AK271" i="2"/>
  <c r="AN271" i="2"/>
  <c r="AP271" i="2"/>
  <c r="AL271" i="2"/>
  <c r="AM247" i="2"/>
  <c r="AQ247" i="2"/>
  <c r="AK247" i="2"/>
  <c r="AL247" i="2"/>
  <c r="AO247" i="2"/>
  <c r="AN247" i="2"/>
  <c r="AP247" i="2"/>
  <c r="AJ247" i="2"/>
  <c r="AM211" i="2"/>
  <c r="AK211" i="2"/>
  <c r="AL211" i="2"/>
  <c r="AQ211" i="2"/>
  <c r="AM175" i="2"/>
  <c r="AK175" i="2"/>
  <c r="AP151" i="2"/>
  <c r="AM151" i="2"/>
  <c r="AK151" i="2"/>
  <c r="AJ151" i="2"/>
  <c r="AL151" i="2"/>
  <c r="AQ151" i="2"/>
  <c r="AM115" i="2"/>
  <c r="AN115" i="2"/>
  <c r="AO115" i="2"/>
  <c r="AL115" i="2"/>
  <c r="AK115" i="2"/>
  <c r="AQ115" i="2"/>
  <c r="AP115" i="2"/>
  <c r="AJ115" i="2"/>
  <c r="AM67" i="2"/>
  <c r="AK67" i="2"/>
  <c r="AP67" i="2"/>
  <c r="AL67" i="2"/>
  <c r="AO67" i="2"/>
  <c r="AM31" i="2"/>
  <c r="AK31" i="2"/>
  <c r="AJ259" i="2"/>
  <c r="AK82" i="2"/>
  <c r="AQ210" i="2"/>
  <c r="AL210" i="2"/>
  <c r="AM210" i="2"/>
  <c r="AK210" i="2"/>
  <c r="AQ174" i="2"/>
  <c r="AK174" i="2"/>
  <c r="AO174" i="2"/>
  <c r="AO114" i="2"/>
  <c r="AM114" i="2"/>
  <c r="AQ114" i="2"/>
  <c r="AP114" i="2"/>
  <c r="AK114" i="2"/>
  <c r="AJ114" i="2"/>
  <c r="AP90" i="2"/>
  <c r="AN90" i="2"/>
  <c r="AQ90" i="2"/>
  <c r="AL90" i="2"/>
  <c r="AM90" i="2"/>
  <c r="AO90" i="2"/>
  <c r="AI90" i="2"/>
  <c r="AH90" i="2"/>
  <c r="AP66" i="2"/>
  <c r="AO66" i="2"/>
  <c r="AJ66" i="2"/>
  <c r="AM66" i="2"/>
  <c r="AM18" i="2"/>
  <c r="AO18" i="2"/>
  <c r="AP18" i="2"/>
  <c r="AQ18" i="2"/>
  <c r="AI94" i="2"/>
  <c r="AK10" i="2"/>
  <c r="AM174" i="2"/>
  <c r="AM70" i="2"/>
  <c r="AQ341" i="2"/>
  <c r="AP341" i="2"/>
  <c r="AN341" i="2"/>
  <c r="AO341" i="2"/>
  <c r="AM341" i="2"/>
  <c r="AI341" i="2"/>
  <c r="AK341" i="2"/>
  <c r="AQ317" i="2"/>
  <c r="AK317" i="2"/>
  <c r="AI317" i="2"/>
  <c r="AN317" i="2"/>
  <c r="AH317" i="2"/>
  <c r="AQ293" i="2"/>
  <c r="AP293" i="2"/>
  <c r="AM293" i="2"/>
  <c r="AI293" i="2"/>
  <c r="AN293" i="2"/>
  <c r="AL293" i="2"/>
  <c r="AP269" i="2"/>
  <c r="AN269" i="2"/>
  <c r="AI269" i="2"/>
  <c r="AM269" i="2"/>
  <c r="AL269" i="2"/>
  <c r="AH269" i="2"/>
  <c r="AM245" i="2"/>
  <c r="AO245" i="2"/>
  <c r="AI245" i="2"/>
  <c r="AK245" i="2"/>
  <c r="AQ245" i="2"/>
  <c r="AQ221" i="2"/>
  <c r="AP221" i="2"/>
  <c r="AL221" i="2"/>
  <c r="AI221" i="2"/>
  <c r="AO221" i="2"/>
  <c r="AH221" i="2"/>
  <c r="AP209" i="2"/>
  <c r="AQ209" i="2"/>
  <c r="AI209" i="2"/>
  <c r="AL209" i="2"/>
  <c r="AM209" i="2"/>
  <c r="AK209" i="2"/>
  <c r="AO185" i="2"/>
  <c r="AN185" i="2"/>
  <c r="AQ185" i="2"/>
  <c r="AK185" i="2"/>
  <c r="AM185" i="2"/>
  <c r="AI185" i="2"/>
  <c r="AJ185" i="2"/>
  <c r="AQ161" i="2"/>
  <c r="AO161" i="2"/>
  <c r="AI161" i="2"/>
  <c r="AP137" i="2"/>
  <c r="AN137" i="2"/>
  <c r="AQ137" i="2"/>
  <c r="AJ137" i="2"/>
  <c r="AI137" i="2"/>
  <c r="AM137" i="2"/>
  <c r="AO113" i="2"/>
  <c r="AP113" i="2"/>
  <c r="AQ113" i="2"/>
  <c r="AK113" i="2"/>
  <c r="AJ113" i="2"/>
  <c r="AI113" i="2"/>
  <c r="AN113" i="2"/>
  <c r="AQ77" i="2"/>
  <c r="AN77" i="2"/>
  <c r="AP77" i="2"/>
  <c r="AL77" i="2"/>
  <c r="AM77" i="2"/>
  <c r="AI77" i="2"/>
  <c r="AK77" i="2"/>
  <c r="AH77" i="2"/>
  <c r="AP53" i="2"/>
  <c r="AN53" i="2"/>
  <c r="AI53" i="2"/>
  <c r="AQ53" i="2"/>
  <c r="AO29" i="2"/>
  <c r="AQ29" i="2"/>
  <c r="AN29" i="2"/>
  <c r="AK29" i="2"/>
  <c r="AI29" i="2"/>
  <c r="AL29" i="2"/>
  <c r="AJ29" i="2"/>
  <c r="AH29" i="2"/>
  <c r="AQ5" i="2"/>
  <c r="AM5" i="2"/>
  <c r="AI5" i="2"/>
  <c r="AL5" i="2"/>
  <c r="AK5" i="2"/>
  <c r="AH89" i="2"/>
  <c r="AJ353" i="2"/>
  <c r="AJ221" i="2"/>
  <c r="AJ77" i="2"/>
  <c r="AK353" i="2"/>
  <c r="AL355" i="2"/>
  <c r="AM197" i="2"/>
  <c r="AM173" i="2"/>
  <c r="AN245" i="2"/>
  <c r="AN161" i="2"/>
  <c r="AN46" i="2"/>
  <c r="AO235" i="2"/>
  <c r="AP331" i="2"/>
  <c r="AQ22" i="2"/>
  <c r="AH355" i="2"/>
  <c r="AH127" i="2"/>
  <c r="AH31" i="2"/>
  <c r="AI319" i="2"/>
  <c r="AI295" i="2"/>
  <c r="AI175" i="2"/>
  <c r="AI151" i="2"/>
  <c r="AI31" i="2"/>
  <c r="AJ293" i="2"/>
  <c r="AJ197" i="2"/>
  <c r="AJ94" i="2"/>
  <c r="AJ54" i="2"/>
  <c r="AJ31" i="2"/>
  <c r="AK30" i="2"/>
  <c r="AL329" i="2"/>
  <c r="AL281" i="2"/>
  <c r="AL106" i="2"/>
  <c r="AL82" i="2"/>
  <c r="AM222" i="2"/>
  <c r="AN79" i="2"/>
  <c r="AN19" i="2"/>
  <c r="AO294" i="2"/>
  <c r="AO127" i="2"/>
  <c r="AO31" i="2"/>
  <c r="AP330" i="2"/>
  <c r="AP185" i="2"/>
  <c r="AP149" i="2"/>
  <c r="AQ330" i="2"/>
  <c r="AQ199" i="2"/>
  <c r="AQ103" i="2"/>
  <c r="AQ67" i="2"/>
  <c r="AO367" i="2"/>
  <c r="AM367" i="2"/>
  <c r="AK367" i="2"/>
  <c r="AL367" i="2"/>
  <c r="AP367" i="2"/>
  <c r="AO331" i="2"/>
  <c r="AM331" i="2"/>
  <c r="AK331" i="2"/>
  <c r="AQ331" i="2"/>
  <c r="AL331" i="2"/>
  <c r="AI331" i="2"/>
  <c r="AH331" i="2"/>
  <c r="AQ307" i="2"/>
  <c r="AO307" i="2"/>
  <c r="AM307" i="2"/>
  <c r="AP307" i="2"/>
  <c r="AK307" i="2"/>
  <c r="AL307" i="2"/>
  <c r="AM259" i="2"/>
  <c r="AN259" i="2"/>
  <c r="AL259" i="2"/>
  <c r="AK259" i="2"/>
  <c r="AQ259" i="2"/>
  <c r="AM223" i="2"/>
  <c r="AP223" i="2"/>
  <c r="AK223" i="2"/>
  <c r="AO223" i="2"/>
  <c r="AQ223" i="2"/>
  <c r="AM187" i="2"/>
  <c r="AK187" i="2"/>
  <c r="AP187" i="2"/>
  <c r="AQ187" i="2"/>
  <c r="AO187" i="2"/>
  <c r="AI187" i="2"/>
  <c r="AH187" i="2"/>
  <c r="AN187" i="2"/>
  <c r="AO139" i="2"/>
  <c r="AM139" i="2"/>
  <c r="AK139" i="2"/>
  <c r="AP139" i="2"/>
  <c r="AQ139" i="2"/>
  <c r="AJ139" i="2"/>
  <c r="AI139" i="2"/>
  <c r="AH139" i="2"/>
  <c r="AQ91" i="2"/>
  <c r="AM91" i="2"/>
  <c r="AN91" i="2"/>
  <c r="AK91" i="2"/>
  <c r="AP91" i="2"/>
  <c r="AO91" i="2"/>
  <c r="AL91" i="2"/>
  <c r="AI91" i="2"/>
  <c r="AH91" i="2"/>
  <c r="AP55" i="2"/>
  <c r="AM55" i="2"/>
  <c r="AK55" i="2"/>
  <c r="AL55" i="2"/>
  <c r="AM7" i="2"/>
  <c r="AQ7" i="2"/>
  <c r="AK7" i="2"/>
  <c r="AL7" i="2"/>
  <c r="AJ7" i="2"/>
  <c r="AN7" i="2"/>
  <c r="AJ319" i="2"/>
  <c r="AJ223" i="2"/>
  <c r="AJ79" i="2"/>
  <c r="AO175" i="2"/>
  <c r="AQ354" i="2"/>
  <c r="AN354" i="2"/>
  <c r="AP354" i="2"/>
  <c r="AO354" i="2"/>
  <c r="AL354" i="2"/>
  <c r="AQ318" i="2"/>
  <c r="AN318" i="2"/>
  <c r="AP306" i="2"/>
  <c r="AO306" i="2"/>
  <c r="AL306" i="2"/>
  <c r="AP282" i="2"/>
  <c r="AO282" i="2"/>
  <c r="AK282" i="2"/>
  <c r="AI282" i="2"/>
  <c r="AH282" i="2"/>
  <c r="AQ282" i="2"/>
  <c r="AO258" i="2"/>
  <c r="AM258" i="2"/>
  <c r="AQ258" i="2"/>
  <c r="AL258" i="2"/>
  <c r="AK258" i="2"/>
  <c r="AO234" i="2"/>
  <c r="AL234" i="2"/>
  <c r="AN234" i="2"/>
  <c r="AQ234" i="2"/>
  <c r="AM234" i="2"/>
  <c r="AI234" i="2"/>
  <c r="AH234" i="2"/>
  <c r="AQ198" i="2"/>
  <c r="AN198" i="2"/>
  <c r="AO198" i="2"/>
  <c r="AP198" i="2"/>
  <c r="AL198" i="2"/>
  <c r="AJ198" i="2"/>
  <c r="AQ162" i="2"/>
  <c r="AO162" i="2"/>
  <c r="AP138" i="2"/>
  <c r="AN138" i="2"/>
  <c r="AQ138" i="2"/>
  <c r="AJ138" i="2"/>
  <c r="AM138" i="2"/>
  <c r="AO138" i="2"/>
  <c r="AI138" i="2"/>
  <c r="AH138" i="2"/>
  <c r="AQ78" i="2"/>
  <c r="AO78" i="2"/>
  <c r="AP78" i="2"/>
  <c r="AK78" i="2"/>
  <c r="AP42" i="2"/>
  <c r="AO42" i="2"/>
  <c r="AQ42" i="2"/>
  <c r="AK42" i="2"/>
  <c r="AI42" i="2"/>
  <c r="AH42" i="2"/>
  <c r="AM42" i="2"/>
  <c r="AQ6" i="2"/>
  <c r="AL6" i="2"/>
  <c r="AJ6" i="2"/>
  <c r="AM6" i="2"/>
  <c r="AI115" i="2"/>
  <c r="AK354" i="2"/>
  <c r="AJ257" i="2"/>
  <c r="AJ10" i="2"/>
  <c r="AK102" i="2"/>
  <c r="AL330" i="2"/>
  <c r="AL282" i="2"/>
  <c r="AQ295" i="2"/>
  <c r="AH354" i="2"/>
  <c r="AH222" i="2"/>
  <c r="AH126" i="2"/>
  <c r="AH30" i="2"/>
  <c r="AI318" i="2"/>
  <c r="AI294" i="2"/>
  <c r="AI174" i="2"/>
  <c r="AI150" i="2"/>
  <c r="AI30" i="2"/>
  <c r="AI6" i="2"/>
  <c r="AJ331" i="2"/>
  <c r="AJ235" i="2"/>
  <c r="AJ53" i="2"/>
  <c r="AJ5" i="2"/>
  <c r="AK306" i="2"/>
  <c r="AK281" i="2"/>
  <c r="AK94" i="2"/>
  <c r="AL175" i="2"/>
  <c r="AL126" i="2"/>
  <c r="AL58" i="2"/>
  <c r="AL31" i="2"/>
  <c r="AM221" i="2"/>
  <c r="AN330" i="2"/>
  <c r="AN78" i="2"/>
  <c r="AN42" i="2"/>
  <c r="AN18" i="2"/>
  <c r="AO293" i="2"/>
  <c r="AO125" i="2"/>
  <c r="AO54" i="2"/>
  <c r="AO30" i="2"/>
  <c r="AP259" i="2"/>
  <c r="AP7" i="2"/>
  <c r="AQ329" i="2"/>
  <c r="AQ102" i="2"/>
  <c r="AQ66" i="2"/>
  <c r="AN249" i="2"/>
  <c r="AK345" i="2"/>
  <c r="AJ345" i="2"/>
  <c r="AH345" i="2"/>
  <c r="AP345" i="2"/>
  <c r="AQ321" i="2"/>
  <c r="AJ321" i="2"/>
  <c r="AH321" i="2"/>
  <c r="AN321" i="2"/>
  <c r="AP321" i="2"/>
  <c r="AL321" i="2"/>
  <c r="AQ297" i="2"/>
  <c r="AN297" i="2"/>
  <c r="AJ297" i="2"/>
  <c r="AH297" i="2"/>
  <c r="AP273" i="2"/>
  <c r="AM273" i="2"/>
  <c r="AL273" i="2"/>
  <c r="AK273" i="2"/>
  <c r="AJ273" i="2"/>
  <c r="AH273" i="2"/>
  <c r="AQ249" i="2"/>
  <c r="AO249" i="2"/>
  <c r="AJ249" i="2"/>
  <c r="AH249" i="2"/>
  <c r="AM249" i="2"/>
  <c r="AJ225" i="2"/>
  <c r="AH225" i="2"/>
  <c r="AP225" i="2"/>
  <c r="AO225" i="2"/>
  <c r="AK201" i="2"/>
  <c r="AJ201" i="2"/>
  <c r="AH201" i="2"/>
  <c r="AP201" i="2"/>
  <c r="AN201" i="2"/>
  <c r="AM201" i="2"/>
  <c r="AP165" i="2"/>
  <c r="AO165" i="2"/>
  <c r="AH165" i="2"/>
  <c r="AQ165" i="2"/>
  <c r="AL165" i="2"/>
  <c r="AN165" i="2"/>
  <c r="AJ165" i="2"/>
  <c r="AN141" i="2"/>
  <c r="AM141" i="2"/>
  <c r="AL141" i="2"/>
  <c r="AH141" i="2"/>
  <c r="AP141" i="2"/>
  <c r="AO141" i="2"/>
  <c r="AP117" i="2"/>
  <c r="AL117" i="2"/>
  <c r="AH117" i="2"/>
  <c r="AK117" i="2"/>
  <c r="AH81" i="2"/>
  <c r="AO81" i="2"/>
  <c r="AP57" i="2"/>
  <c r="AQ57" i="2"/>
  <c r="AO57" i="2"/>
  <c r="AK57" i="2"/>
  <c r="AH57" i="2"/>
  <c r="AM57" i="2"/>
  <c r="AO21" i="2"/>
  <c r="AP21" i="2"/>
  <c r="AL21" i="2"/>
  <c r="AH21" i="2"/>
  <c r="AJ21" i="2"/>
  <c r="AQ357" i="2"/>
  <c r="AM357" i="2"/>
  <c r="AJ357" i="2"/>
  <c r="AH357" i="2"/>
  <c r="AN357" i="2"/>
  <c r="AQ333" i="2"/>
  <c r="AJ333" i="2"/>
  <c r="AH333" i="2"/>
  <c r="AK333" i="2"/>
  <c r="AP309" i="2"/>
  <c r="AQ309" i="2"/>
  <c r="AM309" i="2"/>
  <c r="AJ309" i="2"/>
  <c r="AH309" i="2"/>
  <c r="AO285" i="2"/>
  <c r="AN285" i="2"/>
  <c r="AM285" i="2"/>
  <c r="AL285" i="2"/>
  <c r="AQ285" i="2"/>
  <c r="AJ285" i="2"/>
  <c r="AH285" i="2"/>
  <c r="AP285" i="2"/>
  <c r="AP261" i="2"/>
  <c r="AJ261" i="2"/>
  <c r="AH261" i="2"/>
  <c r="AK261" i="2"/>
  <c r="AQ261" i="2"/>
  <c r="AL261" i="2"/>
  <c r="AP237" i="2"/>
  <c r="AQ237" i="2"/>
  <c r="AJ237" i="2"/>
  <c r="AH237" i="2"/>
  <c r="AQ213" i="2"/>
  <c r="AO213" i="2"/>
  <c r="AN213" i="2"/>
  <c r="AJ213" i="2"/>
  <c r="AH213" i="2"/>
  <c r="AL213" i="2"/>
  <c r="AJ189" i="2"/>
  <c r="AH189" i="2"/>
  <c r="AK189" i="2"/>
  <c r="AQ177" i="2"/>
  <c r="AP177" i="2"/>
  <c r="AH177" i="2"/>
  <c r="AJ177" i="2"/>
  <c r="AP153" i="2"/>
  <c r="AQ153" i="2"/>
  <c r="AN153" i="2"/>
  <c r="AH153" i="2"/>
  <c r="AM153" i="2"/>
  <c r="AO129" i="2"/>
  <c r="AN129" i="2"/>
  <c r="AM129" i="2"/>
  <c r="AL129" i="2"/>
  <c r="AK129" i="2"/>
  <c r="AH129" i="2"/>
  <c r="AQ105" i="2"/>
  <c r="AH105" i="2"/>
  <c r="AQ93" i="2"/>
  <c r="AH93" i="2"/>
  <c r="AN93" i="2"/>
  <c r="AM93" i="2"/>
  <c r="AP93" i="2"/>
  <c r="AQ69" i="2"/>
  <c r="AN69" i="2"/>
  <c r="AL69" i="2"/>
  <c r="AH69" i="2"/>
  <c r="AO45" i="2"/>
  <c r="AJ45" i="2"/>
  <c r="AH45" i="2"/>
  <c r="AK45" i="2"/>
  <c r="AP45" i="2"/>
  <c r="AQ33" i="2"/>
  <c r="AM33" i="2"/>
  <c r="AH33" i="2"/>
  <c r="AN33" i="2"/>
  <c r="AJ33" i="2"/>
  <c r="AQ9" i="2"/>
  <c r="AO9" i="2"/>
  <c r="AH9" i="2"/>
  <c r="AJ81" i="2"/>
  <c r="AK285" i="2"/>
  <c r="AK249" i="2"/>
  <c r="AL189" i="2"/>
  <c r="AM189" i="2"/>
  <c r="AN225" i="2"/>
  <c r="AP81" i="2"/>
  <c r="AQ117" i="2"/>
  <c r="AQ81" i="2"/>
  <c r="AP356" i="2"/>
  <c r="AN356" i="2"/>
  <c r="AK356" i="2"/>
  <c r="AP344" i="2"/>
  <c r="AK344" i="2"/>
  <c r="AO344" i="2"/>
  <c r="AM344" i="2"/>
  <c r="AP332" i="2"/>
  <c r="AO332" i="2"/>
  <c r="AK332" i="2"/>
  <c r="AQ332" i="2"/>
  <c r="AP320" i="2"/>
  <c r="AQ320" i="2"/>
  <c r="AK320" i="2"/>
  <c r="AL320" i="2"/>
  <c r="AN320" i="2"/>
  <c r="AP308" i="2"/>
  <c r="AQ308" i="2"/>
  <c r="AK308" i="2"/>
  <c r="AP296" i="2"/>
  <c r="AK296" i="2"/>
  <c r="AM296" i="2"/>
  <c r="AP284" i="2"/>
  <c r="AQ284" i="2"/>
  <c r="AO284" i="2"/>
  <c r="AN284" i="2"/>
  <c r="AK284" i="2"/>
  <c r="AP272" i="2"/>
  <c r="AN272" i="2"/>
  <c r="AO272" i="2"/>
  <c r="AM272" i="2"/>
  <c r="AL272" i="2"/>
  <c r="AK272" i="2"/>
  <c r="AP260" i="2"/>
  <c r="AM260" i="2"/>
  <c r="AL260" i="2"/>
  <c r="AK260" i="2"/>
  <c r="AQ260" i="2"/>
  <c r="AP248" i="2"/>
  <c r="AQ248" i="2"/>
  <c r="AK248" i="2"/>
  <c r="AM248" i="2"/>
  <c r="AP236" i="2"/>
  <c r="AQ236" i="2"/>
  <c r="AK236" i="2"/>
  <c r="AN236" i="2"/>
  <c r="AP224" i="2"/>
  <c r="AK224" i="2"/>
  <c r="AO224" i="2"/>
  <c r="AP212" i="2"/>
  <c r="AN212" i="2"/>
  <c r="AK212" i="2"/>
  <c r="AL212" i="2"/>
  <c r="AP200" i="2"/>
  <c r="AO200" i="2"/>
  <c r="AK200" i="2"/>
  <c r="AN200" i="2"/>
  <c r="AM200" i="2"/>
  <c r="AP188" i="2"/>
  <c r="AK188" i="2"/>
  <c r="AP176" i="2"/>
  <c r="AK176" i="2"/>
  <c r="AJ176" i="2"/>
  <c r="AP164" i="2"/>
  <c r="AQ164" i="2"/>
  <c r="AO164" i="2"/>
  <c r="AK164" i="2"/>
  <c r="AN164" i="2"/>
  <c r="AL164" i="2"/>
  <c r="AJ164" i="2"/>
  <c r="AP152" i="2"/>
  <c r="AO152" i="2"/>
  <c r="AN152" i="2"/>
  <c r="AK152" i="2"/>
  <c r="AM152" i="2"/>
  <c r="AJ152" i="2"/>
  <c r="AP140" i="2"/>
  <c r="AK140" i="2"/>
  <c r="AO140" i="2"/>
  <c r="AP128" i="2"/>
  <c r="AO128" i="2"/>
  <c r="AN128" i="2"/>
  <c r="AQ128" i="2"/>
  <c r="AM128" i="2"/>
  <c r="AL128" i="2"/>
  <c r="AK128" i="2"/>
  <c r="AP116" i="2"/>
  <c r="AN116" i="2"/>
  <c r="AM116" i="2"/>
  <c r="AL116" i="2"/>
  <c r="AK116" i="2"/>
  <c r="AP104" i="2"/>
  <c r="AK104" i="2"/>
  <c r="AO104" i="2"/>
  <c r="AL104" i="2"/>
  <c r="AP92" i="2"/>
  <c r="AQ92" i="2"/>
  <c r="AN92" i="2"/>
  <c r="AK92" i="2"/>
  <c r="AM92" i="2"/>
  <c r="AP80" i="2"/>
  <c r="AK80" i="2"/>
  <c r="AO80" i="2"/>
  <c r="AP68" i="2"/>
  <c r="AK68" i="2"/>
  <c r="AP56" i="2"/>
  <c r="AO56" i="2"/>
  <c r="AK56" i="2"/>
  <c r="AM56" i="2"/>
  <c r="AL56" i="2"/>
  <c r="AP44" i="2"/>
  <c r="AO44" i="2"/>
  <c r="AN44" i="2"/>
  <c r="AK44" i="2"/>
  <c r="AP32" i="2"/>
  <c r="AM32" i="2"/>
  <c r="AK32" i="2"/>
  <c r="AN32" i="2"/>
  <c r="AJ32" i="2"/>
  <c r="AP20" i="2"/>
  <c r="AQ20" i="2"/>
  <c r="AK20" i="2"/>
  <c r="AO20" i="2"/>
  <c r="AJ20" i="2"/>
  <c r="AP8" i="2"/>
  <c r="AO8" i="2"/>
  <c r="AQ8" i="2"/>
  <c r="AK8" i="2"/>
  <c r="AL8" i="2"/>
  <c r="AJ8" i="2"/>
  <c r="AM8" i="2"/>
  <c r="AI345" i="2"/>
  <c r="AI297" i="2"/>
  <c r="AI249" i="2"/>
  <c r="AI201" i="2"/>
  <c r="AI153" i="2"/>
  <c r="AI105" i="2"/>
  <c r="AI57" i="2"/>
  <c r="AI9" i="2"/>
  <c r="AJ80" i="2"/>
  <c r="AJ44" i="2"/>
  <c r="AK153" i="2"/>
  <c r="AK21" i="2"/>
  <c r="AL188" i="2"/>
  <c r="AM308" i="2"/>
  <c r="AM188" i="2"/>
  <c r="AM165" i="2"/>
  <c r="AM105" i="2"/>
  <c r="AN273" i="2"/>
  <c r="AN224" i="2"/>
  <c r="AO297" i="2"/>
  <c r="AO117" i="2"/>
  <c r="AP9" i="2"/>
  <c r="AQ345" i="2"/>
  <c r="AQ212" i="2"/>
  <c r="AQ176" i="2"/>
  <c r="AQ116" i="2"/>
  <c r="AQ80" i="2"/>
  <c r="AQ45" i="2"/>
  <c r="AQ352" i="2"/>
  <c r="AP352" i="2"/>
  <c r="AQ328" i="2"/>
  <c r="AN328" i="2"/>
  <c r="AQ244" i="2"/>
  <c r="AO244" i="2"/>
  <c r="AQ220" i="2"/>
  <c r="AN220" i="2"/>
  <c r="AP220" i="2"/>
  <c r="AL220" i="2"/>
  <c r="AM220" i="2"/>
  <c r="AQ208" i="2"/>
  <c r="AP208" i="2"/>
  <c r="AL208" i="2"/>
  <c r="AQ184" i="2"/>
  <c r="AN184" i="2"/>
  <c r="AQ172" i="2"/>
  <c r="AO172" i="2"/>
  <c r="AQ148" i="2"/>
  <c r="AO148" i="2"/>
  <c r="AQ136" i="2"/>
  <c r="AP136" i="2"/>
  <c r="AQ112" i="2"/>
  <c r="AP112" i="2"/>
  <c r="AO112" i="2"/>
  <c r="AQ100" i="2"/>
  <c r="AO100" i="2"/>
  <c r="AP100" i="2"/>
  <c r="AQ88" i="2"/>
  <c r="AM88" i="2"/>
  <c r="AQ76" i="2"/>
  <c r="AN76" i="2"/>
  <c r="AM76" i="2"/>
  <c r="AL76" i="2"/>
  <c r="AQ64" i="2"/>
  <c r="AN64" i="2"/>
  <c r="AL64" i="2"/>
  <c r="AQ28" i="2"/>
  <c r="AP28" i="2"/>
  <c r="AO28" i="2"/>
  <c r="AN28" i="2"/>
  <c r="AQ16" i="2"/>
  <c r="AP16" i="2"/>
  <c r="AQ4" i="2"/>
  <c r="AP4" i="2"/>
  <c r="AM4" i="2"/>
  <c r="AI364" i="2"/>
  <c r="AI352" i="2"/>
  <c r="AI340" i="2"/>
  <c r="AI328" i="2"/>
  <c r="AI316" i="2"/>
  <c r="AI304" i="2"/>
  <c r="AI292" i="2"/>
  <c r="AI268" i="2"/>
  <c r="AI244" i="2"/>
  <c r="AI220" i="2"/>
  <c r="AI208" i="2"/>
  <c r="AI196" i="2"/>
  <c r="AI184" i="2"/>
  <c r="AI172" i="2"/>
  <c r="AI160" i="2"/>
  <c r="AI148" i="2"/>
  <c r="AI136" i="2"/>
  <c r="AI124" i="2"/>
  <c r="AI112" i="2"/>
  <c r="AI100" i="2"/>
  <c r="AI88" i="2"/>
  <c r="AI76" i="2"/>
  <c r="AI64" i="2"/>
  <c r="AI52" i="2"/>
  <c r="AI40" i="2"/>
  <c r="AI28" i="2"/>
  <c r="AI16" i="2"/>
  <c r="AI4" i="2"/>
  <c r="AJ112" i="2"/>
  <c r="AK244" i="2"/>
  <c r="AK172" i="2"/>
  <c r="AK100" i="2"/>
  <c r="AK28" i="2"/>
  <c r="AL352" i="2"/>
  <c r="AL291" i="2"/>
  <c r="AL40" i="2"/>
  <c r="AM327" i="2"/>
  <c r="AM40" i="2"/>
  <c r="AN304" i="2"/>
  <c r="AN268" i="2"/>
  <c r="AN183" i="2"/>
  <c r="AN147" i="2"/>
  <c r="AN88" i="2"/>
  <c r="AN16" i="2"/>
  <c r="AO184" i="2"/>
  <c r="AO39" i="2"/>
  <c r="AP219" i="2"/>
  <c r="AP159" i="2"/>
  <c r="AQ159" i="2"/>
  <c r="AQ364" i="2"/>
  <c r="AN364" i="2"/>
  <c r="AO364" i="2"/>
  <c r="AM364" i="2"/>
  <c r="AQ316" i="2"/>
  <c r="AO316" i="2"/>
  <c r="AQ280" i="2"/>
  <c r="AP280" i="2"/>
  <c r="AQ256" i="2"/>
  <c r="AP256" i="2"/>
  <c r="AO256" i="2"/>
  <c r="AN256" i="2"/>
  <c r="AQ232" i="2"/>
  <c r="AM232" i="2"/>
  <c r="AO363" i="2"/>
  <c r="AM363" i="2"/>
  <c r="AQ351" i="2"/>
  <c r="AP351" i="2"/>
  <c r="AN351" i="2"/>
  <c r="AO351" i="2"/>
  <c r="AM351" i="2"/>
  <c r="AQ279" i="2"/>
  <c r="AP279" i="2"/>
  <c r="AQ267" i="2"/>
  <c r="AO267" i="2"/>
  <c r="AP255" i="2"/>
  <c r="AN255" i="2"/>
  <c r="AP243" i="2"/>
  <c r="AO243" i="2"/>
  <c r="AO231" i="2"/>
  <c r="AQ231" i="2"/>
  <c r="AQ207" i="2"/>
  <c r="AN207" i="2"/>
  <c r="AL207" i="2"/>
  <c r="AM207" i="2"/>
  <c r="AP195" i="2"/>
  <c r="AQ195" i="2"/>
  <c r="AL195" i="2"/>
  <c r="AO171" i="2"/>
  <c r="AP171" i="2"/>
  <c r="AN171" i="2"/>
  <c r="AQ135" i="2"/>
  <c r="AP135" i="2"/>
  <c r="AQ111" i="2"/>
  <c r="AO111" i="2"/>
  <c r="AP99" i="2"/>
  <c r="AO99" i="2"/>
  <c r="AQ75" i="2"/>
  <c r="AN75" i="2"/>
  <c r="AM75" i="2"/>
  <c r="AQ63" i="2"/>
  <c r="AN63" i="2"/>
  <c r="AM63" i="2"/>
  <c r="AL63" i="2"/>
  <c r="AO63" i="2"/>
  <c r="AN51" i="2"/>
  <c r="AQ51" i="2"/>
  <c r="AL51" i="2"/>
  <c r="AP27" i="2"/>
  <c r="AO27" i="2"/>
  <c r="AO15" i="2"/>
  <c r="AP15" i="2"/>
  <c r="AQ3" i="2"/>
  <c r="AP3" i="2"/>
  <c r="AM3" i="2"/>
  <c r="AI363" i="2"/>
  <c r="AI351" i="2"/>
  <c r="AI327" i="2"/>
  <c r="AI315" i="2"/>
  <c r="AI303" i="2"/>
  <c r="AI279" i="2"/>
  <c r="AI267" i="2"/>
  <c r="AI255" i="2"/>
  <c r="AI243" i="2"/>
  <c r="AI231" i="2"/>
  <c r="AI219" i="2"/>
  <c r="AI207" i="2"/>
  <c r="AI195" i="2"/>
  <c r="AI183" i="2"/>
  <c r="AI171" i="2"/>
  <c r="AI147" i="2"/>
  <c r="AI135" i="2"/>
  <c r="AI123" i="2"/>
  <c r="AI111" i="2"/>
  <c r="AI99" i="2"/>
  <c r="AI87" i="2"/>
  <c r="AI75" i="2"/>
  <c r="AI63" i="2"/>
  <c r="AI51" i="2"/>
  <c r="AI39" i="2"/>
  <c r="AI27" i="2"/>
  <c r="AI15" i="2"/>
  <c r="AI3" i="2"/>
  <c r="AJ124" i="2"/>
  <c r="AJ111" i="2"/>
  <c r="AK315" i="2"/>
  <c r="AK243" i="2"/>
  <c r="AK171" i="2"/>
  <c r="AK99" i="2"/>
  <c r="AK27" i="2"/>
  <c r="AL351" i="2"/>
  <c r="AL196" i="2"/>
  <c r="AL148" i="2"/>
  <c r="AL100" i="2"/>
  <c r="AL39" i="2"/>
  <c r="AM184" i="2"/>
  <c r="AM136" i="2"/>
  <c r="AN267" i="2"/>
  <c r="AN87" i="2"/>
  <c r="AN52" i="2"/>
  <c r="AN15" i="2"/>
  <c r="AO304" i="2"/>
  <c r="AP363" i="2"/>
  <c r="AT2"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R11" i="2"/>
  <c r="AS11" i="2" s="1"/>
  <c r="A13" i="4" s="1"/>
  <c r="AR31" i="2"/>
  <c r="AS31" i="2" s="1"/>
  <c r="AR8" i="2"/>
  <c r="AS8" i="2" s="1"/>
  <c r="A14" i="4" s="1"/>
  <c r="AR13" i="2"/>
  <c r="AS13" i="2" s="1"/>
  <c r="AR14" i="2"/>
  <c r="AS14" i="2" s="1"/>
  <c r="A12" i="4" s="1"/>
  <c r="AR15" i="2"/>
  <c r="AS15" i="2" s="1"/>
  <c r="AR27" i="2"/>
  <c r="AS27" i="2" s="1"/>
  <c r="AR9" i="2"/>
  <c r="AS9" i="2" s="1"/>
  <c r="AR2" i="2"/>
  <c r="AS2" i="2" s="1"/>
  <c r="AR3" i="2"/>
  <c r="AS3" i="2" s="1"/>
  <c r="AR40" i="2"/>
  <c r="AS40" i="2" s="1"/>
  <c r="AR36" i="2"/>
  <c r="AS36" i="2" s="1"/>
  <c r="AR32" i="2"/>
  <c r="AS32" i="2" s="1"/>
  <c r="AR6" i="2"/>
  <c r="AS6" i="2" s="1"/>
  <c r="A15" i="4" s="1"/>
  <c r="AR7" i="2"/>
  <c r="AS7" i="2" s="1"/>
  <c r="AR41" i="2"/>
  <c r="AS41" i="2" s="1"/>
  <c r="AR38" i="2"/>
  <c r="AS38" i="2" s="1"/>
  <c r="AR42" i="2"/>
  <c r="AS42" i="2" s="1"/>
  <c r="AR43" i="2"/>
  <c r="AS43" i="2" s="1"/>
  <c r="AR39" i="2"/>
  <c r="AS39" i="2" s="1"/>
  <c r="AR35" i="2"/>
  <c r="AS35" i="2" s="1"/>
  <c r="AR5" i="2"/>
  <c r="AS5" i="2" s="1"/>
  <c r="A5" i="4" s="1"/>
  <c r="AR4" i="2"/>
  <c r="AR37" i="2"/>
  <c r="AS37" i="2" s="1"/>
  <c r="AR50" i="2"/>
  <c r="AS50" i="2" s="1"/>
  <c r="AR47" i="2"/>
  <c r="AS47" i="2" s="1"/>
  <c r="AR51" i="2"/>
  <c r="AS51" i="2" s="1"/>
  <c r="AR52" i="2"/>
  <c r="AS52" i="2" s="1"/>
  <c r="AR48" i="2"/>
  <c r="AS48" i="2" s="1"/>
  <c r="AR44" i="2"/>
  <c r="AS44" i="2" s="1"/>
  <c r="AR45" i="2"/>
  <c r="AS45" i="2" s="1"/>
  <c r="AR49" i="2"/>
  <c r="AS49" i="2" s="1"/>
  <c r="AR46" i="2"/>
  <c r="AS46" i="2" s="1"/>
  <c r="AR18" i="2"/>
  <c r="AS18" i="2" s="1"/>
  <c r="A9" i="4" s="1"/>
  <c r="AR20" i="2"/>
  <c r="AS20" i="2" s="1"/>
  <c r="A10" i="4" s="1"/>
  <c r="AR24" i="2"/>
  <c r="AS24" i="2" s="1"/>
  <c r="AR25" i="2"/>
  <c r="AS25" i="2" s="1"/>
  <c r="AR21" i="2"/>
  <c r="AS21" i="2" s="1"/>
  <c r="AR17" i="2"/>
  <c r="AS17" i="2" s="1"/>
  <c r="A11" i="4" s="1"/>
  <c r="AR23" i="2"/>
  <c r="AS23" i="2" s="1"/>
  <c r="AR22" i="2"/>
  <c r="AS22" i="2" s="1"/>
  <c r="AR19" i="2"/>
  <c r="AS19" i="2" s="1"/>
  <c r="AR10" i="2"/>
  <c r="AS10" i="2" s="1"/>
  <c r="A6" i="4" s="1"/>
  <c r="AR29" i="2"/>
  <c r="AS29" i="2" s="1"/>
  <c r="AR33" i="2"/>
  <c r="AS33" i="2" s="1"/>
  <c r="AR34" i="2"/>
  <c r="AS34" i="2" s="1"/>
  <c r="AR30" i="2"/>
  <c r="AS30" i="2" s="1"/>
  <c r="AR26" i="2"/>
  <c r="AS26" i="2" s="1"/>
  <c r="AR16" i="2"/>
  <c r="AS16" i="2" s="1"/>
  <c r="A8" i="4" s="1"/>
  <c r="AR12" i="2"/>
  <c r="AS12" i="2" s="1"/>
  <c r="A7" i="4" s="1"/>
  <c r="AR28" i="2"/>
  <c r="AS28" i="2" s="1"/>
  <c r="AR77" i="2"/>
  <c r="AS77" i="2" s="1"/>
  <c r="AR74" i="2"/>
  <c r="AS74" i="2" s="1"/>
  <c r="AR78" i="2"/>
  <c r="AS78" i="2" s="1"/>
  <c r="AR79" i="2"/>
  <c r="AS79" i="2" s="1"/>
  <c r="AR75" i="2"/>
  <c r="AS75" i="2" s="1"/>
  <c r="AR71" i="2"/>
  <c r="AS71" i="2" s="1"/>
  <c r="AR72" i="2"/>
  <c r="AS72" i="2" s="1"/>
  <c r="AR76" i="2"/>
  <c r="AS76" i="2" s="1"/>
  <c r="AR73" i="2"/>
  <c r="AS73" i="2" s="1"/>
  <c r="AR86" i="2"/>
  <c r="AS86" i="2" s="1"/>
  <c r="AR83" i="2"/>
  <c r="AS83" i="2" s="1"/>
  <c r="AR87" i="2"/>
  <c r="AS87" i="2" s="1"/>
  <c r="AR88" i="2"/>
  <c r="AS88" i="2" s="1"/>
  <c r="AR84" i="2"/>
  <c r="AS84" i="2" s="1"/>
  <c r="AR80" i="2"/>
  <c r="AS80" i="2" s="1"/>
  <c r="AR81" i="2"/>
  <c r="AS81" i="2" s="1"/>
  <c r="AR85" i="2"/>
  <c r="AS85" i="2" s="1"/>
  <c r="AR82" i="2"/>
  <c r="AS82" i="2" s="1"/>
  <c r="AR59" i="2"/>
  <c r="AS59" i="2" s="1"/>
  <c r="AR56" i="2"/>
  <c r="AS56" i="2" s="1"/>
  <c r="AR60" i="2"/>
  <c r="AS60" i="2" s="1"/>
  <c r="AR61" i="2"/>
  <c r="AS61" i="2" s="1"/>
  <c r="AR57" i="2"/>
  <c r="AS57" i="2" s="1"/>
  <c r="AR53" i="2"/>
  <c r="AS53" i="2" s="1"/>
  <c r="AR54" i="2"/>
  <c r="AS54" i="2" s="1"/>
  <c r="AR58" i="2"/>
  <c r="AS58" i="2" s="1"/>
  <c r="AR55" i="2"/>
  <c r="AS55" i="2" s="1"/>
  <c r="AR68" i="2"/>
  <c r="AS68" i="2" s="1"/>
  <c r="AR65" i="2"/>
  <c r="AS65" i="2" s="1"/>
  <c r="AR69" i="2"/>
  <c r="AS69" i="2" s="1"/>
  <c r="AR70" i="2"/>
  <c r="AS70" i="2" s="1"/>
  <c r="AR66" i="2"/>
  <c r="AS66" i="2" s="1"/>
  <c r="AR62" i="2"/>
  <c r="AS62" i="2" s="1"/>
  <c r="AR63" i="2"/>
  <c r="AS63" i="2" s="1"/>
  <c r="AR67" i="2"/>
  <c r="AS67" i="2" s="1"/>
  <c r="AR64" i="2"/>
  <c r="AS64" i="2" s="1"/>
  <c r="AR107" i="2"/>
  <c r="AS107" i="2" s="1"/>
  <c r="AR108" i="2"/>
  <c r="AS108" i="2" s="1"/>
  <c r="AR109" i="2"/>
  <c r="AS109" i="2" s="1"/>
  <c r="AR116" i="2"/>
  <c r="AS116" i="2" s="1"/>
  <c r="AR113" i="2"/>
  <c r="AS113" i="2" s="1"/>
  <c r="AR117" i="2"/>
  <c r="AS117" i="2" s="1"/>
  <c r="AR118" i="2"/>
  <c r="AS118" i="2" s="1"/>
  <c r="AR114" i="2"/>
  <c r="AS114" i="2" s="1"/>
  <c r="AR110" i="2"/>
  <c r="AS110" i="2" s="1"/>
  <c r="AR111" i="2"/>
  <c r="AS111" i="2" s="1"/>
  <c r="AR115" i="2"/>
  <c r="AS115" i="2" s="1"/>
  <c r="AR112" i="2"/>
  <c r="AS112" i="2" s="1"/>
  <c r="AR95" i="2"/>
  <c r="AS95" i="2" s="1"/>
  <c r="AR92" i="2"/>
  <c r="AS92" i="2" s="1"/>
  <c r="AR96" i="2"/>
  <c r="AS96" i="2" s="1"/>
  <c r="AR97" i="2"/>
  <c r="AS97" i="2" s="1"/>
  <c r="AR93" i="2"/>
  <c r="AS93" i="2" s="1"/>
  <c r="AR89" i="2"/>
  <c r="AS89" i="2" s="1"/>
  <c r="AR90" i="2"/>
  <c r="AS90" i="2" s="1"/>
  <c r="AR94" i="2"/>
  <c r="AS94" i="2" s="1"/>
  <c r="AR91" i="2"/>
  <c r="AS91" i="2" s="1"/>
  <c r="AR104" i="2"/>
  <c r="AS104" i="2" s="1"/>
  <c r="AR101" i="2"/>
  <c r="AS101" i="2" s="1"/>
  <c r="AR105" i="2"/>
  <c r="AS105" i="2" s="1"/>
  <c r="AR106" i="2"/>
  <c r="AS106" i="2" s="1"/>
  <c r="AR102" i="2"/>
  <c r="AS102" i="2" s="1"/>
  <c r="AR98" i="2"/>
  <c r="AS98" i="2" s="1"/>
  <c r="AR99" i="2"/>
  <c r="AS99" i="2" s="1"/>
  <c r="AR103" i="2"/>
  <c r="AS103" i="2" s="1"/>
  <c r="AR100" i="2"/>
  <c r="AS100" i="2" s="1"/>
  <c r="AR140" i="2"/>
  <c r="AS140" i="2" s="1"/>
  <c r="AR141" i="2"/>
  <c r="AS141" i="2" s="1"/>
  <c r="AR143" i="2"/>
  <c r="AS143" i="2" s="1"/>
  <c r="AR142" i="2"/>
  <c r="AS142" i="2" s="1"/>
  <c r="AR137" i="2"/>
  <c r="AS137" i="2" s="1"/>
  <c r="AR134" i="2"/>
  <c r="AS134" i="2" s="1"/>
  <c r="AR138" i="2"/>
  <c r="AS138" i="2" s="1"/>
  <c r="AR139" i="2"/>
  <c r="AS139" i="2" s="1"/>
  <c r="AR149" i="2"/>
  <c r="AS149" i="2" s="1"/>
  <c r="AR146" i="2"/>
  <c r="AS146" i="2" s="1"/>
  <c r="AR150" i="2"/>
  <c r="AS150" i="2" s="1"/>
  <c r="AR151" i="2"/>
  <c r="AS151" i="2" s="1"/>
  <c r="AR144" i="2"/>
  <c r="AS144" i="2" s="1"/>
  <c r="AR145" i="2"/>
  <c r="AS145" i="2" s="1"/>
  <c r="AR147" i="2"/>
  <c r="AS147" i="2" s="1"/>
  <c r="AR148" i="2"/>
  <c r="AS148" i="2" s="1"/>
  <c r="AR135" i="2"/>
  <c r="AS135" i="2" s="1"/>
  <c r="AR122" i="2"/>
  <c r="AS122" i="2" s="1"/>
  <c r="AR123" i="2"/>
  <c r="AS123" i="2" s="1"/>
  <c r="AR125" i="2"/>
  <c r="AS125" i="2" s="1"/>
  <c r="AR126" i="2"/>
  <c r="AS126" i="2" s="1"/>
  <c r="AR119" i="2"/>
  <c r="AS119" i="2" s="1"/>
  <c r="AR120" i="2"/>
  <c r="AS120" i="2" s="1"/>
  <c r="AR124" i="2"/>
  <c r="AS124" i="2" s="1"/>
  <c r="AR121" i="2"/>
  <c r="AS121" i="2" s="1"/>
  <c r="AR131" i="2"/>
  <c r="AS131" i="2" s="1"/>
  <c r="AR132" i="2"/>
  <c r="AS132" i="2" s="1"/>
  <c r="AR136" i="2"/>
  <c r="AS136" i="2" s="1"/>
  <c r="AR133" i="2"/>
  <c r="AS133" i="2" s="1"/>
  <c r="AR128" i="2"/>
  <c r="AS128" i="2" s="1"/>
  <c r="AR127" i="2"/>
  <c r="AS127" i="2" s="1"/>
  <c r="AR129" i="2"/>
  <c r="AS129" i="2" s="1"/>
  <c r="AR130" i="2"/>
  <c r="AS130" i="2" s="1"/>
  <c r="AR170" i="2"/>
  <c r="AS170" i="2" s="1"/>
  <c r="AR171" i="2"/>
  <c r="AS171" i="2" s="1"/>
  <c r="AR173" i="2"/>
  <c r="AS173" i="2" s="1"/>
  <c r="AR172" i="2"/>
  <c r="AS172" i="2" s="1"/>
  <c r="AR167" i="2"/>
  <c r="AS167" i="2" s="1"/>
  <c r="AR168" i="2"/>
  <c r="AS168" i="2" s="1"/>
  <c r="AR169" i="2"/>
  <c r="AS169" i="2" s="1"/>
  <c r="AR174" i="2"/>
  <c r="AS174" i="2" s="1"/>
  <c r="AR179" i="2"/>
  <c r="AS179" i="2" s="1"/>
  <c r="AR180" i="2"/>
  <c r="AS180" i="2" s="1"/>
  <c r="AR181" i="2"/>
  <c r="AS181" i="2" s="1"/>
  <c r="AR176" i="2"/>
  <c r="AS176" i="2" s="1"/>
  <c r="AR175" i="2"/>
  <c r="AS175" i="2" s="1"/>
  <c r="AR177" i="2"/>
  <c r="AS177" i="2" s="1"/>
  <c r="AR178" i="2"/>
  <c r="AS178" i="2" s="1"/>
  <c r="AR155" i="2"/>
  <c r="AS155" i="2" s="1"/>
  <c r="AR156" i="2"/>
  <c r="AS156" i="2" s="1"/>
  <c r="AR158" i="2"/>
  <c r="AS158" i="2" s="1"/>
  <c r="AR157" i="2"/>
  <c r="AS157" i="2" s="1"/>
  <c r="AR152" i="2"/>
  <c r="AS152" i="2" s="1"/>
  <c r="AR153" i="2"/>
  <c r="AS153" i="2" s="1"/>
  <c r="AR154" i="2"/>
  <c r="AS154" i="2" s="1"/>
  <c r="AR159" i="2"/>
  <c r="AS159" i="2" s="1"/>
  <c r="AR164" i="2"/>
  <c r="AS164" i="2" s="1"/>
  <c r="AR165" i="2"/>
  <c r="AS165" i="2" s="1"/>
  <c r="AR166" i="2"/>
  <c r="AS166" i="2" s="1"/>
  <c r="AR161" i="2"/>
  <c r="AS161" i="2" s="1"/>
  <c r="AR160" i="2"/>
  <c r="AS160" i="2" s="1"/>
  <c r="AR162" i="2"/>
  <c r="AS162" i="2" s="1"/>
  <c r="AR163" i="2"/>
  <c r="AS163" i="2" s="1"/>
  <c r="AR185" i="2"/>
  <c r="AS185" i="2" s="1"/>
  <c r="AR186" i="2"/>
  <c r="AS186" i="2" s="1"/>
  <c r="AR187" i="2"/>
  <c r="AS187" i="2" s="1"/>
  <c r="AR182" i="2"/>
  <c r="AS182" i="2" s="1"/>
  <c r="AR183" i="2"/>
  <c r="AS183" i="2" s="1"/>
  <c r="AR184" i="2"/>
  <c r="AS184" i="2" s="1"/>
  <c r="AR212" i="2"/>
  <c r="AS212" i="2" s="1"/>
  <c r="AR209" i="2"/>
  <c r="AS209" i="2" s="1"/>
  <c r="AR213" i="2"/>
  <c r="AS213" i="2" s="1"/>
  <c r="AR214" i="2"/>
  <c r="AS214" i="2" s="1"/>
  <c r="AR210" i="2"/>
  <c r="AS210" i="2" s="1"/>
  <c r="AR206" i="2"/>
  <c r="AS206" i="2" s="1"/>
  <c r="AR207" i="2"/>
  <c r="AS207" i="2" s="1"/>
  <c r="AR211" i="2"/>
  <c r="AS211" i="2" s="1"/>
  <c r="AR208" i="2"/>
  <c r="AS208" i="2" s="1"/>
  <c r="AR221" i="2"/>
  <c r="AS221" i="2" s="1"/>
  <c r="AR218" i="2"/>
  <c r="AS218" i="2" s="1"/>
  <c r="AR222" i="2"/>
  <c r="AS222" i="2" s="1"/>
  <c r="AR223" i="2"/>
  <c r="AS223" i="2" s="1"/>
  <c r="AR219" i="2"/>
  <c r="AS219" i="2" s="1"/>
  <c r="AR215" i="2"/>
  <c r="AS215" i="2" s="1"/>
  <c r="AR216" i="2"/>
  <c r="AS216" i="2" s="1"/>
  <c r="AR220" i="2"/>
  <c r="AS220" i="2" s="1"/>
  <c r="AR217" i="2"/>
  <c r="AS217" i="2" s="1"/>
  <c r="AR194" i="2"/>
  <c r="AS194" i="2" s="1"/>
  <c r="AR191" i="2"/>
  <c r="AS191" i="2" s="1"/>
  <c r="AR195" i="2"/>
  <c r="AS195" i="2" s="1"/>
  <c r="AR196" i="2"/>
  <c r="AS196" i="2" s="1"/>
  <c r="AR192" i="2"/>
  <c r="AS192" i="2" s="1"/>
  <c r="AR188" i="2"/>
  <c r="AS188" i="2" s="1"/>
  <c r="AR189" i="2"/>
  <c r="AS189" i="2" s="1"/>
  <c r="AR193" i="2"/>
  <c r="AS193" i="2" s="1"/>
  <c r="AR190" i="2"/>
  <c r="AS190" i="2" s="1"/>
  <c r="AR203" i="2"/>
  <c r="AS203" i="2" s="1"/>
  <c r="AR200" i="2"/>
  <c r="AS200" i="2" s="1"/>
  <c r="AR204" i="2"/>
  <c r="AS204" i="2" s="1"/>
  <c r="AR205" i="2"/>
  <c r="AS205" i="2" s="1"/>
  <c r="AR201" i="2"/>
  <c r="AS201" i="2" s="1"/>
  <c r="AR197" i="2"/>
  <c r="AS197" i="2" s="1"/>
  <c r="AR198" i="2"/>
  <c r="AS198" i="2" s="1"/>
  <c r="AR202" i="2"/>
  <c r="AS202" i="2" s="1"/>
  <c r="AR199" i="2"/>
  <c r="AS199" i="2" s="1"/>
  <c r="AR248" i="2"/>
  <c r="AS248" i="2" s="1"/>
  <c r="AR245" i="2"/>
  <c r="AS245" i="2" s="1"/>
  <c r="AR249" i="2"/>
  <c r="AS249" i="2" s="1"/>
  <c r="AR250" i="2"/>
  <c r="AS250" i="2" s="1"/>
  <c r="AR246" i="2"/>
  <c r="AS246" i="2" s="1"/>
  <c r="AR242" i="2"/>
  <c r="AS242" i="2" s="1"/>
  <c r="AR243" i="2"/>
  <c r="AS243" i="2" s="1"/>
  <c r="AR247" i="2"/>
  <c r="AS247" i="2" s="1"/>
  <c r="AR244" i="2"/>
  <c r="AS244" i="2" s="1"/>
  <c r="AR257" i="2"/>
  <c r="AS257" i="2" s="1"/>
  <c r="AR254" i="2"/>
  <c r="AS254" i="2" s="1"/>
  <c r="AR258" i="2"/>
  <c r="AS258" i="2" s="1"/>
  <c r="AR259" i="2"/>
  <c r="AS259" i="2" s="1"/>
  <c r="AR255" i="2"/>
  <c r="AS255" i="2" s="1"/>
  <c r="AR251" i="2"/>
  <c r="AS251" i="2" s="1"/>
  <c r="AR252" i="2"/>
  <c r="AS252" i="2" s="1"/>
  <c r="AR256" i="2"/>
  <c r="AS256" i="2" s="1"/>
  <c r="AR253" i="2"/>
  <c r="AS253" i="2" s="1"/>
  <c r="AR230" i="2"/>
  <c r="AS230" i="2" s="1"/>
  <c r="AR227" i="2"/>
  <c r="AS227" i="2" s="1"/>
  <c r="AR231" i="2"/>
  <c r="AS231" i="2" s="1"/>
  <c r="AR232" i="2"/>
  <c r="AS232" i="2" s="1"/>
  <c r="AR228" i="2"/>
  <c r="AS228" i="2" s="1"/>
  <c r="AR224" i="2"/>
  <c r="AS224" i="2" s="1"/>
  <c r="AR225" i="2"/>
  <c r="AS225" i="2" s="1"/>
  <c r="AR229" i="2"/>
  <c r="AS229" i="2" s="1"/>
  <c r="AR226" i="2"/>
  <c r="AS226" i="2" s="1"/>
  <c r="AR239" i="2"/>
  <c r="AS239" i="2" s="1"/>
  <c r="AR236" i="2"/>
  <c r="AS236" i="2" s="1"/>
  <c r="AR240" i="2"/>
  <c r="AS240" i="2" s="1"/>
  <c r="AR241" i="2"/>
  <c r="AS241" i="2" s="1"/>
  <c r="AR237" i="2"/>
  <c r="AS237" i="2" s="1"/>
  <c r="AR233" i="2"/>
  <c r="AS233" i="2" s="1"/>
  <c r="AR234" i="2"/>
  <c r="AS234" i="2" s="1"/>
  <c r="AR238" i="2"/>
  <c r="AS238" i="2" s="1"/>
  <c r="AR235" i="2"/>
  <c r="AS235" i="2" s="1"/>
  <c r="AR284" i="2"/>
  <c r="AS284" i="2" s="1"/>
  <c r="AR281" i="2"/>
  <c r="AS281" i="2" s="1"/>
  <c r="AR285" i="2"/>
  <c r="AS285" i="2" s="1"/>
  <c r="AR286" i="2"/>
  <c r="AS286" i="2" s="1"/>
  <c r="AR282" i="2"/>
  <c r="AS282" i="2" s="1"/>
  <c r="AR278" i="2"/>
  <c r="AS278" i="2" s="1"/>
  <c r="AR279" i="2"/>
  <c r="AS279" i="2" s="1"/>
  <c r="AR283" i="2"/>
  <c r="AS283" i="2" s="1"/>
  <c r="AR280" i="2"/>
  <c r="AS280" i="2" s="1"/>
  <c r="AR293" i="2"/>
  <c r="AS293" i="2" s="1"/>
  <c r="AR290" i="2"/>
  <c r="AS290" i="2" s="1"/>
  <c r="AR294" i="2"/>
  <c r="AS294" i="2" s="1"/>
  <c r="AR295" i="2"/>
  <c r="AS295" i="2" s="1"/>
  <c r="AR291" i="2"/>
  <c r="AS291" i="2" s="1"/>
  <c r="AR287" i="2"/>
  <c r="AS287" i="2" s="1"/>
  <c r="AR288" i="2"/>
  <c r="AS288" i="2" s="1"/>
  <c r="AR292" i="2"/>
  <c r="AS292" i="2" s="1"/>
  <c r="AR289" i="2"/>
  <c r="AS289" i="2" s="1"/>
  <c r="AR266" i="2"/>
  <c r="AS266" i="2" s="1"/>
  <c r="AR263" i="2"/>
  <c r="AS263" i="2" s="1"/>
  <c r="AR267" i="2"/>
  <c r="AS267" i="2" s="1"/>
  <c r="AR268" i="2"/>
  <c r="AS268" i="2" s="1"/>
  <c r="AR264" i="2"/>
  <c r="AS264" i="2" s="1"/>
  <c r="AR260" i="2"/>
  <c r="AS260" i="2" s="1"/>
  <c r="AR261" i="2"/>
  <c r="AS261" i="2" s="1"/>
  <c r="AR265" i="2"/>
  <c r="AS265" i="2" s="1"/>
  <c r="AR262" i="2"/>
  <c r="AS262" i="2" s="1"/>
  <c r="AR275" i="2"/>
  <c r="AS275" i="2" s="1"/>
  <c r="AR272" i="2"/>
  <c r="AS272" i="2" s="1"/>
  <c r="AR276" i="2"/>
  <c r="AS276" i="2" s="1"/>
  <c r="AR277" i="2"/>
  <c r="AS277" i="2" s="1"/>
  <c r="AR273" i="2"/>
  <c r="AS273" i="2" s="1"/>
  <c r="AR269" i="2"/>
  <c r="AS269" i="2" s="1"/>
  <c r="AR270" i="2"/>
  <c r="AS270" i="2" s="1"/>
  <c r="AR274" i="2"/>
  <c r="AS274" i="2" s="1"/>
  <c r="AR271" i="2"/>
  <c r="AS271" i="2" s="1"/>
  <c r="AR320" i="2"/>
  <c r="AS320" i="2" s="1"/>
  <c r="AR317" i="2"/>
  <c r="AS317" i="2" s="1"/>
  <c r="AR321" i="2"/>
  <c r="AS321" i="2" s="1"/>
  <c r="AR322" i="2"/>
  <c r="AS322" i="2" s="1"/>
  <c r="AR318" i="2"/>
  <c r="AS318" i="2" s="1"/>
  <c r="AR314" i="2"/>
  <c r="AS314" i="2" s="1"/>
  <c r="AR315" i="2"/>
  <c r="AS315" i="2" s="1"/>
  <c r="AR319" i="2"/>
  <c r="AS319" i="2" s="1"/>
  <c r="AR316" i="2"/>
  <c r="AS316" i="2" s="1"/>
  <c r="AR329" i="2"/>
  <c r="AS329" i="2" s="1"/>
  <c r="AR326" i="2"/>
  <c r="AS326" i="2" s="1"/>
  <c r="AR330" i="2"/>
  <c r="AS330" i="2" s="1"/>
  <c r="AR331" i="2"/>
  <c r="AS331" i="2" s="1"/>
  <c r="AR327" i="2"/>
  <c r="AS327" i="2" s="1"/>
  <c r="AR323" i="2"/>
  <c r="AS323" i="2" s="1"/>
  <c r="AR324" i="2"/>
  <c r="AS324" i="2" s="1"/>
  <c r="AR328" i="2"/>
  <c r="AS328" i="2" s="1"/>
  <c r="AR325" i="2"/>
  <c r="AS325" i="2" s="1"/>
  <c r="AR302" i="2"/>
  <c r="AS302" i="2" s="1"/>
  <c r="AR299" i="2"/>
  <c r="AS299" i="2" s="1"/>
  <c r="AR303" i="2"/>
  <c r="AS303" i="2" s="1"/>
  <c r="AR304" i="2"/>
  <c r="AS304" i="2" s="1"/>
  <c r="AR300" i="2"/>
  <c r="AS300" i="2" s="1"/>
  <c r="AR296" i="2"/>
  <c r="AS296" i="2" s="1"/>
  <c r="AR297" i="2"/>
  <c r="AS297" i="2" s="1"/>
  <c r="AR301" i="2"/>
  <c r="AS301" i="2" s="1"/>
  <c r="AR298" i="2"/>
  <c r="AS298" i="2" s="1"/>
  <c r="AR311" i="2"/>
  <c r="AS311" i="2" s="1"/>
  <c r="AR308" i="2"/>
  <c r="AS308" i="2" s="1"/>
  <c r="AR312" i="2"/>
  <c r="AS312" i="2" s="1"/>
  <c r="AR313" i="2"/>
  <c r="AS313" i="2" s="1"/>
  <c r="AR309" i="2"/>
  <c r="AS309" i="2" s="1"/>
  <c r="AR305" i="2"/>
  <c r="AS305" i="2" s="1"/>
  <c r="AR306" i="2"/>
  <c r="AS306" i="2" s="1"/>
  <c r="AR310" i="2"/>
  <c r="AS310" i="2" s="1"/>
  <c r="AR307" i="2"/>
  <c r="AS307" i="2" s="1"/>
  <c r="AR356" i="2"/>
  <c r="AS356" i="2" s="1"/>
  <c r="AR353" i="2"/>
  <c r="AS353" i="2" s="1"/>
  <c r="AR357" i="2"/>
  <c r="AS357" i="2" s="1"/>
  <c r="AR358" i="2"/>
  <c r="AS358" i="2" s="1"/>
  <c r="AR354" i="2"/>
  <c r="AS354" i="2" s="1"/>
  <c r="AR350" i="2"/>
  <c r="AS350" i="2" s="1"/>
  <c r="AR351" i="2"/>
  <c r="AS351" i="2" s="1"/>
  <c r="AR355" i="2"/>
  <c r="AS355" i="2" s="1"/>
  <c r="AR352" i="2"/>
  <c r="AS352" i="2" s="1"/>
  <c r="AR365" i="2"/>
  <c r="AS365" i="2" s="1"/>
  <c r="AR362" i="2"/>
  <c r="AS362" i="2" s="1"/>
  <c r="AR366" i="2"/>
  <c r="AS366" i="2" s="1"/>
  <c r="AR367" i="2"/>
  <c r="AS367" i="2" s="1"/>
  <c r="AR363" i="2"/>
  <c r="AS363" i="2" s="1"/>
  <c r="AR359" i="2"/>
  <c r="AS359" i="2" s="1"/>
  <c r="AR360" i="2"/>
  <c r="AS360" i="2" s="1"/>
  <c r="AR364" i="2"/>
  <c r="AS364" i="2" s="1"/>
  <c r="AR361" i="2"/>
  <c r="AS361" i="2" s="1"/>
  <c r="AR338" i="2"/>
  <c r="AS338" i="2" s="1"/>
  <c r="AR335" i="2"/>
  <c r="AS335" i="2" s="1"/>
  <c r="AR339" i="2"/>
  <c r="AS339" i="2" s="1"/>
  <c r="AR340" i="2"/>
  <c r="AS340" i="2" s="1"/>
  <c r="AR336" i="2"/>
  <c r="AS336" i="2" s="1"/>
  <c r="AR332" i="2"/>
  <c r="AS332" i="2" s="1"/>
  <c r="AR333" i="2"/>
  <c r="AS333" i="2" s="1"/>
  <c r="AR337" i="2"/>
  <c r="AS337" i="2" s="1"/>
  <c r="AR334" i="2"/>
  <c r="AS334" i="2" s="1"/>
  <c r="AR347" i="2"/>
  <c r="AS347" i="2" s="1"/>
  <c r="AR344" i="2"/>
  <c r="AS344" i="2" s="1"/>
  <c r="AR348" i="2"/>
  <c r="AS348" i="2" s="1"/>
  <c r="AR349" i="2"/>
  <c r="AS349" i="2" s="1"/>
  <c r="AR345" i="2"/>
  <c r="AS345" i="2" s="1"/>
  <c r="AR341" i="2"/>
  <c r="AS341" i="2" s="1"/>
  <c r="AR342" i="2"/>
  <c r="AS342" i="2" s="1"/>
  <c r="AR346" i="2"/>
  <c r="AS346" i="2" s="1"/>
  <c r="AR343" i="2"/>
  <c r="AS343" i="2" s="1"/>
  <c r="B2" i="7" l="1"/>
  <c r="B3" i="7"/>
  <c r="A16" i="4"/>
  <c r="B32" i="4"/>
  <c r="AS4" i="2"/>
  <c r="C8" i="7" s="1"/>
  <c r="C32" i="4"/>
  <c r="C33" i="4" s="1"/>
  <c r="C10" i="7"/>
  <c r="C9" i="7"/>
  <c r="C11" i="7" l="1"/>
  <c r="C3" i="7"/>
  <c r="C4" i="7"/>
  <c r="C5" i="7"/>
  <c r="C2" i="7"/>
  <c r="C6" i="7"/>
  <c r="C7" i="7"/>
  <c r="B14" i="4"/>
  <c r="A4" i="4"/>
  <c r="B4" i="4" s="1"/>
  <c r="B6" i="4"/>
  <c r="B7" i="4"/>
  <c r="E2" i="5" a="1"/>
  <c r="E2" i="5" s="1"/>
  <c r="F2" i="5" a="1"/>
  <c r="F2" i="5" s="1"/>
  <c r="F3" i="5" a="1"/>
  <c r="F3" i="5" s="1"/>
  <c r="E6" i="5" a="1"/>
  <c r="E6" i="5" s="1"/>
  <c r="F4" i="5" a="1"/>
  <c r="F4" i="5" s="1"/>
  <c r="G4" i="5" a="1"/>
  <c r="G4" i="5" s="1"/>
  <c r="G5" i="5" a="1"/>
  <c r="G5" i="5" s="1"/>
  <c r="E4" i="5" a="1"/>
  <c r="E4" i="5" s="1"/>
  <c r="G6" i="5" a="1"/>
  <c r="G6" i="5" s="1"/>
  <c r="E5" i="5" a="1"/>
  <c r="E5" i="5" s="1"/>
  <c r="B11" i="4"/>
  <c r="E3" i="5" a="1"/>
  <c r="E3" i="5" s="1"/>
  <c r="B5" i="4"/>
  <c r="C6" i="4" s="1"/>
  <c r="F5" i="5" a="1"/>
  <c r="F5" i="5" s="1"/>
  <c r="B10" i="4"/>
  <c r="F6" i="5" a="1"/>
  <c r="F6" i="5" s="1"/>
  <c r="B8" i="4"/>
  <c r="C8" i="4" s="1"/>
  <c r="G2" i="5" a="1"/>
  <c r="G2" i="5" s="1"/>
  <c r="B13" i="4"/>
  <c r="B9" i="4"/>
  <c r="B16" i="4"/>
  <c r="B15" i="4"/>
  <c r="C15" i="4" s="1"/>
  <c r="G3" i="5" a="1"/>
  <c r="G3" i="5" s="1"/>
  <c r="D2" i="7"/>
  <c r="C29" i="7"/>
  <c r="C34" i="7"/>
  <c r="C31" i="7"/>
  <c r="C32" i="7"/>
  <c r="C33" i="7"/>
  <c r="C35" i="7"/>
  <c r="C26" i="7"/>
  <c r="C27" i="7"/>
  <c r="C28" i="7"/>
  <c r="C30" i="7"/>
  <c r="C38" i="4"/>
  <c r="C42" i="4"/>
  <c r="C41" i="4"/>
  <c r="C44" i="4"/>
  <c r="C43" i="4"/>
  <c r="C37" i="4"/>
  <c r="C36" i="4"/>
  <c r="C35" i="4"/>
  <c r="C34" i="4"/>
  <c r="C46" i="4"/>
  <c r="C45" i="4"/>
  <c r="B11" i="7"/>
  <c r="B10" i="7"/>
  <c r="B9" i="7"/>
  <c r="B8" i="7"/>
  <c r="B7" i="7"/>
  <c r="B6" i="7"/>
  <c r="B5" i="7"/>
  <c r="B4" i="7"/>
  <c r="C40" i="4"/>
  <c r="C39" i="4"/>
  <c r="D11" i="7"/>
  <c r="D10" i="7"/>
  <c r="D9" i="7"/>
  <c r="D8" i="7"/>
  <c r="D7" i="7"/>
  <c r="D6" i="7"/>
  <c r="D5" i="7"/>
  <c r="D4" i="7"/>
  <c r="D3" i="7"/>
  <c r="B44" i="4"/>
  <c r="B34" i="4"/>
  <c r="B46" i="4"/>
  <c r="B35" i="4"/>
  <c r="B36" i="4"/>
  <c r="B38" i="4"/>
  <c r="B39" i="4"/>
  <c r="B40" i="4"/>
  <c r="B41" i="4"/>
  <c r="B42" i="4"/>
  <c r="B43" i="4"/>
  <c r="B45" i="4"/>
  <c r="B37" i="4"/>
  <c r="B33" i="4"/>
  <c r="B12" i="4" l="1"/>
  <c r="C16" i="4" s="1"/>
  <c r="C7" i="4"/>
  <c r="C10" i="4"/>
  <c r="H3" i="5"/>
  <c r="C5" i="4"/>
  <c r="C11" i="4"/>
  <c r="C9" i="4"/>
  <c r="C14" i="4"/>
  <c r="I3" i="5"/>
  <c r="H6" i="5"/>
  <c r="D26" i="7"/>
  <c r="B31" i="7"/>
  <c r="A31" i="7" s="1"/>
  <c r="B32" i="7"/>
  <c r="A32" i="7" s="1"/>
  <c r="B35" i="7"/>
  <c r="A35" i="7" s="1"/>
  <c r="B33" i="7"/>
  <c r="A33" i="7" s="1"/>
  <c r="B34" i="7"/>
  <c r="A34" i="7" s="1"/>
  <c r="B26" i="7"/>
  <c r="A26" i="7" s="1"/>
  <c r="B27" i="7"/>
  <c r="A27" i="7" s="1"/>
  <c r="B28" i="7"/>
  <c r="A28" i="7" s="1"/>
  <c r="B29" i="7"/>
  <c r="A29" i="7" s="1"/>
  <c r="B30" i="7"/>
  <c r="A30" i="7" s="1"/>
  <c r="D27" i="7"/>
  <c r="D35" i="7"/>
  <c r="D34" i="7"/>
  <c r="D29" i="7"/>
  <c r="D30" i="7"/>
  <c r="D28" i="7"/>
  <c r="D33" i="7"/>
  <c r="D32" i="7"/>
  <c r="D31" i="7"/>
  <c r="H4" i="5"/>
  <c r="J3" i="5"/>
  <c r="I6" i="5"/>
  <c r="J5" i="5"/>
  <c r="I4" i="5"/>
  <c r="J4" i="5"/>
  <c r="I5" i="5"/>
  <c r="E38" i="4"/>
  <c r="J6" i="5"/>
  <c r="H5" i="5"/>
  <c r="E42" i="4"/>
  <c r="E41" i="4"/>
  <c r="E46" i="4"/>
  <c r="E33" i="4"/>
  <c r="E44" i="4"/>
  <c r="E37" i="4"/>
  <c r="E45" i="4"/>
  <c r="E36" i="4"/>
  <c r="E43" i="4"/>
  <c r="E35" i="4"/>
  <c r="E34" i="4"/>
  <c r="E39" i="4"/>
  <c r="D13" i="7"/>
  <c r="D14" i="7" s="1"/>
  <c r="B13" i="7"/>
  <c r="B14" i="7"/>
  <c r="B12" i="7"/>
  <c r="E40" i="4"/>
  <c r="D45" i="4"/>
  <c r="D43" i="4"/>
  <c r="D36" i="4"/>
  <c r="D40" i="4"/>
  <c r="D33" i="4"/>
  <c r="D39" i="4"/>
  <c r="D44" i="4"/>
  <c r="D35" i="4"/>
  <c r="D37" i="4"/>
  <c r="D41" i="4"/>
  <c r="D34" i="4"/>
  <c r="D38" i="4"/>
  <c r="D46" i="4"/>
  <c r="D42" i="4"/>
  <c r="C13" i="4" l="1"/>
  <c r="C12" i="4"/>
  <c r="D12" i="7"/>
  <c r="C12" i="7" l="1"/>
  <c r="C13" i="7"/>
  <c r="C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 command="SELECT * FROM [All_India_Index_Upto_April23 (1)]"/>
  </connection>
  <connection id="2" xr16:uid="{89F3C61C-AC50-4BBF-A9DC-38173D04634A}" keepAlive="1" name="Query - All_India_Index_Upto_April23 (2)" description="Connection to the 'All_India_Index_Upto_April23 (2)' query in the workbook." type="5" refreshedVersion="5" background="1" saveData="1">
    <dbPr connection="Provider=Microsoft.Mashup.OleDb.1;Data Source=$Workbook$;Location=&quot;All_India_Index_Upto_April23 (2)&quot;;Extended Properties=&quot;&quot;" command="SELECT * FROM [All_India_Index_Upto_April23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<sst xmlns="http://schemas.openxmlformats.org/spreadsheetml/2006/main" count="948" uniqueCount="160">
  <si>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</si>
  <si>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</si>
  <si>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</si>
  <si>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</si>
  <si>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</si>
  <si>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</si>
  <si>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</si>
  <si>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</si>
  <si>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</si>
  <si>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</si>
  <si>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</si>
  <si>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</si>
  <si>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</si>
  <si>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</si>
  <si>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</si>
  <si>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</si>
  <si>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</si>
  <si>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</si>
  <si>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</si>
  <si>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</si>
  <si>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</si>
  <si>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</si>
  <si>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</si>
  <si>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</si>
  <si>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</si>
  <si>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</si>
  <si>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</si>
  <si>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</si>
  <si>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</si>
  <si>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</si>
  <si>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</si>
  <si>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</si>
  <si>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</si>
  <si>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</si>
  <si>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</si>
  <si>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</si>
  <si>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</si>
  <si>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</si>
  <si>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</si>
  <si>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</si>
  <si>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</si>
  <si>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</si>
  <si>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</si>
  <si>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</si>
  <si>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</si>
  <si>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Food</t>
  </si>
  <si>
    <t>Cloth</t>
  </si>
  <si>
    <t>House</t>
  </si>
  <si>
    <t>CONTRIBUTION</t>
  </si>
  <si>
    <t>CONTRIBUTION IN HOUSE</t>
  </si>
  <si>
    <t>CONTRIBUTION IN CLOTH</t>
  </si>
  <si>
    <t>CONTRIBUTION IN FOOD</t>
  </si>
  <si>
    <t>CONTRIBUTION IN MIS_ITEM</t>
  </si>
  <si>
    <t>CONTRIBUTION IN PER_CARE_ITEM</t>
  </si>
  <si>
    <t>CONTRIBUTION IN EDUCATION</t>
  </si>
  <si>
    <t>CONTRIBUTION IN REC_AND_AMU</t>
  </si>
  <si>
    <t>CONTRIBUTION IN TR_COM</t>
  </si>
  <si>
    <t>CONTRIBUTION IN HEALTH</t>
  </si>
  <si>
    <t>CONTRIBUTION IN L&amp;F</t>
  </si>
  <si>
    <t>MONTH IN NUM</t>
  </si>
  <si>
    <t>CONCAT Y&amp;M</t>
  </si>
  <si>
    <t>N/A</t>
  </si>
  <si>
    <t>RURAL</t>
  </si>
  <si>
    <t>URBAN</t>
  </si>
  <si>
    <t>M-O-M PER</t>
  </si>
  <si>
    <t>FOOD GI</t>
  </si>
  <si>
    <t>MOM INFLATION RATE</t>
  </si>
  <si>
    <t>DATE</t>
  </si>
  <si>
    <t>FOOD SUB CATEGORIES</t>
  </si>
  <si>
    <t>ABSOLUTE CHANGE</t>
  </si>
  <si>
    <t>PER CHANGE</t>
  </si>
  <si>
    <t>ESSENTIAL SERVICES</t>
  </si>
  <si>
    <t>Crude_Oil_Price</t>
  </si>
  <si>
    <t>Fuel_Inflation</t>
  </si>
  <si>
    <t>Transport_Inflation</t>
  </si>
  <si>
    <t>Food_Inflation</t>
  </si>
  <si>
    <t>Oil_%Change</t>
  </si>
  <si>
    <t>Fuel_%Change</t>
  </si>
  <si>
    <t>Transport_%Change</t>
  </si>
  <si>
    <t>Food_%Change</t>
  </si>
  <si>
    <t>Jan</t>
  </si>
  <si>
    <t>Feb</t>
  </si>
  <si>
    <t>Mar</t>
  </si>
  <si>
    <t>Apr</t>
  </si>
  <si>
    <t>Jun</t>
  </si>
  <si>
    <t>Jul</t>
  </si>
  <si>
    <t>Aug</t>
  </si>
  <si>
    <t>Sep</t>
  </si>
  <si>
    <t>Oct</t>
  </si>
  <si>
    <t>Nov</t>
  </si>
  <si>
    <t>Dec</t>
  </si>
  <si>
    <t>na</t>
  </si>
  <si>
    <t>Inflation</t>
  </si>
  <si>
    <t>Correlation</t>
  </si>
  <si>
    <t>Row Labels</t>
  </si>
  <si>
    <t>Average of Fuel_Inflation</t>
  </si>
  <si>
    <t>Average of Transport_Inflation</t>
  </si>
  <si>
    <t>Average of Food_Inflation</t>
  </si>
  <si>
    <t>Average of Crude_Oil_Price</t>
  </si>
  <si>
    <t>Grand Total</t>
  </si>
  <si>
    <t>Fuel and Transport Inflation show strong positive correlation (&gt;0.85) with crude oil price changes, indicating oil price fluctuations significantly drive India’s inflation trends across these sectors.</t>
  </si>
  <si>
    <t>TOTAL</t>
  </si>
  <si>
    <t>Highest contributor</t>
  </si>
  <si>
    <t>Average of General index</t>
  </si>
  <si>
    <t>Food%</t>
  </si>
  <si>
    <t>Average of Food%</t>
  </si>
  <si>
    <t>TOTAL BROADER CATEGORIES</t>
  </si>
  <si>
    <t>Health%</t>
  </si>
  <si>
    <t>Essential Service</t>
  </si>
  <si>
    <t>Essential Service%</t>
  </si>
  <si>
    <t>Rural+Sector</t>
  </si>
  <si>
    <t>NA</t>
  </si>
  <si>
    <t>Average of Essential Service%</t>
  </si>
  <si>
    <t>Average of Health%</t>
  </si>
  <si>
    <t>Maximum Contribution</t>
  </si>
  <si>
    <t>Rank</t>
  </si>
  <si>
    <t>Categories</t>
  </si>
  <si>
    <r>
      <t>Dominance of Service Inflation (Health):</t>
    </r>
    <r>
      <rPr>
        <sz val="10"/>
        <color rgb="FF0A0A0A"/>
        <rFont val="Arial"/>
        <family val="2"/>
      </rPr>
      <t> Nationally, </t>
    </r>
    <r>
      <rPr>
        <b/>
        <sz val="10"/>
        <color rgb="FF0A0A0A"/>
        <rFont val="Arial"/>
        <family val="2"/>
      </rPr>
      <t>Health (10.42%)</t>
    </r>
    <r>
      <rPr>
        <sz val="10"/>
        <color rgb="FF0A0A0A"/>
        <rFont val="Arial"/>
        <family val="2"/>
      </rPr>
      <t> is the top contributor.</t>
    </r>
  </si>
  <si>
    <r>
      <t>NSO Insight:</t>
    </r>
    <r>
      <rPr>
        <sz val="10"/>
        <color rgb="FF0A0A0A"/>
        <rFont val="Arial"/>
        <family val="2"/>
      </rPr>
      <t> This indicates "Service-led Inflation." Unlike volatile food prices, healthcare inflation is "sticky" and harder to control. It suggests a rising cost of essential medical services across both Rural and Urban sectors.</t>
    </r>
  </si>
  <si>
    <t>Sectoral Disparity (Clothing vs. Personal Care):</t>
  </si>
  <si>
    <r>
      <t>Rural Insight:</t>
    </r>
    <r>
      <rPr>
        <sz val="10"/>
        <color rgb="FF0A0A0A"/>
        <rFont val="Arial"/>
        <family val="2"/>
      </rPr>
      <t> </t>
    </r>
    <r>
      <rPr>
        <b/>
        <sz val="10"/>
        <color rgb="FF0A0A0A"/>
        <rFont val="Arial"/>
        <family val="2"/>
      </rPr>
      <t>Clothing (10.65%)</t>
    </r>
    <r>
      <rPr>
        <sz val="10"/>
        <color rgb="FF0A0A0A"/>
        <rFont val="Arial"/>
        <family val="2"/>
      </rPr>
      <t> is the highest driver in Rural areas. This could be due to supply-side bottlenecks or higher logistics costs reaching remote areas.</t>
    </r>
  </si>
  <si>
    <r>
      <t>Urban Insight:</t>
    </r>
    <r>
      <rPr>
        <sz val="10"/>
        <color rgb="FF0A0A0A"/>
        <rFont val="Arial"/>
        <family val="2"/>
      </rPr>
      <t> </t>
    </r>
    <r>
      <rPr>
        <b/>
        <sz val="10"/>
        <color rgb="FF0A0A0A"/>
        <rFont val="Arial"/>
        <family val="2"/>
      </rPr>
      <t>Personal Care (10.56%)</t>
    </r>
    <r>
      <rPr>
        <sz val="10"/>
        <color rgb="FF0A0A0A"/>
        <rFont val="Arial"/>
        <family val="2"/>
      </rPr>
      <t> leads in Urban areas, reflecting a shift in consumption patterns where lifestyle and grooming products are pushing the CPI higher.</t>
    </r>
  </si>
  <si>
    <r>
      <t>The "Food" Relief:</t>
    </r>
    <r>
      <rPr>
        <sz val="10"/>
        <color rgb="FF0A0A0A"/>
        <rFont val="Arial"/>
        <family val="2"/>
      </rPr>
      <t> </t>
    </r>
    <r>
      <rPr>
        <b/>
        <sz val="10"/>
        <color rgb="FF0A0A0A"/>
        <rFont val="Arial"/>
        <family val="2"/>
      </rPr>
      <t>Food (9.86%)</t>
    </r>
    <r>
      <rPr>
        <sz val="10"/>
        <color rgb="FF0A0A0A"/>
        <rFont val="Arial"/>
        <family val="2"/>
      </rPr>
      <t> is ranked lower (#7).</t>
    </r>
  </si>
  <si>
    <r>
      <t>NSO Insight:</t>
    </r>
    <r>
      <rPr>
        <sz val="10"/>
        <color rgb="FF0A0A0A"/>
        <rFont val="Arial"/>
        <family val="2"/>
      </rPr>
      <t> For a country like India, where Food has the highest weightage, its lower contribution in May 2023 is a positive sign for "Food Security" and indicates stable agricultural supply chains for that period.</t>
    </r>
  </si>
  <si>
    <r>
      <t>Housing Stability:</t>
    </r>
    <r>
      <rPr>
        <sz val="10"/>
        <color rgb="FF0A0A0A"/>
        <rFont val="Arial"/>
        <family val="2"/>
      </rPr>
      <t> </t>
    </r>
    <r>
      <rPr>
        <b/>
        <sz val="10"/>
        <color rgb="FF0A0A0A"/>
        <rFont val="Arial"/>
        <family val="2"/>
      </rPr>
      <t>Housing (9.23%)</t>
    </r>
    <r>
      <rPr>
        <sz val="10"/>
        <color rgb="FF0A0A0A"/>
        <rFont val="Arial"/>
        <family val="2"/>
      </rPr>
      <t> is at the bottom (Rank 10).</t>
    </r>
  </si>
  <si>
    <r>
      <t>NSO Insight:</t>
    </r>
    <r>
      <rPr>
        <sz val="10"/>
        <color rgb="FF0A0A0A"/>
        <rFont val="Arial"/>
        <family val="2"/>
      </rPr>
      <t> This suggests that "Core Inflation" (excluding food and fuel) is being balanced by stable urban rentals, providing some relief to the middle class.</t>
    </r>
  </si>
  <si>
    <t>Policy Recommendations (The "Analyst" Move)</t>
  </si>
  <si>
    <t>1. Monitor Healthcare Costs: Suggesting a deeper look into pharmaceutical pricing as it's the primary inflation driver.</t>
  </si>
  <si>
    <t>2. Rural Logistics: Investigating why Clothing is significantly higher in Rural areas—is it a transport cost issue or a demand surge?</t>
  </si>
  <si>
    <t>3. RBI Intervention: Since 'Miscellaneous' (Services) inflation is high, the RBI might need to maintain a "Hawkish" (strict) stance on interest rates to cool down demand.</t>
  </si>
  <si>
    <t>2020 Peak: Spike to 6.38% due to COVID-19 supply chain disruptions.</t>
  </si>
  <si>
    <t>2021 Cooling: Dip to 5.27% due to base effects and suppressed demand.</t>
  </si>
  <si>
    <t>2022 Surge: Global energy crisis pushed inflation to a 6-year high of 6.62%.</t>
  </si>
  <si>
    <t> This was a "Supply-Side Shock" caused by global heatwaves impacting crop yields and a sudden surge in edible oil prices. Such a high MoM increase indicates an immediate and severe pressure on the consumer's kitchen budget.</t>
  </si>
  <si>
    <t>Insight: December 2022 witnessed a negative inflation rate of -0.52%.</t>
  </si>
  <si>
    <r>
      <t>Analyst Perspective:</t>
    </r>
    <r>
      <rPr>
        <sz val="10"/>
        <color rgb="FF0A0A0A"/>
        <rFont val="Arial"/>
        <family val="2"/>
      </rPr>
      <t> This represents "Seasonal Deflation" due to the arrival of the </t>
    </r>
    <r>
      <rPr>
        <b/>
        <sz val="10"/>
        <color rgb="FF0A0A0A"/>
        <rFont val="Arial"/>
        <family val="2"/>
      </rPr>
      <t>Fresh Winter Harvest (Rabi crops)</t>
    </r>
    <r>
      <rPr>
        <sz val="10"/>
        <color rgb="FF0A0A0A"/>
        <rFont val="Arial"/>
        <family val="2"/>
      </rPr>
      <t> in the markets. Increased supply in the mandis naturally cooled down the food prices, providing a much-needed dip in the overall index.</t>
    </r>
  </si>
  <si>
    <t>Post-Shock Consolidation Phase (Feb - May 2023):</t>
  </si>
  <si>
    <r>
      <t>Insight:</t>
    </r>
    <r>
      <rPr>
        <sz val="10"/>
        <color rgb="FF0A0A0A"/>
        <rFont val="Arial"/>
        <family val="2"/>
      </rPr>
      <t> From February to May 2023, the MoM inflation remained stable between </t>
    </r>
    <r>
      <rPr>
        <b/>
        <sz val="10"/>
        <color rgb="FF0A0A0A"/>
        <rFont val="Arial"/>
        <family val="2"/>
      </rPr>
      <t>0.00% and 0.71%</t>
    </r>
    <r>
      <rPr>
        <sz val="10"/>
        <color rgb="FF0A0A0A"/>
        <rFont val="Arial"/>
        <family val="2"/>
      </rPr>
      <t>.</t>
    </r>
  </si>
  <si>
    <r>
      <t>Analyst Perspective:</t>
    </r>
    <r>
      <rPr>
        <sz val="10"/>
        <color rgb="FF0A0A0A"/>
        <rFont val="Arial"/>
        <family val="2"/>
      </rPr>
      <t> This period indicates a "Price Consolidation Phase." After the extreme volatility of mid-2022, the food basket has settled at a new, higher price level with minimal monthly fluctuations, suggesting a temporary stabilization in supply chains.</t>
    </r>
  </si>
  <si>
    <t>March-2018</t>
  </si>
  <si>
    <t>March-2019</t>
  </si>
  <si>
    <t>March-2020</t>
  </si>
  <si>
    <t>March-2021</t>
  </si>
  <si>
    <t>March-2022</t>
  </si>
  <si>
    <t>Pre-Pandemic Baseline (March 2018–2019): "Agricultural Dominance"</t>
  </si>
  <si>
    <t>The Pandemic Pivot (March 2019–2021): "The Healthcare Surge"</t>
  </si>
  <si>
    <r>
      <rPr>
        <sz val="10"/>
        <color rgb="FF0A0A0A"/>
        <rFont val="Arial"/>
        <family val="2"/>
      </rPr>
      <t> Inflation was primarily </t>
    </r>
    <r>
      <rPr>
        <b/>
        <sz val="10"/>
        <color rgb="FF0A0A0A"/>
        <rFont val="Arial"/>
        <family val="2"/>
      </rPr>
      <t>Food-driven (8.86%)</t>
    </r>
    <r>
      <rPr>
        <sz val="10"/>
        <color rgb="FF0A0A0A"/>
        <rFont val="Arial"/>
        <family val="2"/>
      </rPr>
      <t>, while </t>
    </r>
    <r>
      <rPr>
        <b/>
        <sz val="10"/>
        <color rgb="FF0A0A0A"/>
        <rFont val="Arial"/>
        <family val="2"/>
      </rPr>
      <t>Health (0.74%)</t>
    </r>
    <r>
      <rPr>
        <sz val="10"/>
        <color rgb="FF0A0A0A"/>
        <rFont val="Arial"/>
        <family val="2"/>
      </rPr>
      <t> and </t>
    </r>
    <r>
      <rPr>
        <b/>
        <sz val="10"/>
        <color rgb="FF0A0A0A"/>
        <rFont val="Arial"/>
        <family val="2"/>
      </rPr>
      <t>Essential Services (4.07%)</t>
    </r>
    <r>
      <rPr>
        <sz val="10"/>
        <color rgb="FF0A0A0A"/>
        <rFont val="Arial"/>
        <family val="2"/>
      </rPr>
      <t> were stable.</t>
    </r>
  </si>
  <si>
    <r>
      <rPr>
        <sz val="10"/>
        <color rgb="FF0A0A0A"/>
        <rFont val="Arial"/>
        <family val="2"/>
      </rPr>
      <t>As the pandemic hit, </t>
    </r>
    <r>
      <rPr>
        <b/>
        <sz val="10"/>
        <color rgb="FF0A0A0A"/>
        <rFont val="Arial"/>
        <family val="2"/>
      </rPr>
      <t>Health CPI spiked to 7.79%</t>
    </r>
    <r>
      <rPr>
        <sz val="10"/>
        <color rgb="FF0A0A0A"/>
        <rFont val="Arial"/>
        <family val="2"/>
      </rPr>
      <t> due to the sudden surge in medical demand (PPE, Hospital costs).</t>
    </r>
  </si>
  <si>
    <r>
      <rPr>
        <sz val="10"/>
        <color rgb="FF0A0A0A"/>
        <rFont val="Arial"/>
        <family val="2"/>
      </rPr>
      <t>Simultaneously, </t>
    </r>
    <r>
      <rPr>
        <b/>
        <sz val="10"/>
        <color rgb="FF0A0A0A"/>
        <rFont val="Arial"/>
        <family val="2"/>
      </rPr>
      <t>Essential Services dipped to 3.10%</t>
    </r>
    <r>
      <rPr>
        <sz val="10"/>
        <color rgb="FF0A0A0A"/>
        <rFont val="Arial"/>
        <family val="2"/>
      </rPr>
      <t> because lockdowns halted transport and communication. Food also cooled down (4.17%) due to a bumper harvest, shifting the inflation burden from the "Kitchen" to the "Hospital."</t>
    </r>
  </si>
  <si>
    <t> The Global Recovery &amp; War Shock (March 2021–2022): "The Service Era"</t>
  </si>
  <si>
    <t>Post-COVID, Essential Services hit a peak of 7.37%, surpassing the Health sector’s growth.</t>
  </si>
  <si>
    <r>
      <t> This is the most critical turning point. The </t>
    </r>
    <r>
      <rPr>
        <b/>
        <sz val="10"/>
        <color rgb="FF0A0A0A"/>
        <rFont val="Arial"/>
        <family val="2"/>
      </rPr>
      <t>Russia-Ukraine War</t>
    </r>
    <r>
      <rPr>
        <sz val="10"/>
        <color rgb="FF0A0A0A"/>
        <rFont val="Arial"/>
        <family val="2"/>
      </rPr>
      <t> pushed global fuel prices up, making transport and logistics expensive. Inflation transitioned from a "Biological Crisis" (Health) to a </t>
    </r>
    <r>
      <rPr>
        <b/>
        <sz val="10"/>
        <color rgb="FF0A0A0A"/>
        <rFont val="Arial"/>
        <family val="2"/>
      </rPr>
      <t>"Geopolitical Energy Crisis"</t>
    </r>
    <r>
      <rPr>
        <sz val="10"/>
        <color rgb="FF0A0A0A"/>
        <rFont val="Arial"/>
        <family val="2"/>
      </rPr>
      <t> (Essential Services).</t>
    </r>
  </si>
  <si>
    <r>
      <t>Insight:</t>
    </r>
    <r>
      <rPr>
        <sz val="10"/>
        <color rgb="FF0A0A0A"/>
        <rFont val="Arial"/>
        <family val="2"/>
      </rPr>
      <t> There is a near-perfect correlation of </t>
    </r>
    <r>
      <rPr>
        <b/>
        <sz val="10"/>
        <color rgb="FF0A0A0A"/>
        <rFont val="Arial"/>
        <family val="2"/>
      </rPr>
      <t>0.929 (approx 0.93)</t>
    </r>
    <r>
      <rPr>
        <sz val="10"/>
        <color rgb="FF0A0A0A"/>
        <rFont val="Arial"/>
        <family val="2"/>
      </rPr>
      <t> between Crude Oil prices and Fuel Inflation.</t>
    </r>
  </si>
  <si>
    <r>
      <t>NSO View:</t>
    </r>
    <r>
      <rPr>
        <sz val="10"/>
        <color rgb="FF0A0A0A"/>
        <rFont val="Arial"/>
        <family val="2"/>
      </rPr>
      <t> This confirms that India's domestic fuel prices are almost entirely dependent on global Brent prices. Any global geopolitical shock results in an immediate increase in the cost of living at home.</t>
    </r>
  </si>
  <si>
    <r>
      <t>Insight:</t>
    </r>
    <r>
      <rPr>
        <sz val="10"/>
        <color rgb="FF0A0A0A"/>
        <rFont val="Arial"/>
        <family val="2"/>
      </rPr>
      <t> Transport Inflation shows a strong positive correlation of </t>
    </r>
    <r>
      <rPr>
        <b/>
        <sz val="10"/>
        <color rgb="FF0A0A0A"/>
        <rFont val="Arial"/>
        <family val="2"/>
      </rPr>
      <t>0.892</t>
    </r>
    <r>
      <rPr>
        <sz val="10"/>
        <color rgb="FF0A0A0A"/>
        <rFont val="Arial"/>
        <family val="2"/>
      </rPr>
      <t>.</t>
    </r>
  </si>
  <si>
    <r>
      <t>NSO View:</t>
    </r>
    <r>
      <rPr>
        <sz val="10"/>
        <color rgb="FF0A0A0A"/>
        <rFont val="Arial"/>
        <family val="2"/>
      </rPr>
      <t> This represents "Supply-Side Inflation." Higher fuel costs lead to increased freight charges for trucks and logistics, which eventually "infects" all other categories of the CPI.</t>
    </r>
  </si>
  <si>
    <r>
      <t>Insight:</t>
    </r>
    <r>
      <rPr>
        <sz val="10"/>
        <color rgb="FF0A0A0A"/>
        <rFont val="Arial"/>
        <family val="2"/>
      </rPr>
      <t> Even Food Inflation has a high correlation of </t>
    </r>
    <r>
      <rPr>
        <b/>
        <sz val="10"/>
        <color rgb="FF0A0A0A"/>
        <rFont val="Arial"/>
        <family val="2"/>
      </rPr>
      <t>0.851</t>
    </r>
    <r>
      <rPr>
        <sz val="10"/>
        <color rgb="FF0A0A0A"/>
        <rFont val="Arial"/>
        <family val="2"/>
      </rPr>
      <t> with Oil prices.</t>
    </r>
  </si>
  <si>
    <r>
      <t>NSO View:</t>
    </r>
    <r>
      <rPr>
        <sz val="10"/>
        <color rgb="FF0A0A0A"/>
        <rFont val="Arial"/>
        <family val="2"/>
      </rPr>
      <t> This is a classic example of </t>
    </r>
    <r>
      <rPr>
        <b/>
        <sz val="10"/>
        <color rgb="FF0A0A0A"/>
        <rFont val="Arial"/>
        <family val="2"/>
      </rPr>
      <t>"Imported Inflation."</t>
    </r>
    <r>
      <rPr>
        <sz val="10"/>
        <color rgb="FF0A0A0A"/>
        <rFont val="Arial"/>
        <family val="2"/>
      </rPr>
      <t> Even if food is grown locally, the cost of tractors, irrigation, and transport to the mandi is tied to oil. This proves that global oil prices directly impact the kitchen budget of an average household.</t>
    </r>
  </si>
  <si>
    <t>June 2022 recorded a massive MoM spike of 0.95%, which is an abnormal deviation from the usual 1-2% range.</t>
  </si>
  <si>
    <t> In this phase, the economy was facing "Supply-Side Shocks" in agriculture. Essential services remained low as global crude oil and logistics costs were under control. And increase msp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</si>
</sst>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yyyy"/>
    <numFmt numFmtId="165" formatCode="0.0000"/>
    <numFmt numFmtId="166" formatCode="0.0"/>
  </numFmts>
  <fonts count="11" x14ac:knownFonts="1">
    <font>
      <sz val="11"/>
      <color theme="1"/>
      <name val="Calibri"/>
      <family val="2"/>
      <scheme val="minor"/>
    </font>
    <font>
      <b/>
      <sz val="11"/>
      <color rgb="FFFFFFFF"/>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9" tint="-0.249977111117893"/>
      <name val="Calibri"/>
      <family val="2"/>
      <scheme val="minor"/>
    </font>
    <font>
      <sz val="11"/>
      <color theme="9" tint="-0.249977111117893"/>
      <name val="Calibri"/>
      <family val="2"/>
      <scheme val="minor"/>
    </font>
    <font>
      <b/>
      <sz val="11"/>
      <color theme="2"/>
      <name val="Calibri"/>
      <family val="2"/>
      <scheme val="minor"/>
    </font>
    <font>
      <sz val="10"/>
      <color rgb="FF0A0A0A"/>
      <name val="Arial"/>
      <family val="2"/>
    </font>
    <font>
      <b/>
      <sz val="10"/>
      <color rgb="FF0A0A0A"/>
      <name val="Arial"/>
      <family val="2"/>
    </font>
    <font>
      <sz val="11"/>
      <color theme="0"/>
      <name val="Calibri"/>
      <family val="2"/>
      <scheme val="minor"/>
    </font>
  </fonts>
  <fills count="11">
    <fill>
      <patternFill patternType="none"/>
    </fill>
    <fill>
      <patternFill patternType="gray125"/>
    </fill>
    <fill>
      <patternFill patternType="solid">
        <fgColor rgb="FF70AD47"/>
        <bgColor indexed="64"/>
      </patternFill>
    </fill>
    <fill>
      <patternFill patternType="solid">
        <fgColor rgb="FFE2EFDA"/>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1" tint="4.9989318521683403E-2"/>
        <bgColor indexed="64"/>
      </patternFill>
    </fill>
    <fill>
      <patternFill patternType="solid">
        <fgColor theme="1"/>
        <bgColor indexed="64"/>
      </patternFill>
    </fill>
    <fill>
      <patternFill patternType="solid">
        <fgColor theme="4" tint="0.39997558519241921"/>
        <bgColor indexed="64"/>
      </patternFill>
    </fill>
  </fills>
  <borders count="6">
    <border>
      <left/>
      <right/>
      <top/>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9" fontId="2" fillId="0" borderId="0" applyFont="0" applyFill="0" applyBorder="0" applyAlignment="0" applyProtection="0"/>
  </cellStyleXfs>
  <cellXfs count="48">
    <xf numFmtId="0" fontId="0" fillId="0" borderId="0" xfId="0"/>
    <xf numFmtId="0" fontId="0" fillId="0" borderId="0" xfId="0" quotePrefix="1"/>
    <xf numFmtId="10" fontId="0" fillId="0" borderId="0" xfId="0" applyNumberFormat="1"/>
    <xf numFmtId="164" fontId="0" fillId="3" borderId="2" xfId="0" applyNumberFormat="1" applyFill="1" applyBorder="1"/>
    <xf numFmtId="164" fontId="0" fillId="0" borderId="2" xfId="0" applyNumberFormat="1" applyBorder="1"/>
    <xf numFmtId="0" fontId="0" fillId="0" borderId="3" xfId="0" applyBorder="1" applyAlignment="1">
      <alignment horizontal="center" vertical="center"/>
    </xf>
    <xf numFmtId="2" fontId="0" fillId="3" borderId="1" xfId="0" quotePrefix="1" applyNumberFormat="1" applyFill="1" applyBorder="1"/>
    <xf numFmtId="0" fontId="0" fillId="4" borderId="3" xfId="0" applyFill="1" applyBorder="1" applyAlignment="1">
      <alignment horizontal="center" vertical="center"/>
    </xf>
    <xf numFmtId="10" fontId="0" fillId="4" borderId="3" xfId="0" applyNumberFormat="1" applyFill="1" applyBorder="1" applyAlignment="1">
      <alignment horizontal="center" vertical="center"/>
    </xf>
    <xf numFmtId="10" fontId="0" fillId="5" borderId="3" xfId="0" applyNumberFormat="1" applyFill="1" applyBorder="1" applyAlignment="1">
      <alignment horizontal="center" vertical="center"/>
    </xf>
    <xf numFmtId="0" fontId="0" fillId="7" borderId="3" xfId="0" applyFill="1" applyBorder="1" applyAlignment="1">
      <alignment horizontal="left"/>
    </xf>
    <xf numFmtId="164" fontId="0" fillId="7" borderId="3" xfId="0" applyNumberFormat="1" applyFill="1" applyBorder="1" applyAlignment="1">
      <alignment horizontal="left"/>
    </xf>
    <xf numFmtId="0" fontId="1" fillId="2" borderId="3" xfId="0" applyFont="1" applyFill="1" applyBorder="1" applyAlignment="1">
      <alignment horizontal="left"/>
    </xf>
    <xf numFmtId="0" fontId="0" fillId="0" borderId="3" xfId="0" applyBorder="1" applyAlignment="1">
      <alignment horizontal="left"/>
    </xf>
    <xf numFmtId="10" fontId="0" fillId="0" borderId="0" xfId="1" applyNumberFormat="1" applyFont="1"/>
    <xf numFmtId="0" fontId="0" fillId="0" borderId="0" xfId="0" pivotButton="1"/>
    <xf numFmtId="0" fontId="0" fillId="0" borderId="0" xfId="0" applyAlignment="1">
      <alignment horizontal="left"/>
    </xf>
    <xf numFmtId="0" fontId="0" fillId="0" borderId="3" xfId="0" pivotButton="1" applyBorder="1" applyAlignment="1">
      <alignment horizontal="center" vertical="center"/>
    </xf>
    <xf numFmtId="0" fontId="3" fillId="0" borderId="0" xfId="0" applyFont="1"/>
    <xf numFmtId="14" fontId="0" fillId="0" borderId="0" xfId="0" applyNumberFormat="1"/>
    <xf numFmtId="10" fontId="0" fillId="0" borderId="3" xfId="1" applyNumberFormat="1" applyFont="1" applyBorder="1" applyAlignment="1">
      <alignment horizontal="left"/>
    </xf>
    <xf numFmtId="2" fontId="0" fillId="0" borderId="0" xfId="0" applyNumberFormat="1"/>
    <xf numFmtId="17" fontId="0" fillId="0" borderId="0" xfId="0" applyNumberFormat="1" applyAlignment="1">
      <alignment horizontal="left"/>
    </xf>
    <xf numFmtId="0" fontId="1" fillId="8" borderId="0" xfId="0" applyFont="1" applyFill="1" applyAlignment="1">
      <alignment horizontal="center" vertical="center"/>
    </xf>
    <xf numFmtId="10" fontId="5" fillId="0" borderId="1" xfId="0" applyNumberFormat="1" applyFont="1" applyBorder="1" applyAlignment="1">
      <alignment horizontal="center" vertical="center"/>
    </xf>
    <xf numFmtId="10" fontId="5" fillId="0" borderId="3" xfId="0" applyNumberFormat="1" applyFont="1" applyBorder="1" applyAlignment="1">
      <alignment horizontal="center" vertical="center"/>
    </xf>
    <xf numFmtId="10" fontId="5" fillId="0" borderId="0" xfId="0" applyNumberFormat="1" applyFont="1" applyAlignment="1">
      <alignment horizontal="center" vertical="center"/>
    </xf>
    <xf numFmtId="10"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7" fillId="9" borderId="3" xfId="0" applyFont="1" applyFill="1" applyBorder="1"/>
    <xf numFmtId="0" fontId="3" fillId="10" borderId="3" xfId="0" applyFont="1" applyFill="1" applyBorder="1"/>
    <xf numFmtId="10" fontId="3" fillId="10" borderId="3" xfId="1" applyNumberFormat="1" applyFont="1" applyFill="1" applyBorder="1"/>
    <xf numFmtId="0" fontId="9" fillId="0" borderId="0" xfId="0" applyFont="1"/>
    <xf numFmtId="0" fontId="9" fillId="0" borderId="0" xfId="0" applyFont="1" applyAlignment="1">
      <alignment horizontal="left" vertical="center" wrapText="1" indent="1"/>
    </xf>
    <xf numFmtId="0" fontId="9" fillId="0" borderId="0" xfId="0" applyFont="1" applyAlignment="1">
      <alignment horizontal="left" vertical="center" wrapText="1" indent="2"/>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left" vertical="center"/>
    </xf>
    <xf numFmtId="0" fontId="3" fillId="0" borderId="0" xfId="0" applyFont="1" applyAlignment="1">
      <alignment wrapText="1"/>
    </xf>
    <xf numFmtId="0" fontId="8" fillId="0" borderId="0" xfId="0" applyFont="1" applyAlignment="1">
      <alignment horizontal="left" vertical="center" wrapText="1" indent="1"/>
    </xf>
    <xf numFmtId="49" fontId="0" fillId="0" borderId="0" xfId="0" applyNumberFormat="1"/>
    <xf numFmtId="0" fontId="10" fillId="9" borderId="5" xfId="0" applyFont="1" applyFill="1" applyBorder="1" applyAlignment="1">
      <alignment horizontal="center" vertical="center"/>
    </xf>
    <xf numFmtId="0" fontId="0" fillId="0" borderId="0" xfId="0" applyAlignment="1">
      <alignment horizontal="center" vertical="center"/>
    </xf>
    <xf numFmtId="0" fontId="10" fillId="9" borderId="0" xfId="0" applyFont="1" applyFill="1" applyAlignment="1">
      <alignment horizontal="center" vertical="center"/>
    </xf>
    <xf numFmtId="0" fontId="3" fillId="10" borderId="0" xfId="0" applyFont="1" applyFill="1"/>
    <xf numFmtId="165" fontId="0" fillId="0" borderId="0" xfId="0" applyNumberFormat="1"/>
    <xf numFmtId="166" fontId="0" fillId="0" borderId="0" xfId="0" applyNumberFormat="1"/>
    <xf numFmtId="0" fontId="0" fillId="6" borderId="4" xfId="0" applyFill="1" applyBorder="1" applyAlignment="1">
      <alignment horizontal="center"/>
    </xf>
  </cellXfs>
  <cellStyles count="2">
    <cellStyle name="Normal" xfId="0" builtinId="0"/>
    <cellStyle name="Percent" xfId="1" builtinId="5"/>
  </cellStyles>
  <dxfs count="9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5" formatCode="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30" formatCode="@"/>
    </dxf>
    <dxf>
      <numFmt numFmtId="2" formatCode="0.00"/>
    </dxf>
    <dxf>
      <numFmt numFmtId="14" formatCode="0.00%"/>
    </dxf>
    <dxf>
      <numFmt numFmtId="0" formatCode="General"/>
    </dxf>
    <dxf>
      <numFmt numFmtId="167" formatCode="0.000%"/>
    </dxf>
    <dxf>
      <numFmt numFmtId="0" formatCode="Genera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dxf>
    <dxf>
      <numFmt numFmtId="0" formatCode="General"/>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96"/>
      <tableStyleElement type="headerRow" dxfId="95"/>
      <tableStyleElement type="firstRowStripe" dxfId="94"/>
    </tableStyle>
    <tableStyle name="TableStyleQueryResult" pivot="0" count="3" xr9:uid="{00000000-0011-0000-FFFF-FFFF01000000}">
      <tableStyleElement type="wholeTable" dxfId="93"/>
      <tableStyleElement type="headerRow" dxfId="92"/>
      <tableStyleElement type="firstRowStripe" dxfId="91"/>
    </tableStyle>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CPI</a:t>
            </a:r>
            <a:r>
              <a:rPr lang="en-IN" baseline="0"/>
              <a:t> CATEGORY WISE CONTRIBUTION BY SECTOR</a:t>
            </a:r>
            <a:br>
              <a:rPr lang="en-IN" baseline="0"/>
            </a:br>
            <a:r>
              <a:rPr lang="en-IN" baseline="0"/>
              <a:t>MAY-2023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'BROADER CATEGORY SOL'!$B$25</c:f>
              <c:strCache>
                <c:ptCount val="1"/>
                <c:pt idx="0">
                  <c:v>Rural</c:v>
                </c:pt>
              </c:strCache>
            </c:strRef>
          </c:tx>
          <c:spPr>
            <a:solidFill>
              <a:schemeClr val="accent1"/>
            </a:solidFill>
            <a:ln>
              <a:noFill/>
            </a:ln>
            <a:effectLst/>
          </c:spPr>
          <c:invertIfNegative val="0"/>
          <c:cat>
            <c:strRef>
              <c:f>'BROADER CATEGORY SOL'!$A$26:$A$35</c:f>
              <c:strCache>
                <c:ptCount val="10"/>
                <c:pt idx="0">
                  <c:v>CONTRIBUTION IN CLOTH</c:v>
                </c:pt>
                <c:pt idx="1">
                  <c:v>CONTRIBUTION IN HEALTH</c:v>
                </c:pt>
                <c:pt idx="2">
                  <c:v>CONTRIBUTION IN PER_CARE_ITEM</c:v>
                </c:pt>
                <c:pt idx="3">
                  <c:v>CONTRIBUTION IN L&amp;F</c:v>
                </c:pt>
                <c:pt idx="4">
                  <c:v>CONTRIBUTION IN EDUCATION</c:v>
                </c:pt>
                <c:pt idx="5">
                  <c:v>CONTRIBUTION IN MIS_ITEM</c:v>
                </c:pt>
                <c:pt idx="6">
                  <c:v>CONTRIBUTION IN FOOD</c:v>
                </c:pt>
                <c:pt idx="7">
                  <c:v>CONTRIBUTION IN REC_AND_AMU</c:v>
                </c:pt>
                <c:pt idx="8">
                  <c:v>CONTRIBUTION IN TR_COM</c:v>
                </c:pt>
                <c:pt idx="9">
                  <c:v>CONTRIBUTION IN HOUSE</c:v>
                </c:pt>
              </c:strCache>
            </c:strRef>
          </c:cat>
          <c:val>
            <c:numRef>
              <c:f>'BROADER CATEGORY SOL'!$B$26:$B$35</c:f>
              <c:numCache>
                <c:formatCode>0.00%</c:formatCode>
                <c:ptCount val="10"/>
                <c:pt idx="0">
                  <c:v>0.10632313913518003</c:v>
                </c:pt>
                <c:pt idx="1">
                  <c:v>0.10511046953634046</c:v>
                </c:pt>
                <c:pt idx="2">
                  <c:v>0.1034873579194321</c:v>
                </c:pt>
                <c:pt idx="3">
                  <c:v>0.10214409313302519</c:v>
                </c:pt>
                <c:pt idx="4">
                  <c:v>0.10091276707881887</c:v>
                </c:pt>
                <c:pt idx="5">
                  <c:v>0.10046501215001656</c:v>
                </c:pt>
                <c:pt idx="6">
                  <c:v>9.956950229241196E-2</c:v>
                </c:pt>
                <c:pt idx="7">
                  <c:v>9.7274758282300158E-2</c:v>
                </c:pt>
                <c:pt idx="8">
                  <c:v>9.4980014272188357E-2</c:v>
                </c:pt>
                <c:pt idx="9">
                  <c:v>8.9732886200286369E-2</c:v>
                </c:pt>
              </c:numCache>
            </c:numRef>
          </c:val>
          <c:extLst>
            <c:ext xmlns:c16="http://schemas.microsoft.com/office/drawing/2014/chart" uri="{C3380CC4-5D6E-409C-BE32-E72D297353CC}">
              <c16:uniqueId val="{00000000-C2A1-4CA4-8814-80653A113885}"/>
            </c:ext>
          </c:extLst>
        </c:ser>
        <c:ser>
          <c:idx val="1"/>
          <c:order val="1"/>
          <c:tx>
            <c:strRef>
              <c:f>'BROADER CATEGORY SOL'!$C$25</c:f>
              <c:strCache>
                <c:ptCount val="1"/>
                <c:pt idx="0">
                  <c:v>Urban</c:v>
                </c:pt>
              </c:strCache>
            </c:strRef>
          </c:tx>
          <c:spPr>
            <a:solidFill>
              <a:schemeClr val="accent2"/>
            </a:solidFill>
            <a:ln>
              <a:noFill/>
            </a:ln>
            <a:effectLst/>
          </c:spPr>
          <c:invertIfNegative val="0"/>
          <c:cat>
            <c:strRef>
              <c:f>'BROADER CATEGORY SOL'!$A$26:$A$35</c:f>
              <c:strCache>
                <c:ptCount val="10"/>
                <c:pt idx="0">
                  <c:v>CONTRIBUTION IN CLOTH</c:v>
                </c:pt>
                <c:pt idx="1">
                  <c:v>CONTRIBUTION IN HEALTH</c:v>
                </c:pt>
                <c:pt idx="2">
                  <c:v>CONTRIBUTION IN PER_CARE_ITEM</c:v>
                </c:pt>
                <c:pt idx="3">
                  <c:v>CONTRIBUTION IN L&amp;F</c:v>
                </c:pt>
                <c:pt idx="4">
                  <c:v>CONTRIBUTION IN EDUCATION</c:v>
                </c:pt>
                <c:pt idx="5">
                  <c:v>CONTRIBUTION IN MIS_ITEM</c:v>
                </c:pt>
                <c:pt idx="6">
                  <c:v>CONTRIBUTION IN FOOD</c:v>
                </c:pt>
                <c:pt idx="7">
                  <c:v>CONTRIBUTION IN REC_AND_AMU</c:v>
                </c:pt>
                <c:pt idx="8">
                  <c:v>CONTRIBUTION IN TR_COM</c:v>
                </c:pt>
                <c:pt idx="9">
                  <c:v>CONTRIBUTION IN HOUSE</c:v>
                </c:pt>
              </c:strCache>
            </c:strRef>
          </c:cat>
          <c:val>
            <c:numRef>
              <c:f>'BROADER CATEGORY SOL'!$C$26:$C$35</c:f>
              <c:numCache>
                <c:formatCode>0.00%</c:formatCode>
                <c:ptCount val="10"/>
                <c:pt idx="0">
                  <c:v>0.10559482429309497</c:v>
                </c:pt>
                <c:pt idx="1">
                  <c:v>0.10434316150513803</c:v>
                </c:pt>
                <c:pt idx="2">
                  <c:v>0.10366043634807059</c:v>
                </c:pt>
                <c:pt idx="3">
                  <c:v>0.10319309472269705</c:v>
                </c:pt>
                <c:pt idx="4">
                  <c:v>0.10026577515042981</c:v>
                </c:pt>
                <c:pt idx="5">
                  <c:v>9.9450297879488156E-2</c:v>
                </c:pt>
                <c:pt idx="6">
                  <c:v>9.834086949925358E-2</c:v>
                </c:pt>
                <c:pt idx="7">
                  <c:v>9.7629697460641679E-2</c:v>
                </c:pt>
                <c:pt idx="8">
                  <c:v>9.6264247146506832E-2</c:v>
                </c:pt>
                <c:pt idx="9">
                  <c:v>9.1257595994679058E-2</c:v>
                </c:pt>
              </c:numCache>
            </c:numRef>
          </c:val>
          <c:extLst>
            <c:ext xmlns:c16="http://schemas.microsoft.com/office/drawing/2014/chart" uri="{C3380CC4-5D6E-409C-BE32-E72D297353CC}">
              <c16:uniqueId val="{00000001-C2A1-4CA4-8814-80653A113885}"/>
            </c:ext>
          </c:extLst>
        </c:ser>
        <c:ser>
          <c:idx val="2"/>
          <c:order val="2"/>
          <c:tx>
            <c:strRef>
              <c:f>'BROADER CATEGORY SOL'!$D$25</c:f>
              <c:strCache>
                <c:ptCount val="1"/>
                <c:pt idx="0">
                  <c:v>Rural+Urban</c:v>
                </c:pt>
              </c:strCache>
            </c:strRef>
          </c:tx>
          <c:spPr>
            <a:solidFill>
              <a:schemeClr val="accent3"/>
            </a:solidFill>
            <a:ln>
              <a:noFill/>
            </a:ln>
            <a:effectLst/>
          </c:spPr>
          <c:invertIfNegative val="0"/>
          <c:cat>
            <c:strRef>
              <c:f>'BROADER CATEGORY SOL'!$A$26:$A$35</c:f>
              <c:strCache>
                <c:ptCount val="10"/>
                <c:pt idx="0">
                  <c:v>CONTRIBUTION IN CLOTH</c:v>
                </c:pt>
                <c:pt idx="1">
                  <c:v>CONTRIBUTION IN HEALTH</c:v>
                </c:pt>
                <c:pt idx="2">
                  <c:v>CONTRIBUTION IN PER_CARE_ITEM</c:v>
                </c:pt>
                <c:pt idx="3">
                  <c:v>CONTRIBUTION IN L&amp;F</c:v>
                </c:pt>
                <c:pt idx="4">
                  <c:v>CONTRIBUTION IN EDUCATION</c:v>
                </c:pt>
                <c:pt idx="5">
                  <c:v>CONTRIBUTION IN MIS_ITEM</c:v>
                </c:pt>
                <c:pt idx="6">
                  <c:v>CONTRIBUTION IN FOOD</c:v>
                </c:pt>
                <c:pt idx="7">
                  <c:v>CONTRIBUTION IN REC_AND_AMU</c:v>
                </c:pt>
                <c:pt idx="8">
                  <c:v>CONTRIBUTION IN TR_COM</c:v>
                </c:pt>
                <c:pt idx="9">
                  <c:v>CONTRIBUTION IN HOUSE</c:v>
                </c:pt>
              </c:strCache>
            </c:strRef>
          </c:cat>
          <c:val>
            <c:numRef>
              <c:f>'BROADER CATEGORY SOL'!$D$26:$D$35</c:f>
              <c:numCache>
                <c:formatCode>0.00%</c:formatCode>
                <c:ptCount val="10"/>
                <c:pt idx="0">
                  <c:v>0.10424176326478241</c:v>
                </c:pt>
                <c:pt idx="1">
                  <c:v>0.10396109077349328</c:v>
                </c:pt>
                <c:pt idx="2">
                  <c:v>0.10351201478743069</c:v>
                </c:pt>
                <c:pt idx="3">
                  <c:v>0.10261386281530548</c:v>
                </c:pt>
                <c:pt idx="4">
                  <c:v>0.10055693441485801</c:v>
                </c:pt>
                <c:pt idx="5">
                  <c:v>9.9414196414609399E-2</c:v>
                </c:pt>
                <c:pt idx="6">
                  <c:v>9.8628313438999832E-2</c:v>
                </c:pt>
                <c:pt idx="7">
                  <c:v>9.8459909944226348E-2</c:v>
                </c:pt>
                <c:pt idx="8">
                  <c:v>9.6102261017397675E-2</c:v>
                </c:pt>
                <c:pt idx="9">
                  <c:v>9.2509653128896849E-2</c:v>
                </c:pt>
              </c:numCache>
            </c:numRef>
          </c:val>
          <c:extLst>
            <c:ext xmlns:c16="http://schemas.microsoft.com/office/drawing/2014/chart" uri="{C3380CC4-5D6E-409C-BE32-E72D297353CC}">
              <c16:uniqueId val="{00000002-C2A1-4CA4-8814-80653A113885}"/>
            </c:ext>
          </c:extLst>
        </c:ser>
        <c:dLbls>
          <c:showLegendKey val="0"/>
          <c:showVal val="0"/>
          <c:showCatName val="0"/>
          <c:showSerName val="0"/>
          <c:showPercent val="0"/>
          <c:showBubbleSize val="0"/>
        </c:dLbls>
        <c:gapWidth val="219"/>
        <c:overlap val="-27"/>
        <c:axId val="140477024"/>
        <c:axId val="140476544"/>
      </c:barChart>
      <c:catAx>
        <c:axId val="140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6544"/>
        <c:crosses val="autoZero"/>
        <c:auto val="1"/>
        <c:lblAlgn val="ctr"/>
        <c:lblOffset val="100"/>
        <c:noMultiLvlLbl val="0"/>
      </c:catAx>
      <c:valAx>
        <c:axId val="140476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7024"/>
        <c:crosses val="autoZero"/>
        <c:crossBetween val="between"/>
      </c:valAx>
      <c:spPr>
        <a:noFill/>
        <a:ln>
          <a:noFill/>
        </a:ln>
        <a:effectLst/>
      </c:spPr>
    </c:plotArea>
    <c:legend>
      <c:legendPos val="b"/>
      <c:layout>
        <c:manualLayout>
          <c:xMode val="edge"/>
          <c:yMode val="edge"/>
          <c:x val="0.40830716366807518"/>
          <c:y val="0.94454339459793901"/>
          <c:w val="0.18338557048848508"/>
          <c:h val="4.30756502357418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trends.xlsx]Y-O-Y HIGHER INF RATE!PivotTable10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India's</a:t>
            </a:r>
            <a:r>
              <a:rPr lang="en-IN" baseline="0"/>
              <a:t> Inflation peaked at 6.62% in 2022</a:t>
            </a:r>
            <a:endParaRPr lang="en-IN"/>
          </a:p>
        </c:rich>
      </c:tx>
      <c:layout>
        <c:manualLayout>
          <c:xMode val="edge"/>
          <c:yMode val="edge"/>
          <c:x val="0.30847139171191712"/>
          <c:y val="4.37736449724116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0714943025513"/>
          <c:y val="0.26717923354765222"/>
          <c:w val="0.77073444036799721"/>
          <c:h val="0.50914100739760881"/>
        </c:manualLayout>
      </c:layout>
      <c:lineChart>
        <c:grouping val="standard"/>
        <c:varyColors val="0"/>
        <c:ser>
          <c:idx val="0"/>
          <c:order val="0"/>
          <c:tx>
            <c:strRef>
              <c:f>'Y-O-Y HIGHER INF RATE'!$B$4</c:f>
              <c:strCache>
                <c:ptCount val="1"/>
                <c:pt idx="0">
                  <c:v>Total</c:v>
                </c:pt>
              </c:strCache>
            </c:strRef>
          </c:tx>
          <c:spPr>
            <a:ln w="28575" cap="rnd">
              <a:solidFill>
                <a:schemeClr val="accent1"/>
              </a:solidFill>
              <a:round/>
            </a:ln>
            <a:effectLst/>
          </c:spPr>
          <c:marker>
            <c:symbol val="none"/>
          </c:marker>
          <c:cat>
            <c:strRef>
              <c:f>'Y-O-Y HIGHER INF RATE'!$A$5:$A$12</c:f>
              <c:strCache>
                <c:ptCount val="7"/>
                <c:pt idx="0">
                  <c:v>2016</c:v>
                </c:pt>
                <c:pt idx="1">
                  <c:v>2017</c:v>
                </c:pt>
                <c:pt idx="2">
                  <c:v>2018</c:v>
                </c:pt>
                <c:pt idx="3">
                  <c:v>2019</c:v>
                </c:pt>
                <c:pt idx="4">
                  <c:v>2020</c:v>
                </c:pt>
                <c:pt idx="5">
                  <c:v>2021</c:v>
                </c:pt>
                <c:pt idx="6">
                  <c:v>2022</c:v>
                </c:pt>
              </c:strCache>
            </c:strRef>
          </c:cat>
          <c:val>
            <c:numRef>
              <c:f>'Y-O-Y HIGHER INF RATE'!$B$5:$B$12</c:f>
              <c:numCache>
                <c:formatCode>0.00%</c:formatCode>
                <c:ptCount val="7"/>
                <c:pt idx="1">
                  <c:v>3.3281733746129895E-2</c:v>
                </c:pt>
                <c:pt idx="2">
                  <c:v>3.9513108614232254E-2</c:v>
                </c:pt>
                <c:pt idx="3">
                  <c:v>3.8961038961038953E-2</c:v>
                </c:pt>
                <c:pt idx="4">
                  <c:v>6.3795712484237196E-2</c:v>
                </c:pt>
                <c:pt idx="5">
                  <c:v>5.2668752988220692E-2</c:v>
                </c:pt>
                <c:pt idx="6">
                  <c:v>6.6219354838709665E-2</c:v>
                </c:pt>
              </c:numCache>
            </c:numRef>
          </c:val>
          <c:smooth val="0"/>
          <c:extLst>
            <c:ext xmlns:c16="http://schemas.microsoft.com/office/drawing/2014/chart" uri="{C3380CC4-5D6E-409C-BE32-E72D297353CC}">
              <c16:uniqueId val="{00000000-D308-43F8-AED5-E5F5E2BFFDD3}"/>
            </c:ext>
          </c:extLst>
        </c:ser>
        <c:dLbls>
          <c:showLegendKey val="0"/>
          <c:showVal val="0"/>
          <c:showCatName val="0"/>
          <c:showSerName val="0"/>
          <c:showPercent val="0"/>
          <c:showBubbleSize val="0"/>
        </c:dLbls>
        <c:smooth val="0"/>
        <c:axId val="708995087"/>
        <c:axId val="708996527"/>
      </c:lineChart>
      <c:catAx>
        <c:axId val="70899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996527"/>
        <c:crosses val="autoZero"/>
        <c:auto val="1"/>
        <c:lblAlgn val="ctr"/>
        <c:lblOffset val="100"/>
        <c:noMultiLvlLbl val="0"/>
      </c:catAx>
      <c:valAx>
        <c:axId val="708996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995087"/>
        <c:crosses val="autoZero"/>
        <c:crossBetween val="between"/>
        <c:majorUnit val="2.0000000000000004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a:t>
            </a:r>
            <a:r>
              <a:rPr lang="en-IN" baseline="0"/>
              <a:t> Basket Violatility June22-May23</a:t>
            </a:r>
            <a:endParaRPr lang="en-IN"/>
          </a:p>
        </c:rich>
      </c:tx>
      <c:layout>
        <c:manualLayout>
          <c:xMode val="edge"/>
          <c:yMode val="edge"/>
          <c:x val="0.41578155359520852"/>
          <c:y val="5.1548414243598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3.9657293102076087E-2"/>
          <c:y val="3.6940306070740857E-2"/>
          <c:w val="0.91865067587848503"/>
          <c:h val="0.88361681796464409"/>
        </c:manualLayout>
      </c:layout>
      <c:lineChart>
        <c:grouping val="standard"/>
        <c:varyColors val="0"/>
        <c:ser>
          <c:idx val="0"/>
          <c:order val="0"/>
          <c:spPr>
            <a:ln w="28575" cap="rnd">
              <a:solidFill>
                <a:schemeClr val="accent1"/>
              </a:solidFill>
              <a:round/>
            </a:ln>
            <a:effectLst/>
          </c:spPr>
          <c:marker>
            <c:symbol val="none"/>
          </c:marker>
          <c:cat>
            <c:strRef>
              <c:f>'M-O-M HIGH &amp; LOW INF'!$A$5:$A$16</c:f>
              <c:strCache>
                <c:ptCount val="12"/>
                <c:pt idx="0">
                  <c:v>6/2022</c:v>
                </c:pt>
                <c:pt idx="1">
                  <c:v>7/2022</c:v>
                </c:pt>
                <c:pt idx="2">
                  <c:v>8/2022</c:v>
                </c:pt>
                <c:pt idx="3">
                  <c:v>9/2022</c:v>
                </c:pt>
                <c:pt idx="4">
                  <c:v>10/2022</c:v>
                </c:pt>
                <c:pt idx="5">
                  <c:v>11/2022</c:v>
                </c:pt>
                <c:pt idx="6">
                  <c:v>12/2022</c:v>
                </c:pt>
                <c:pt idx="7">
                  <c:v>1/2023</c:v>
                </c:pt>
                <c:pt idx="8">
                  <c:v>2/2023</c:v>
                </c:pt>
                <c:pt idx="9">
                  <c:v>3/2023</c:v>
                </c:pt>
                <c:pt idx="10">
                  <c:v>4/2023</c:v>
                </c:pt>
                <c:pt idx="11">
                  <c:v>5/2023</c:v>
                </c:pt>
              </c:strCache>
            </c:strRef>
          </c:cat>
          <c:val>
            <c:numRef>
              <c:f>'M-O-M HIGH &amp; LOW INF'!$C$5:$C$16</c:f>
              <c:numCache>
                <c:formatCode>0.00%</c:formatCode>
                <c:ptCount val="12"/>
                <c:pt idx="0">
                  <c:v>9.5355528154559121E-3</c:v>
                </c:pt>
                <c:pt idx="1">
                  <c:v>1.9135249572510566E-3</c:v>
                </c:pt>
                <c:pt idx="2">
                  <c:v>1.3409728148238956E-3</c:v>
                </c:pt>
                <c:pt idx="3">
                  <c:v>5.1132213294375773E-3</c:v>
                </c:pt>
                <c:pt idx="4">
                  <c:v>6.7829457364340434E-3</c:v>
                </c:pt>
                <c:pt idx="5">
                  <c:v>4.0102662816865741E-5</c:v>
                </c:pt>
                <c:pt idx="6">
                  <c:v>-5.2131371055059656E-3</c:v>
                </c:pt>
                <c:pt idx="7">
                  <c:v>4.1117426532831826E-3</c:v>
                </c:pt>
                <c:pt idx="8">
                  <c:v>-4.9379742261831758E-3</c:v>
                </c:pt>
                <c:pt idx="9">
                  <c:v>4.0345356249390191E-5</c:v>
                </c:pt>
                <c:pt idx="10">
                  <c:v>4.6395287852505629E-3</c:v>
                </c:pt>
                <c:pt idx="11">
                  <c:v>7.1078628222632206E-3</c:v>
                </c:pt>
              </c:numCache>
            </c:numRef>
          </c:val>
          <c:smooth val="0"/>
          <c:extLst>
            <c:ext xmlns:c16="http://schemas.microsoft.com/office/drawing/2014/chart" uri="{C3380CC4-5D6E-409C-BE32-E72D297353CC}">
              <c16:uniqueId val="{00000000-E550-4E9C-85E4-023C4920AB0D}"/>
            </c:ext>
          </c:extLst>
        </c:ser>
        <c:dLbls>
          <c:showLegendKey val="0"/>
          <c:showVal val="0"/>
          <c:showCatName val="0"/>
          <c:showSerName val="0"/>
          <c:showPercent val="0"/>
          <c:showBubbleSize val="0"/>
        </c:dLbls>
        <c:smooth val="0"/>
        <c:axId val="849631951"/>
        <c:axId val="849628591"/>
      </c:lineChart>
      <c:catAx>
        <c:axId val="84963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28591"/>
        <c:crosses val="autoZero"/>
        <c:auto val="1"/>
        <c:lblAlgn val="ctr"/>
        <c:lblOffset val="100"/>
        <c:noMultiLvlLbl val="1"/>
      </c:catAx>
      <c:valAx>
        <c:axId val="849628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MOM</a:t>
                </a:r>
                <a:r>
                  <a:rPr lang="en-IN" baseline="0"/>
                  <a:t> CHANGE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31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trends.xlsx]PRE VS POST COVID INF!PivotTable1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FOOD (PRE COVID) TO HIGH ESSENTIAL SERVICES &amp; HEALTH(POST-COVID) INFLATION (2018-2022)</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8705161854772E-2"/>
          <c:y val="0.20629192184310294"/>
          <c:w val="0.59430686789151355"/>
          <c:h val="0.56695902595508896"/>
        </c:manualLayout>
      </c:layout>
      <c:lineChart>
        <c:grouping val="standard"/>
        <c:varyColors val="0"/>
        <c:ser>
          <c:idx val="0"/>
          <c:order val="0"/>
          <c:tx>
            <c:strRef>
              <c:f>'PRE VS POST COVID INF'!$D$9</c:f>
              <c:strCache>
                <c:ptCount val="1"/>
                <c:pt idx="0">
                  <c:v>Average of Food%</c:v>
                </c:pt>
              </c:strCache>
            </c:strRef>
          </c:tx>
          <c:spPr>
            <a:ln w="28575" cap="rnd">
              <a:solidFill>
                <a:schemeClr val="accent1"/>
              </a:solidFill>
              <a:round/>
            </a:ln>
            <a:effectLst/>
          </c:spPr>
          <c:marker>
            <c:symbol val="none"/>
          </c:marker>
          <c:cat>
            <c:strRef>
              <c:f>'PRE VS POST COVID INF'!$C$10:$C$14</c:f>
              <c:strCache>
                <c:ptCount val="4"/>
                <c:pt idx="0">
                  <c:v>Mar-19</c:v>
                </c:pt>
                <c:pt idx="1">
                  <c:v>Mar-20</c:v>
                </c:pt>
                <c:pt idx="2">
                  <c:v>Mar-21</c:v>
                </c:pt>
                <c:pt idx="3">
                  <c:v>Mar-22</c:v>
                </c:pt>
              </c:strCache>
            </c:strRef>
          </c:cat>
          <c:val>
            <c:numRef>
              <c:f>'PRE VS POST COVID INF'!$D$10:$D$14</c:f>
              <c:numCache>
                <c:formatCode>0.00</c:formatCode>
                <c:ptCount val="4"/>
                <c:pt idx="0">
                  <c:v>8.8607594936708676</c:v>
                </c:pt>
                <c:pt idx="1">
                  <c:v>4.1723666210670469</c:v>
                </c:pt>
                <c:pt idx="2">
                  <c:v>6.1720288903479821</c:v>
                </c:pt>
                <c:pt idx="3">
                  <c:v>6.9882498453927102</c:v>
                </c:pt>
              </c:numCache>
            </c:numRef>
          </c:val>
          <c:smooth val="0"/>
          <c:extLst>
            <c:ext xmlns:c16="http://schemas.microsoft.com/office/drawing/2014/chart" uri="{C3380CC4-5D6E-409C-BE32-E72D297353CC}">
              <c16:uniqueId val="{00000000-63E9-46DC-B365-B20DB5CBF71C}"/>
            </c:ext>
          </c:extLst>
        </c:ser>
        <c:ser>
          <c:idx val="1"/>
          <c:order val="1"/>
          <c:tx>
            <c:strRef>
              <c:f>'PRE VS POST COVID INF'!$E$9</c:f>
              <c:strCache>
                <c:ptCount val="1"/>
                <c:pt idx="0">
                  <c:v>Average of Essential Service%</c:v>
                </c:pt>
              </c:strCache>
            </c:strRef>
          </c:tx>
          <c:spPr>
            <a:ln w="28575" cap="rnd">
              <a:solidFill>
                <a:schemeClr val="accent2"/>
              </a:solidFill>
              <a:round/>
            </a:ln>
            <a:effectLst/>
          </c:spPr>
          <c:marker>
            <c:symbol val="none"/>
          </c:marker>
          <c:cat>
            <c:strRef>
              <c:f>'PRE VS POST COVID INF'!$C$10:$C$14</c:f>
              <c:strCache>
                <c:ptCount val="4"/>
                <c:pt idx="0">
                  <c:v>Mar-19</c:v>
                </c:pt>
                <c:pt idx="1">
                  <c:v>Mar-20</c:v>
                </c:pt>
                <c:pt idx="2">
                  <c:v>Mar-21</c:v>
                </c:pt>
                <c:pt idx="3">
                  <c:v>Mar-22</c:v>
                </c:pt>
              </c:strCache>
            </c:strRef>
          </c:cat>
          <c:val>
            <c:numRef>
              <c:f>'PRE VS POST COVID INF'!$E$10:$E$14</c:f>
              <c:numCache>
                <c:formatCode>0.00</c:formatCode>
                <c:ptCount val="4"/>
                <c:pt idx="0">
                  <c:v>4.0716112531969291</c:v>
                </c:pt>
                <c:pt idx="1">
                  <c:v>3.0964317310527871</c:v>
                </c:pt>
                <c:pt idx="2">
                  <c:v>3.8234172387490459</c:v>
                </c:pt>
                <c:pt idx="3">
                  <c:v>7.3652309670309482</c:v>
                </c:pt>
              </c:numCache>
            </c:numRef>
          </c:val>
          <c:smooth val="0"/>
          <c:extLst>
            <c:ext xmlns:c16="http://schemas.microsoft.com/office/drawing/2014/chart" uri="{C3380CC4-5D6E-409C-BE32-E72D297353CC}">
              <c16:uniqueId val="{00000001-63E9-46DC-B365-B20DB5CBF71C}"/>
            </c:ext>
          </c:extLst>
        </c:ser>
        <c:ser>
          <c:idx val="2"/>
          <c:order val="2"/>
          <c:tx>
            <c:strRef>
              <c:f>'PRE VS POST COVID INF'!$F$9</c:f>
              <c:strCache>
                <c:ptCount val="1"/>
                <c:pt idx="0">
                  <c:v>Average of Health%</c:v>
                </c:pt>
              </c:strCache>
            </c:strRef>
          </c:tx>
          <c:spPr>
            <a:ln w="28575" cap="rnd">
              <a:solidFill>
                <a:schemeClr val="accent3"/>
              </a:solidFill>
              <a:round/>
            </a:ln>
            <a:effectLst/>
          </c:spPr>
          <c:marker>
            <c:symbol val="none"/>
          </c:marker>
          <c:cat>
            <c:strRef>
              <c:f>'PRE VS POST COVID INF'!$C$10:$C$14</c:f>
              <c:strCache>
                <c:ptCount val="4"/>
                <c:pt idx="0">
                  <c:v>Mar-19</c:v>
                </c:pt>
                <c:pt idx="1">
                  <c:v>Mar-20</c:v>
                </c:pt>
                <c:pt idx="2">
                  <c:v>Mar-21</c:v>
                </c:pt>
                <c:pt idx="3">
                  <c:v>Mar-22</c:v>
                </c:pt>
              </c:strCache>
            </c:strRef>
          </c:cat>
          <c:val>
            <c:numRef>
              <c:f>'PRE VS POST COVID INF'!$F$10:$F$14</c:f>
              <c:numCache>
                <c:formatCode>0.00</c:formatCode>
                <c:ptCount val="4"/>
                <c:pt idx="0">
                  <c:v>0.73733200857606751</c:v>
                </c:pt>
                <c:pt idx="1">
                  <c:v>7.2778239202657744</c:v>
                </c:pt>
                <c:pt idx="2">
                  <c:v>7.7857350237104548</c:v>
                </c:pt>
                <c:pt idx="3">
                  <c:v>6.7519640852974128</c:v>
                </c:pt>
              </c:numCache>
            </c:numRef>
          </c:val>
          <c:smooth val="0"/>
          <c:extLst>
            <c:ext xmlns:c16="http://schemas.microsoft.com/office/drawing/2014/chart" uri="{C3380CC4-5D6E-409C-BE32-E72D297353CC}">
              <c16:uniqueId val="{00000002-63E9-46DC-B365-B20DB5CBF71C}"/>
            </c:ext>
          </c:extLst>
        </c:ser>
        <c:dLbls>
          <c:showLegendKey val="0"/>
          <c:showVal val="0"/>
          <c:showCatName val="0"/>
          <c:showSerName val="0"/>
          <c:showPercent val="0"/>
          <c:showBubbleSize val="0"/>
        </c:dLbls>
        <c:smooth val="0"/>
        <c:axId val="89453360"/>
        <c:axId val="89453840"/>
      </c:lineChart>
      <c:catAx>
        <c:axId val="8945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Pre</a:t>
                </a:r>
                <a:r>
                  <a:rPr lang="en-IN" baseline="0"/>
                  <a:t> vs During vs Post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453840"/>
        <c:crosses val="autoZero"/>
        <c:auto val="1"/>
        <c:lblAlgn val="ctr"/>
        <c:lblOffset val="100"/>
        <c:noMultiLvlLbl val="0"/>
      </c:catAx>
      <c:valAx>
        <c:axId val="8945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trends.xlsx]Oil Inflation analysis!PivotTable2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'Oil Inflation analysis'!$B$39</c:f>
              <c:strCache>
                <c:ptCount val="1"/>
                <c:pt idx="0">
                  <c:v>Average of Fuel_Inflation</c:v>
                </c:pt>
              </c:strCache>
            </c:strRef>
          </c:tx>
          <c:spPr>
            <a:solidFill>
              <a:schemeClr val="accent1"/>
            </a:solidFill>
            <a:ln>
              <a:noFill/>
            </a:ln>
            <a:effectLst/>
          </c:spPr>
          <c:invertIfNegative val="0"/>
          <c:cat>
            <c:strRef>
              <c:f>'Oil Inflation analysis'!$A$40:$A$43</c:f>
              <c:strCache>
                <c:ptCount val="3"/>
                <c:pt idx="0">
                  <c:v>2021</c:v>
                </c:pt>
                <c:pt idx="1">
                  <c:v>2022</c:v>
                </c:pt>
                <c:pt idx="2">
                  <c:v>2023</c:v>
                </c:pt>
              </c:strCache>
            </c:strRef>
          </c:cat>
          <c:val>
            <c:numRef>
              <c:f>'Oil Inflation analysis'!$B$40:$B$43</c:f>
              <c:numCache>
                <c:formatCode>General</c:formatCode>
                <c:ptCount val="3"/>
                <c:pt idx="0">
                  <c:v>5.5666666666666673</c:v>
                </c:pt>
                <c:pt idx="1">
                  <c:v>7.9166666666666652</c:v>
                </c:pt>
                <c:pt idx="2">
                  <c:v>6.8500000000000005</c:v>
                </c:pt>
              </c:numCache>
            </c:numRef>
          </c:val>
          <c:extLst>
            <c:ext xmlns:c16="http://schemas.microsoft.com/office/drawing/2014/chart" uri="{C3380CC4-5D6E-409C-BE32-E72D297353CC}">
              <c16:uniqueId val="{00000000-8801-489D-A3EA-1BF05E0D6961}"/>
            </c:ext>
          </c:extLst>
        </c:ser>
        <c:ser>
          <c:idx val="1"/>
          <c:order val="1"/>
          <c:tx>
            <c:strRef>
              <c:f>'Oil Inflation analysis'!$C$39</c:f>
              <c:strCache>
                <c:ptCount val="1"/>
                <c:pt idx="0">
                  <c:v>Average of Transport_Inflation</c:v>
                </c:pt>
              </c:strCache>
            </c:strRef>
          </c:tx>
          <c:spPr>
            <a:solidFill>
              <a:schemeClr val="accent2"/>
            </a:solidFill>
            <a:ln>
              <a:noFill/>
            </a:ln>
            <a:effectLst/>
          </c:spPr>
          <c:invertIfNegative val="0"/>
          <c:cat>
            <c:strRef>
              <c:f>'Oil Inflation analysis'!$A$40:$A$43</c:f>
              <c:strCache>
                <c:ptCount val="3"/>
                <c:pt idx="0">
                  <c:v>2021</c:v>
                </c:pt>
                <c:pt idx="1">
                  <c:v>2022</c:v>
                </c:pt>
                <c:pt idx="2">
                  <c:v>2023</c:v>
                </c:pt>
              </c:strCache>
            </c:strRef>
          </c:cat>
          <c:val>
            <c:numRef>
              <c:f>'Oil Inflation analysis'!$C$40:$C$43</c:f>
              <c:numCache>
                <c:formatCode>General</c:formatCode>
                <c:ptCount val="3"/>
                <c:pt idx="0">
                  <c:v>4.6833333333333336</c:v>
                </c:pt>
                <c:pt idx="1">
                  <c:v>7.1916666666666673</c:v>
                </c:pt>
                <c:pt idx="2">
                  <c:v>6.1999999999999993</c:v>
                </c:pt>
              </c:numCache>
            </c:numRef>
          </c:val>
          <c:extLst>
            <c:ext xmlns:c16="http://schemas.microsoft.com/office/drawing/2014/chart" uri="{C3380CC4-5D6E-409C-BE32-E72D297353CC}">
              <c16:uniqueId val="{00000001-8801-489D-A3EA-1BF05E0D6961}"/>
            </c:ext>
          </c:extLst>
        </c:ser>
        <c:ser>
          <c:idx val="2"/>
          <c:order val="2"/>
          <c:tx>
            <c:strRef>
              <c:f>'Oil Inflation analysis'!$D$39</c:f>
              <c:strCache>
                <c:ptCount val="1"/>
                <c:pt idx="0">
                  <c:v>Average of Food_Inflation</c:v>
                </c:pt>
              </c:strCache>
            </c:strRef>
          </c:tx>
          <c:spPr>
            <a:solidFill>
              <a:schemeClr val="accent3"/>
            </a:solidFill>
            <a:ln>
              <a:noFill/>
            </a:ln>
            <a:effectLst/>
          </c:spPr>
          <c:invertIfNegative val="0"/>
          <c:cat>
            <c:strRef>
              <c:f>'Oil Inflation analysis'!$A$40:$A$43</c:f>
              <c:strCache>
                <c:ptCount val="3"/>
                <c:pt idx="0">
                  <c:v>2021</c:v>
                </c:pt>
                <c:pt idx="1">
                  <c:v>2022</c:v>
                </c:pt>
                <c:pt idx="2">
                  <c:v>2023</c:v>
                </c:pt>
              </c:strCache>
            </c:strRef>
          </c:cat>
          <c:val>
            <c:numRef>
              <c:f>'Oil Inflation analysis'!$D$40:$D$43</c:f>
              <c:numCache>
                <c:formatCode>General</c:formatCode>
                <c:ptCount val="3"/>
                <c:pt idx="0">
                  <c:v>6.3750000000000009</c:v>
                </c:pt>
                <c:pt idx="1">
                  <c:v>8.0250000000000004</c:v>
                </c:pt>
                <c:pt idx="2">
                  <c:v>7.4499999999999993</c:v>
                </c:pt>
              </c:numCache>
            </c:numRef>
          </c:val>
          <c:extLst>
            <c:ext xmlns:c16="http://schemas.microsoft.com/office/drawing/2014/chart" uri="{C3380CC4-5D6E-409C-BE32-E72D297353CC}">
              <c16:uniqueId val="{00000002-8801-489D-A3EA-1BF05E0D6961}"/>
            </c:ext>
          </c:extLst>
        </c:ser>
        <c:ser>
          <c:idx val="3"/>
          <c:order val="3"/>
          <c:tx>
            <c:strRef>
              <c:f>'Oil Inflation analysis'!$E$39</c:f>
              <c:strCache>
                <c:ptCount val="1"/>
                <c:pt idx="0">
                  <c:v>Average of Crude_Oil_Price</c:v>
                </c:pt>
              </c:strCache>
            </c:strRef>
          </c:tx>
          <c:spPr>
            <a:solidFill>
              <a:schemeClr val="accent4"/>
            </a:solidFill>
            <a:ln>
              <a:noFill/>
            </a:ln>
            <a:effectLst/>
          </c:spPr>
          <c:invertIfNegative val="0"/>
          <c:cat>
            <c:strRef>
              <c:f>'Oil Inflation analysis'!$A$40:$A$43</c:f>
              <c:strCache>
                <c:ptCount val="3"/>
                <c:pt idx="0">
                  <c:v>2021</c:v>
                </c:pt>
                <c:pt idx="1">
                  <c:v>2022</c:v>
                </c:pt>
                <c:pt idx="2">
                  <c:v>2023</c:v>
                </c:pt>
              </c:strCache>
            </c:strRef>
          </c:cat>
          <c:val>
            <c:numRef>
              <c:f>'Oil Inflation analysis'!$E$40:$E$43</c:f>
              <c:numCache>
                <c:formatCode>General</c:formatCode>
                <c:ptCount val="3"/>
                <c:pt idx="0">
                  <c:v>68.5</c:v>
                </c:pt>
                <c:pt idx="1">
                  <c:v>95.25</c:v>
                </c:pt>
                <c:pt idx="2">
                  <c:v>84.25</c:v>
                </c:pt>
              </c:numCache>
            </c:numRef>
          </c:val>
          <c:extLst>
            <c:ext xmlns:c16="http://schemas.microsoft.com/office/drawing/2014/chart" uri="{C3380CC4-5D6E-409C-BE32-E72D297353CC}">
              <c16:uniqueId val="{00000003-8801-489D-A3EA-1BF05E0D6961}"/>
            </c:ext>
          </c:extLst>
        </c:ser>
        <c:dLbls>
          <c:showLegendKey val="0"/>
          <c:showVal val="0"/>
          <c:showCatName val="0"/>
          <c:showSerName val="0"/>
          <c:showPercent val="0"/>
          <c:showBubbleSize val="0"/>
        </c:dLbls>
        <c:gapWidth val="219"/>
        <c:overlap val="-27"/>
        <c:axId val="1809351775"/>
        <c:axId val="1809351295"/>
      </c:barChart>
      <c:catAx>
        <c:axId val="1809351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351295"/>
        <c:crosses val="autoZero"/>
        <c:auto val="1"/>
        <c:lblAlgn val="ctr"/>
        <c:lblOffset val="100"/>
        <c:noMultiLvlLbl val="0"/>
      </c:catAx>
      <c:valAx>
        <c:axId val="18093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35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1057356</xdr:colOff>
      <xdr:row>0</xdr:row>
      <xdr:rowOff>0</xdr:rowOff>
    </xdr:from>
    <xdr:to>
      <xdr:col>9</xdr:col>
      <xdr:colOff>1744053</xdr:colOff>
      <xdr:row>25</xdr:row>
      <xdr:rowOff>28753</xdr:rowOff>
    </xdr:to>
    <xdr:graphicFrame macro="">
      <xdr:nvGraphicFramePr>
        <xdr:cNvPr id="2" name="Chart 1">
          <a:extLst>
            <a:ext uri="{FF2B5EF4-FFF2-40B4-BE49-F238E27FC236}">
              <a16:creationId xmlns:a16="http://schemas.microsoft.com/office/drawing/2014/main" id="{56A5AE1B-C130-E440-9475-B37511CFD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1469400</xdr:colOff>
      <xdr:row>1</xdr:row>
      <xdr:rowOff>0</xdr:rowOff>
    </xdr:from>
    <xdr:to>
      <xdr:col>10</xdr:col>
      <xdr:colOff>585100</xdr:colOff>
      <xdr:row>20</xdr:row>
      <xdr:rowOff>138546</xdr:rowOff>
    </xdr:to>
    <xdr:graphicFrame macro="">
      <xdr:nvGraphicFramePr>
        <xdr:cNvPr id="2" name="Chart 1">
          <a:extLst>
            <a:ext uri="{FF2B5EF4-FFF2-40B4-BE49-F238E27FC236}">
              <a16:creationId xmlns:a16="http://schemas.microsoft.com/office/drawing/2014/main" id="{C70BE30E-68A1-1448-23F0-F3CE195AC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0.72179</cdr:x>
      <cdr:y>0.2661</cdr:y>
    </cdr:from>
    <cdr:to>
      <cdr:x>0.91546</cdr:x>
      <cdr:y>0.42842</cdr:y>
    </cdr:to>
    <cdr:sp macro="" textlink="">
      <cdr:nvSpPr>
        <cdr:cNvPr id="2" name="TextBox 1">
          <a:extLst xmlns:a="http://schemas.openxmlformats.org/drawingml/2006/main">
            <a:ext uri="{FF2B5EF4-FFF2-40B4-BE49-F238E27FC236}">
              <a16:creationId xmlns:a16="http://schemas.microsoft.com/office/drawing/2014/main" id="{7B5985BA-0DFC-9515-7858-D402E8EF254F}"/>
            </a:ext>
          </a:extLst>
        </cdr:cNvPr>
        <cdr:cNvSpPr txBox="1"/>
      </cdr:nvSpPr>
      <cdr:spPr>
        <a:xfrm xmlns:a="http://schemas.openxmlformats.org/drawingml/2006/main">
          <a:off x="3567235" y="976524"/>
          <a:ext cx="957146" cy="5956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2022-</a:t>
          </a:r>
          <a:r>
            <a:rPr lang="en-IN" sz="900" kern="1200" baseline="0"/>
            <a:t> HIGHEST</a:t>
          </a:r>
          <a:br>
            <a:rPr lang="en-IN" sz="900" kern="1200" baseline="0"/>
          </a:br>
          <a:r>
            <a:rPr lang="en-IN" sz="900" kern="1200" baseline="0"/>
            <a:t>YOY AT 6.62%</a:t>
          </a:r>
          <a:endParaRPr lang="en-IN" sz="900" kern="1200"/>
        </a:p>
      </cdr:txBody>
    </cdr:sp>
  </cdr:relSizeAnchor>
  <cdr:relSizeAnchor xmlns:cdr="http://schemas.openxmlformats.org/drawingml/2006/chartDrawing">
    <cdr:from>
      <cdr:x>0.60521</cdr:x>
      <cdr:y>0.43301</cdr:y>
    </cdr:from>
    <cdr:to>
      <cdr:x>0.77444</cdr:x>
      <cdr:y>0.6052</cdr:y>
    </cdr:to>
    <cdr:sp macro="" textlink="">
      <cdr:nvSpPr>
        <cdr:cNvPr id="3" name="TextBox 2">
          <a:extLst xmlns:a="http://schemas.openxmlformats.org/drawingml/2006/main">
            <a:ext uri="{FF2B5EF4-FFF2-40B4-BE49-F238E27FC236}">
              <a16:creationId xmlns:a16="http://schemas.microsoft.com/office/drawing/2014/main" id="{F2CB4025-AA0D-429F-CDBF-AE8DD830B0E0}"/>
            </a:ext>
          </a:extLst>
        </cdr:cNvPr>
        <cdr:cNvSpPr txBox="1"/>
      </cdr:nvSpPr>
      <cdr:spPr>
        <a:xfrm xmlns:a="http://schemas.openxmlformats.org/drawingml/2006/main">
          <a:off x="2991088" y="1589049"/>
          <a:ext cx="836342" cy="63190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900" kern="1200"/>
        </a:p>
      </cdr:txBody>
    </cdr:sp>
  </cdr:relSizeAnchor>
  <cdr:relSizeAnchor xmlns:cdr="http://schemas.openxmlformats.org/drawingml/2006/chartDrawing">
    <cdr:from>
      <cdr:x>0.58705</cdr:x>
      <cdr:y>0.30158</cdr:y>
    </cdr:from>
    <cdr:to>
      <cdr:x>0.77319</cdr:x>
      <cdr:y>0.55253</cdr:y>
    </cdr:to>
    <cdr:sp macro="" textlink="">
      <cdr:nvSpPr>
        <cdr:cNvPr id="4" name="TextBox 3">
          <a:extLst xmlns:a="http://schemas.openxmlformats.org/drawingml/2006/main">
            <a:ext uri="{FF2B5EF4-FFF2-40B4-BE49-F238E27FC236}">
              <a16:creationId xmlns:a16="http://schemas.microsoft.com/office/drawing/2014/main" id="{1059C26C-BA5A-D13A-C245-68EB55E25696}"/>
            </a:ext>
          </a:extLst>
        </cdr:cNvPr>
        <cdr:cNvSpPr txBox="1"/>
      </cdr:nvSpPr>
      <cdr:spPr>
        <a:xfrm xmlns:a="http://schemas.openxmlformats.org/drawingml/2006/main">
          <a:off x="2883879" y="109888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0.47359</cdr:x>
      <cdr:y>0.31653</cdr:y>
    </cdr:from>
    <cdr:to>
      <cdr:x>0.68992</cdr:x>
      <cdr:y>0.50645</cdr:y>
    </cdr:to>
    <cdr:sp macro="" textlink="">
      <cdr:nvSpPr>
        <cdr:cNvPr id="5" name="TextBox 4">
          <a:extLst xmlns:a="http://schemas.openxmlformats.org/drawingml/2006/main">
            <a:ext uri="{FF2B5EF4-FFF2-40B4-BE49-F238E27FC236}">
              <a16:creationId xmlns:a16="http://schemas.microsoft.com/office/drawing/2014/main" id="{88848977-C7BF-1CDD-8702-8B5D625D395C}"/>
            </a:ext>
          </a:extLst>
        </cdr:cNvPr>
        <cdr:cNvSpPr txBox="1"/>
      </cdr:nvSpPr>
      <cdr:spPr>
        <a:xfrm xmlns:a="http://schemas.openxmlformats.org/drawingml/2006/main">
          <a:off x="2340600" y="1161585"/>
          <a:ext cx="1069131" cy="69695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High</a:t>
          </a:r>
          <a:r>
            <a:rPr lang="en-IN" sz="1100" kern="1200" baseline="0"/>
            <a:t> Base effect</a:t>
          </a:r>
          <a:endParaRPr lang="en-IN" sz="1100" kern="1200"/>
        </a:p>
      </cdr:txBody>
    </cdr:sp>
  </cdr:relSizeAnchor>
  <cdr:relSizeAnchor xmlns:cdr="http://schemas.openxmlformats.org/drawingml/2006/chartDrawing">
    <cdr:from>
      <cdr:x>0.54504</cdr:x>
      <cdr:y>0.44061</cdr:y>
    </cdr:from>
    <cdr:to>
      <cdr:x>0.87221</cdr:x>
      <cdr:y>0.57735</cdr:y>
    </cdr:to>
    <cdr:sp macro="" textlink="">
      <cdr:nvSpPr>
        <cdr:cNvPr id="6" name="TextBox 5">
          <a:extLst xmlns:a="http://schemas.openxmlformats.org/drawingml/2006/main">
            <a:ext uri="{FF2B5EF4-FFF2-40B4-BE49-F238E27FC236}">
              <a16:creationId xmlns:a16="http://schemas.microsoft.com/office/drawing/2014/main" id="{B81157FF-8FD5-0F89-9E64-595FBE5454E9}"/>
            </a:ext>
          </a:extLst>
        </cdr:cNvPr>
        <cdr:cNvSpPr txBox="1"/>
      </cdr:nvSpPr>
      <cdr:spPr>
        <a:xfrm xmlns:a="http://schemas.openxmlformats.org/drawingml/2006/main">
          <a:off x="2693703" y="1616935"/>
          <a:ext cx="1616944" cy="5018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Base effect and </a:t>
          </a:r>
          <a:br>
            <a:rPr lang="en-IN" sz="1100" kern="1200"/>
          </a:br>
          <a:r>
            <a:rPr lang="en-IN" sz="1100" kern="1200"/>
            <a:t>Demand Stabilization</a:t>
          </a:r>
          <a:br>
            <a:rPr lang="en-IN" sz="1100" kern="1200"/>
          </a:br>
          <a:r>
            <a:rPr lang="en-IN" sz="1100" kern="1200"/>
            <a:t> </a:t>
          </a: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681183</xdr:colOff>
      <xdr:row>0</xdr:row>
      <xdr:rowOff>0</xdr:rowOff>
    </xdr:from>
    <xdr:to>
      <xdr:col>13</xdr:col>
      <xdr:colOff>600363</xdr:colOff>
      <xdr:row>26</xdr:row>
      <xdr:rowOff>138547</xdr:rowOff>
    </xdr:to>
    <xdr:graphicFrame macro="">
      <xdr:nvGraphicFramePr>
        <xdr:cNvPr id="7" name="Chart 6">
          <a:extLst>
            <a:ext uri="{FF2B5EF4-FFF2-40B4-BE49-F238E27FC236}">
              <a16:creationId xmlns:a16="http://schemas.microsoft.com/office/drawing/2014/main" id="{D1482270-B606-1902-84E2-51B60A9C4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0.04804</cdr:x>
      <cdr:y>0.09674</cdr:y>
    </cdr:from>
    <cdr:to>
      <cdr:x>0.27827</cdr:x>
      <cdr:y>0.22351</cdr:y>
    </cdr:to>
    <cdr:sp macro="" textlink="">
      <cdr:nvSpPr>
        <cdr:cNvPr id="2" name="TextBox 1">
          <a:extLst xmlns:a="http://schemas.openxmlformats.org/drawingml/2006/main">
            <a:ext uri="{FF2B5EF4-FFF2-40B4-BE49-F238E27FC236}">
              <a16:creationId xmlns:a16="http://schemas.microsoft.com/office/drawing/2014/main" id="{01389C9A-A39A-6D0B-27B9-9CC958A21359}"/>
            </a:ext>
          </a:extLst>
        </cdr:cNvPr>
        <cdr:cNvSpPr txBox="1"/>
      </cdr:nvSpPr>
      <cdr:spPr>
        <a:xfrm xmlns:a="http://schemas.openxmlformats.org/drawingml/2006/main">
          <a:off x="541419" y="668203"/>
          <a:ext cx="2594863" cy="8755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JUN</a:t>
          </a:r>
          <a:r>
            <a:rPr lang="en-IN" sz="900" kern="1200" baseline="0"/>
            <a:t> 22: 0.95%</a:t>
          </a:r>
          <a:br>
            <a:rPr lang="en-IN" sz="900" kern="1200" baseline="0"/>
          </a:br>
          <a:r>
            <a:rPr lang="en-IN" sz="900" kern="1200" baseline="0"/>
            <a:t>EDIBLE OIL SHOCK+MONSOON DELAY</a:t>
          </a:r>
          <a:br>
            <a:rPr lang="en-IN" sz="1100" kern="1200" baseline="0"/>
          </a:br>
          <a:br>
            <a:rPr lang="en-IN" sz="1100" kern="1200" baseline="0"/>
          </a:br>
          <a:endParaRPr lang="en-IN" sz="1100" kern="1200"/>
        </a:p>
      </cdr:txBody>
    </cdr:sp>
  </cdr:relSizeAnchor>
  <cdr:relSizeAnchor xmlns:cdr="http://schemas.openxmlformats.org/drawingml/2006/chartDrawing">
    <cdr:from>
      <cdr:x>0.52531</cdr:x>
      <cdr:y>0.88283</cdr:y>
    </cdr:from>
    <cdr:to>
      <cdr:x>0.88566</cdr:x>
      <cdr:y>1</cdr:y>
    </cdr:to>
    <cdr:sp macro="" textlink="">
      <cdr:nvSpPr>
        <cdr:cNvPr id="3" name="TextBox 2">
          <a:extLst xmlns:a="http://schemas.openxmlformats.org/drawingml/2006/main">
            <a:ext uri="{FF2B5EF4-FFF2-40B4-BE49-F238E27FC236}">
              <a16:creationId xmlns:a16="http://schemas.microsoft.com/office/drawing/2014/main" id="{964B3B96-68BC-461C-6DE5-BA4B087F9C97}"/>
            </a:ext>
          </a:extLst>
        </cdr:cNvPr>
        <cdr:cNvSpPr txBox="1"/>
      </cdr:nvSpPr>
      <cdr:spPr>
        <a:xfrm xmlns:a="http://schemas.openxmlformats.org/drawingml/2006/main">
          <a:off x="5920652" y="6097619"/>
          <a:ext cx="4061411" cy="8092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DEC 22: -0.52% SEASONAL VEGETABLE</a:t>
          </a:r>
          <a:br>
            <a:rPr lang="en-IN" sz="900" kern="1200"/>
          </a:br>
          <a:r>
            <a:rPr lang="en-IN" sz="900" kern="1200"/>
            <a:t>DEFLATION AND GOOD HARVESTING</a:t>
          </a:r>
          <a:br>
            <a:rPr lang="en-IN" sz="900" kern="1200"/>
          </a:br>
          <a:endParaRPr lang="en-IN" sz="9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625928</xdr:colOff>
      <xdr:row>7</xdr:row>
      <xdr:rowOff>29935</xdr:rowOff>
    </xdr:from>
    <xdr:to>
      <xdr:col>15</xdr:col>
      <xdr:colOff>254000</xdr:colOff>
      <xdr:row>21</xdr:row>
      <xdr:rowOff>36286</xdr:rowOff>
    </xdr:to>
    <xdr:graphicFrame macro="">
      <xdr:nvGraphicFramePr>
        <xdr:cNvPr id="2" name="Chart 1">
          <a:extLst>
            <a:ext uri="{FF2B5EF4-FFF2-40B4-BE49-F238E27FC236}">
              <a16:creationId xmlns:a16="http://schemas.microsoft.com/office/drawing/2014/main" id="{780A5F8B-B03C-F4A6-C68B-338C679DF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63500</xdr:colOff>
      <xdr:row>11</xdr:row>
      <xdr:rowOff>90715</xdr:rowOff>
    </xdr:from>
    <xdr:ext cx="1342571" cy="233205"/>
    <xdr:sp macro="" textlink="">
      <xdr:nvSpPr>
        <xdr:cNvPr id="3" name="TextBox 2">
          <a:extLst>
            <a:ext uri="{FF2B5EF4-FFF2-40B4-BE49-F238E27FC236}">
              <a16:creationId xmlns:a16="http://schemas.microsoft.com/office/drawing/2014/main" id="{131F655C-D8AA-FEC0-9C29-BE9D0BB915C9}"/>
            </a:ext>
          </a:extLst>
        </xdr:cNvPr>
        <xdr:cNvSpPr txBox="1"/>
      </xdr:nvSpPr>
      <xdr:spPr>
        <a:xfrm>
          <a:off x="8445500" y="2086429"/>
          <a:ext cx="134257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t>FOOD SUPPLY SHOCK</a:t>
          </a:r>
        </a:p>
      </xdr:txBody>
    </xdr:sp>
    <xdr:clientData/>
  </xdr:oneCellAnchor>
</xdr:wsDr>
</file>

<file path=xl/drawings/drawing7.xml><?xml version="1.0" encoding="utf-8"?>
<c:userShapes xmlns:c="http://schemas.openxmlformats.org/drawingml/2006/chart">
  <cdr:relSizeAnchor xmlns:cdr="http://schemas.openxmlformats.org/drawingml/2006/chartDrawing">
    <cdr:from>
      <cdr:x>0.29428</cdr:x>
      <cdr:y>0.19016</cdr:y>
    </cdr:from>
    <cdr:to>
      <cdr:x>0.46458</cdr:x>
      <cdr:y>0.34704</cdr:y>
    </cdr:to>
    <cdr:sp macro="" textlink="">
      <cdr:nvSpPr>
        <cdr:cNvPr id="2" name="TextBox 1">
          <a:extLst xmlns:a="http://schemas.openxmlformats.org/drawingml/2006/main">
            <a:ext uri="{FF2B5EF4-FFF2-40B4-BE49-F238E27FC236}">
              <a16:creationId xmlns:a16="http://schemas.microsoft.com/office/drawing/2014/main" id="{E05BF19A-D5B7-2D93-3E98-D99DB0DCD349}"/>
            </a:ext>
          </a:extLst>
        </cdr:cNvPr>
        <cdr:cNvSpPr txBox="1"/>
      </cdr:nvSpPr>
      <cdr:spPr>
        <a:xfrm xmlns:a="http://schemas.openxmlformats.org/drawingml/2006/main">
          <a:off x="1959428" y="813709"/>
          <a:ext cx="1133929" cy="671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0.29155</cdr:x>
      <cdr:y>0.34916</cdr:y>
    </cdr:from>
    <cdr:to>
      <cdr:x>0.56403</cdr:x>
      <cdr:y>0.56286</cdr:y>
    </cdr:to>
    <cdr:sp macro="" textlink="">
      <cdr:nvSpPr>
        <cdr:cNvPr id="3" name="TextBox 2">
          <a:extLst xmlns:a="http://schemas.openxmlformats.org/drawingml/2006/main">
            <a:ext uri="{FF2B5EF4-FFF2-40B4-BE49-F238E27FC236}">
              <a16:creationId xmlns:a16="http://schemas.microsoft.com/office/drawing/2014/main" id="{5791CACE-4416-D8D4-AFC0-D93BFEEC1714}"/>
            </a:ext>
          </a:extLst>
        </cdr:cNvPr>
        <cdr:cNvSpPr txBox="1"/>
      </cdr:nvSpPr>
      <cdr:spPr>
        <a:xfrm xmlns:a="http://schemas.openxmlformats.org/drawingml/2006/main">
          <a:off x="1941285" y="1494065"/>
          <a:ext cx="1814285"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HEALTH CARE</a:t>
          </a:r>
          <a:r>
            <a:rPr lang="en-IN" sz="900" kern="1200" baseline="0"/>
            <a:t> DEMANDS HIT</a:t>
          </a:r>
          <a:br>
            <a:rPr lang="en-IN" sz="900" kern="1200" baseline="0"/>
          </a:br>
          <a:r>
            <a:rPr lang="en-IN" sz="900" kern="1200" baseline="0"/>
            <a:t>DUE TO COVID</a:t>
          </a:r>
          <a:endParaRPr lang="en-IN" sz="900" kern="1200"/>
        </a:p>
      </cdr:txBody>
    </cdr:sp>
  </cdr:relSizeAnchor>
  <cdr:relSizeAnchor xmlns:cdr="http://schemas.openxmlformats.org/drawingml/2006/chartDrawing">
    <cdr:from>
      <cdr:x>0.3842</cdr:x>
      <cdr:y>0.2474</cdr:y>
    </cdr:from>
    <cdr:to>
      <cdr:x>0.67847</cdr:x>
      <cdr:y>0.32584</cdr:y>
    </cdr:to>
    <cdr:sp macro="" textlink="">
      <cdr:nvSpPr>
        <cdr:cNvPr id="4" name="TextBox 3">
          <a:extLst xmlns:a="http://schemas.openxmlformats.org/drawingml/2006/main">
            <a:ext uri="{FF2B5EF4-FFF2-40B4-BE49-F238E27FC236}">
              <a16:creationId xmlns:a16="http://schemas.microsoft.com/office/drawing/2014/main" id="{C0829E60-E25A-8D85-97AC-F740344B39F1}"/>
            </a:ext>
          </a:extLst>
        </cdr:cNvPr>
        <cdr:cNvSpPr txBox="1"/>
      </cdr:nvSpPr>
      <cdr:spPr>
        <a:xfrm xmlns:a="http://schemas.openxmlformats.org/drawingml/2006/main">
          <a:off x="2558144" y="1058637"/>
          <a:ext cx="1959427" cy="3356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PEAK</a:t>
          </a:r>
          <a:r>
            <a:rPr lang="en-IN" sz="900" kern="1200" baseline="0"/>
            <a:t> HEALTH INFLATION (7.79%)</a:t>
          </a:r>
          <a:endParaRPr lang="en-IN" sz="1000" kern="1200"/>
        </a:p>
      </cdr:txBody>
    </cdr:sp>
  </cdr:relSizeAnchor>
  <cdr:relSizeAnchor xmlns:cdr="http://schemas.openxmlformats.org/drawingml/2006/chartDrawing">
    <cdr:from>
      <cdr:x>0.53134</cdr:x>
      <cdr:y>0.33856</cdr:y>
    </cdr:from>
    <cdr:to>
      <cdr:x>0.66866</cdr:x>
      <cdr:y>0.55226</cdr:y>
    </cdr:to>
    <cdr:sp macro="" textlink="">
      <cdr:nvSpPr>
        <cdr:cNvPr id="5" name="TextBox 4">
          <a:extLst xmlns:a="http://schemas.openxmlformats.org/drawingml/2006/main">
            <a:ext uri="{FF2B5EF4-FFF2-40B4-BE49-F238E27FC236}">
              <a16:creationId xmlns:a16="http://schemas.microsoft.com/office/drawing/2014/main" id="{42D7B541-006C-1838-5BAE-8B7771DD5A5D}"/>
            </a:ext>
          </a:extLst>
        </cdr:cNvPr>
        <cdr:cNvSpPr txBox="1"/>
      </cdr:nvSpPr>
      <cdr:spPr>
        <a:xfrm xmlns:a="http://schemas.openxmlformats.org/drawingml/2006/main">
          <a:off x="3537857" y="144870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0.59128</cdr:x>
      <cdr:y>0.34492</cdr:y>
    </cdr:from>
    <cdr:to>
      <cdr:x>0.94414</cdr:x>
      <cdr:y>0.55862</cdr:y>
    </cdr:to>
    <cdr:sp macro="" textlink="">
      <cdr:nvSpPr>
        <cdr:cNvPr id="6" name="TextBox 5">
          <a:extLst xmlns:a="http://schemas.openxmlformats.org/drawingml/2006/main">
            <a:ext uri="{FF2B5EF4-FFF2-40B4-BE49-F238E27FC236}">
              <a16:creationId xmlns:a16="http://schemas.microsoft.com/office/drawing/2014/main" id="{C477B557-EAC7-3C0C-8D38-D9D83238ECE7}"/>
            </a:ext>
          </a:extLst>
        </cdr:cNvPr>
        <cdr:cNvSpPr txBox="1"/>
      </cdr:nvSpPr>
      <cdr:spPr>
        <a:xfrm xmlns:a="http://schemas.openxmlformats.org/drawingml/2006/main">
          <a:off x="3936998" y="1475923"/>
          <a:ext cx="2349501"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FUEL</a:t>
          </a:r>
          <a:r>
            <a:rPr lang="en-IN" sz="900" kern="1200" baseline="0"/>
            <a:t> &amp; SERVICES ON PEAK </a:t>
          </a:r>
          <a:br>
            <a:rPr lang="en-IN" sz="900" kern="1200" baseline="0"/>
          </a:br>
          <a:r>
            <a:rPr lang="en-IN" sz="900" kern="1200" baseline="0"/>
            <a:t>DUE TO RUSSIA AND UKRAINE WAR</a:t>
          </a:r>
          <a:br>
            <a:rPr lang="en-IN" sz="900" kern="1200" baseline="0"/>
          </a:br>
          <a:endParaRPr lang="en-IN" sz="900" kern="1200"/>
        </a:p>
      </cdr:txBody>
    </cdr:sp>
  </cdr:relSizeAnchor>
  <cdr:relSizeAnchor xmlns:cdr="http://schemas.openxmlformats.org/drawingml/2006/chartDrawing">
    <cdr:from>
      <cdr:x>0.27995</cdr:x>
      <cdr:y>0.59456</cdr:y>
    </cdr:from>
    <cdr:to>
      <cdr:x>0.41797</cdr:x>
      <cdr:y>0.728</cdr:y>
    </cdr:to>
    <cdr:sp macro="" textlink="">
      <cdr:nvSpPr>
        <cdr:cNvPr id="7" name="TextBox 6">
          <a:extLst xmlns:a="http://schemas.openxmlformats.org/drawingml/2006/main">
            <a:ext uri="{FF2B5EF4-FFF2-40B4-BE49-F238E27FC236}">
              <a16:creationId xmlns:a16="http://schemas.microsoft.com/office/drawing/2014/main" id="{18556EDA-F4D3-1F6E-810F-4182B107DE21}"/>
            </a:ext>
          </a:extLst>
        </cdr:cNvPr>
        <cdr:cNvSpPr txBox="1"/>
      </cdr:nvSpPr>
      <cdr:spPr>
        <a:xfrm xmlns:a="http://schemas.openxmlformats.org/drawingml/2006/main">
          <a:off x="2006242" y="2101851"/>
          <a:ext cx="989110" cy="4717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GOOD HARVEST</a:t>
          </a:r>
          <a:br>
            <a:rPr lang="en-IN" sz="900" kern="1200"/>
          </a:br>
          <a:r>
            <a:rPr lang="en-IN" sz="900" kern="1200"/>
            <a:t>AND</a:t>
          </a:r>
          <a:r>
            <a:rPr lang="en-IN" sz="900" kern="1200" baseline="0"/>
            <a:t> BASE EFFECT</a:t>
          </a:r>
          <a:endParaRPr lang="en-IN" sz="900" kern="1200"/>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464820</xdr:colOff>
      <xdr:row>43</xdr:row>
      <xdr:rowOff>118110</xdr:rowOff>
    </xdr:from>
    <xdr:to>
      <xdr:col>4</xdr:col>
      <xdr:colOff>929640</xdr:colOff>
      <xdr:row>61</xdr:row>
      <xdr:rowOff>160020</xdr:rowOff>
    </xdr:to>
    <xdr:graphicFrame macro="">
      <xdr:nvGraphicFramePr>
        <xdr:cNvPr id="4" name="Chart 3">
          <a:extLst>
            <a:ext uri="{FF2B5EF4-FFF2-40B4-BE49-F238E27FC236}">
              <a16:creationId xmlns:a16="http://schemas.microsoft.com/office/drawing/2014/main" id="{FA3DB7ED-3E4E-D3C8-F486-06FB05FC4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bohra\Downloads\All_India_Index_Upto_April23%20(1)%20(1)%20(1).csv.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Sati" refreshedDate="45960.592562152779" createdVersion="8" refreshedVersion="8" minRefreshableVersion="3" recordCount="28" xr:uid="{8F099809-C381-4455-913C-C6364AD97750}">
  <cacheSource type="worksheet">
    <worksheetSource name="Table2" r:id="rId2"/>
  </cacheSource>
  <cacheFields count="11">
    <cacheField name="Year" numFmtId="0">
      <sharedItems containsSemiMixedTypes="0" containsString="0" containsNumber="1" containsInteger="1" minValue="2021" maxValue="2023" count="3">
        <n v="2021"/>
        <n v="2022"/>
        <n v="2023"/>
      </sharedItems>
    </cacheField>
    <cacheField name="Month" numFmtId="0">
      <sharedItems/>
    </cacheField>
    <cacheField name="Crude_Oil_Price" numFmtId="0">
      <sharedItems containsSemiMixedTypes="0" containsString="0" containsNumber="1" containsInteger="1" minValue="54" maxValue="115"/>
    </cacheField>
    <cacheField name="Fuel_Inflation" numFmtId="0">
      <sharedItems containsSemiMixedTypes="0" containsString="0" containsNumber="1" minValue="4.0999999999999996" maxValue="9.3000000000000007"/>
    </cacheField>
    <cacheField name="Transport_Inflation" numFmtId="0">
      <sharedItems containsSemiMixedTypes="0" containsString="0" containsNumber="1" minValue="3.2" maxValue="8.6999999999999993"/>
    </cacheField>
    <cacheField name="Food_Inflation" numFmtId="0">
      <sharedItems containsSemiMixedTypes="0" containsString="0" containsNumber="1" minValue="5.5" maxValue="8.8000000000000007"/>
    </cacheField>
    <cacheField name="Oil_%Change" numFmtId="0">
      <sharedItems containsString="0" containsBlank="1" containsNumber="1" minValue="-8.3333333333333375" maxValue="14.13043478260869"/>
    </cacheField>
    <cacheField name="Fuel_%Change" numFmtId="0">
      <sharedItems containsString="0" containsBlank="1" containsNumber="1" minValue="-7.8651685393258504" maxValue="11.627906976744191"/>
    </cacheField>
    <cacheField name="Transport_%Change" numFmtId="0">
      <sharedItems containsString="0" containsBlank="1" containsNumber="1" minValue="-8.5714285714285623" maxValue="10.526315789473699"/>
    </cacheField>
    <cacheField name="Food_%Change" numFmtId="0">
      <sharedItems containsString="0" containsBlank="1" containsNumber="1" minValue="-3.7974683544303889" maxValue="5.1724137931034484"/>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Bohra" refreshedDate="46102.632769560187" createdVersion="8" refreshedVersion="8" minRefreshableVersion="3" recordCount="366" xr:uid="{C2405691-6211-42FB-8AFF-A140A309CE7C}">
  <cacheSource type="worksheet">
    <worksheetSource name="All_India_Index_Upto_April23__1"/>
  </cacheSource>
  <cacheFields count="48">
    <cacheField name="Sector" numFmtId="0">
      <sharedItems count="3">
        <s v="Rural"/>
        <s v="Urban"/>
        <s v="Rural+Urban"/>
      </sharedItems>
    </cacheField>
    <cacheField name="Year" numFmtId="0">
      <sharedItems containsSemiMixedTypes="0" containsString="0" containsNumber="1" containsInteger="1" minValue="2013" maxValue="2023" count="11">
        <n v="2023"/>
        <n v="2022"/>
        <n v="2021"/>
        <n v="2020"/>
        <n v="2019"/>
        <n v="2018"/>
        <n v="2017"/>
        <n v="2016"/>
        <n v="2015"/>
        <n v="2014"/>
        <n v="2013"/>
      </sharedItems>
    </cacheField>
    <cacheField name="Month" numFmtId="0">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189.67500000000001"/>
    </cacheField>
    <cacheField name="Fruits" numFmtId="0">
      <sharedItems containsSemiMixedTypes="0" containsString="0" containsNumber="1" minValue="102.3" maxValue="179.5"/>
    </cacheField>
    <cacheField name="Vegetables" numFmtId="0">
      <sharedItems containsSemiMixedTypes="0" containsString="0" containsNumber="1" minValue="101.4" maxValue="225.46299999999999"/>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13.04"/>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5.35"/>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0">
      <sharedItems containsSemiMixedTypes="0" containsString="0" containsNumber="1" minValue="105.48571428571427" maxValue="181.37857142857141" count="357">
        <n v="177.90000000000006"/>
        <n v="181.37857142857141"/>
        <n v="173.78571428571399"/>
        <n v="175.44285714285715"/>
        <n v="176.69285714285712"/>
        <n v="180.08571428571432"/>
        <n v="176.01428571428573"/>
        <n v="179.00714285714284"/>
        <n v="175.77857142857144"/>
        <n v="178.9928571428571"/>
        <n v="176"/>
        <n v="177.15000000000003"/>
        <n v="179.41428571428574"/>
        <n v="176.91428571428574"/>
        <n v="178.34999999999997"/>
        <n v="178.11428571428573"/>
        <n v="176.64285714285714"/>
        <n v="177.37142857142857"/>
        <n v="179.64285714285714"/>
        <n v="178.12142857142859"/>
        <n v="177.19285714285715"/>
        <n v="177.1"/>
        <n v="180.17142857142858"/>
        <n v="177.92142857142855"/>
        <n v="175.87857142857143"/>
        <n v="174.96428571428569"/>
        <n v="178.02857142857141"/>
        <n v="177.04285714285714"/>
        <n v="177.04999999999998"/>
        <n v="174.69285714285712"/>
        <n v="177.87142857142857"/>
        <n v="177.55714285714288"/>
        <n v="177.87142857142859"/>
        <n v="174.37142857142859"/>
        <n v="172.83571428571432"/>
        <n v="175.69285714285715"/>
        <n v="179.1357142857143"/>
        <n v="172.01428571428573"/>
        <n v="171.3857142857143"/>
        <n v="173.39285714285714"/>
        <n v="170.98571428571429"/>
        <n v="169.85"/>
        <n v="169.38571428571433"/>
        <n v="167.27857142857144"/>
        <n v="170"/>
        <n v="168.14285714285717"/>
        <n v="168.31428571428569"/>
        <n v="167.40714285714284"/>
        <n v="170.22142857142856"/>
        <n v="171.65000000000003"/>
        <n v="169.52142857142857"/>
        <n v="168.5"/>
        <n v="169.52857142857144"/>
        <n v="172.4928571428571"/>
        <n v="170.5"/>
        <n v="169.15714285714284"/>
        <n v="168.2428571428571"/>
        <n v="171.10000000000005"/>
        <n v="168.17142857142858"/>
        <n v="166.72142857142856"/>
        <n v="166.00714285714284"/>
        <n v="165.78571428571428"/>
        <n v="167.01428571428571"/>
        <n v="165.8642857142857"/>
        <n v="169.09285714285716"/>
        <n v="167.84285714285713"/>
        <n v="166.05"/>
        <n v="165.12142857142857"/>
        <n v="163.20714285714283"/>
        <n v="165.92142857142858"/>
        <n v="164.11428571428573"/>
        <n v="160.92142857142858"/>
        <n v="159.73571428571429"/>
        <n v="163.14285714285714"/>
        <n v="161.28571428571425"/>
        <n v="159.10714285714286"/>
        <n v="157.98571428571429"/>
        <n v="161.37857142857143"/>
        <n v="159.11428571428573"/>
        <n v="161.64285714285714"/>
        <n v="160.73571428571427"/>
        <n v="163.48571428571429"/>
        <n v="165.4"/>
        <n v="163.89285714285714"/>
        <n v="163.15"/>
        <n v="161.84285714285716"/>
        <n v="164.96428571428572"/>
        <n v="162.8857142857143"/>
        <n v="159.49285714285719"/>
        <n v="158.1142857142857"/>
        <n v="162.06428571428569"/>
        <n v="159.30714285714288"/>
        <n v="156.52857142857144"/>
        <n v="155.02142857142854"/>
        <n v="154.25"/>
        <n v="158.00714285714284"/>
        <n v="155.55714285714285"/>
        <n v="153.59285714285716"/>
        <n v="152.3857142857143"/>
        <n v="155.83571428571426"/>
        <n v="147.98571428571429"/>
        <n v="147.6142857142857"/>
        <n v="147.50714285714281"/>
        <n v="148.51428571428571"/>
        <n v="149.18571428571428"/>
        <n v="148.69285714285712"/>
        <n v="150.68571428571428"/>
        <n v="150.51428571428571"/>
        <n v="151.15714285714284"/>
        <n v="151.93571428571428"/>
        <n v="151.04285714285717"/>
        <n v="150.62857142857141"/>
        <n v="149.56428571428569"/>
        <n v="148.48571428571429"/>
        <n v="147.99285714285716"/>
        <n v="146.62142857142857"/>
        <n v="145.94285714285712"/>
        <n v="144.58571428571426"/>
        <n v="143.8857142857143"/>
        <n v="145.96428571428572"/>
        <n v="145.5"/>
        <n v="143.73571428571429"/>
        <n v="142.82857142857145"/>
        <n v="142.24285714285713"/>
        <n v="144.6142857142857"/>
        <n v="143.05000000000001"/>
        <n v="141.35714285714286"/>
        <n v="140.6"/>
        <n v="142.85714285714283"/>
        <n v="141.26428571428573"/>
        <n v="139.71428571428572"/>
        <n v="138.95714285714286"/>
        <n v="137.6"/>
        <n v="137.43571428571431"/>
        <n v="138.12142857142857"/>
        <n v="137.32857142857145"/>
        <n v="137.09285714285716"/>
        <n v="137.17857142857142"/>
        <n v="136.9"/>
        <n v="137.30714285714288"/>
        <n v="136.35714285714286"/>
        <n v="137.55714285714285"/>
        <n v="136.51428571428571"/>
        <n v="138.25000000000003"/>
        <n v="137.27857142857141"/>
        <n v="139.2428571428571"/>
        <n v="138.45000000000002"/>
        <n v="138.48571428571429"/>
        <n v="137.00714285714284"/>
        <n v="138.69999999999999"/>
        <n v="139.82142857142858"/>
        <n v="138.47857142857143"/>
        <n v="136.55000000000001"/>
        <n v="139.7571428571429"/>
        <n v="137.83571428571426"/>
        <n v="141.08571428571429"/>
        <n v="139.48571428571429"/>
        <n v="138.03571428571428"/>
        <n v="140.47142857142859"/>
        <n v="136.30714285714288"/>
        <n v="139.1142857142857"/>
        <n v="138.02857142857144"/>
        <n v="136.97857142857143"/>
        <n v="134.51428571428571"/>
        <n v="138.52857142857144"/>
        <n v="138.29285714285714"/>
        <n v="136.71428571428572"/>
        <n v="134.22857142857146"/>
        <n v="136.59285714285713"/>
        <n v="133.94285714285715"/>
        <n v="138.3642857142857"/>
        <n v="136.80714285714285"/>
        <n v="134.80000000000001"/>
        <n v="138.19999999999999"/>
        <n v="138.18571428571428"/>
        <n v="136.14285714285717"/>
        <n v="139.59285714285713"/>
        <n v="137.46428571428572"/>
        <n v="139.22857142857143"/>
        <n v="140.48571428571429"/>
        <n v="140.70000000000002"/>
        <n v="139.49285714285716"/>
        <n v="140.1"/>
        <n v="137.94999999999999"/>
        <n v="138.67142857142855"/>
        <n v="137.16428571428568"/>
        <n v="135.94999999999999"/>
        <n v="137.19999999999999"/>
        <n v="138.15"/>
        <n v="138.67857142857142"/>
        <n v="137.50714285714284"/>
        <n v="138.1142857142857"/>
        <n v="136.97142857142856"/>
        <n v="137.16428571428574"/>
        <n v="137.04285714285714"/>
        <n v="134.25714285714287"/>
        <n v="134.37142857142857"/>
        <n v="134.61428571428573"/>
        <n v="133.78571428571425"/>
        <n v="132.70714285714286"/>
        <n v="133.27142857142857"/>
        <n v="133.12857142857143"/>
        <n v="133.62142857142857"/>
        <n v="132.57857142857142"/>
        <n v="132.37142857142857"/>
        <n v="133.14285714285714"/>
        <n v="133.76428571428573"/>
        <n v="134.15714285714287"/>
        <n v="132.25714285714287"/>
        <n v="133.33571428571432"/>
        <n v="133.64999999999995"/>
        <n v="134.31428571428572"/>
        <n v="132.77142857142857"/>
        <n v="133.91428571428571"/>
        <n v="134.55714285714285"/>
        <n v="135.10714285714286"/>
        <n v="136.12857142857143"/>
        <n v="135.67857142857142"/>
        <n v="135.84285714285713"/>
        <n v="136.32857142857139"/>
        <n v="136.62142857142859"/>
        <n v="136.22857142857143"/>
        <n v="135.73571428571427"/>
        <n v="136.04999999999998"/>
        <n v="136.47142857142859"/>
        <n v="136.88571428571427"/>
        <n v="137.68571428571425"/>
        <n v="137.00714285714287"/>
        <n v="137.34285714285713"/>
        <n v="136.30714285714285"/>
        <n v="139.60000000000002"/>
        <n v="137.83571428571432"/>
        <n v="135.66428571428571"/>
        <n v="134.69999999999999"/>
        <n v="132.83571428571426"/>
        <n v="134.92857142857142"/>
        <n v="133.43571428571428"/>
        <n v="131.31428571428572"/>
        <n v="131.22142857142859"/>
        <n v="131.98571428571429"/>
        <n v="129.15714285714287"/>
        <n v="129.40714285714287"/>
        <n v="129.83571428571432"/>
        <n v="129.78571428571428"/>
        <n v="129.72142857142856"/>
        <n v="129.57142857142858"/>
        <n v="130.49285714285716"/>
        <n v="130.26428571428571"/>
        <n v="131.49285714285716"/>
        <n v="131.21428571428572"/>
        <n v="130.04285714285714"/>
        <n v="129.67142857142858"/>
        <n v="129.89285714285714"/>
        <n v="131.8642857142857"/>
        <n v="130.40714285714284"/>
        <n v="129.39285714285714"/>
        <n v="129.00714285714284"/>
        <n v="130.57857142857145"/>
        <n v="128.53571428571428"/>
        <n v="127.87857142857145"/>
        <n v="127.75714285714287"/>
        <n v="126.90714285714284"/>
        <n v="128.07857142857142"/>
        <n v="127.2"/>
        <n v="125.78571428571431"/>
        <n v="125.33571428571429"/>
        <n v="126.85714285714285"/>
        <n v="126.33571428571427"/>
        <n v="125.19285714285715"/>
        <n v="124.72142857142856"/>
        <n v="122.45714285714287"/>
        <n v="123.58571428571429"/>
        <n v="122.73571428571429"/>
        <n v="121.61428571428573"/>
        <n v="121.63571428571429"/>
        <n v="121.87142857142855"/>
        <n v="121.20000000000002"/>
        <n v="121.0642857142857"/>
        <n v="121.15714285714286"/>
        <n v="121.05714285714284"/>
        <n v="121.37142857142858"/>
        <n v="121.04285714285712"/>
        <n v="120.95"/>
        <n v="120.77142857142857"/>
        <n v="121.59285714285714"/>
        <n v="121.68571428571428"/>
        <n v="121.04999999999998"/>
        <n v="120.80714285714285"/>
        <n v="121.62857142857142"/>
        <n v="122.39999999999999"/>
        <n v="121.80714285714285"/>
        <n v="121.7"/>
        <n v="121.51428571428571"/>
        <n v="122.27142857142857"/>
        <n v="122.71428571428574"/>
        <n v="121.92142857142855"/>
        <n v="121.62142857142858"/>
        <n v="121.50714285714284"/>
        <n v="124.28571428571429"/>
        <n v="122.45714285714284"/>
        <n v="121.07857142857142"/>
        <n v="120.08571428571429"/>
        <n v="122.89285714285714"/>
        <n v="119"/>
        <n v="117.96428571428574"/>
        <n v="117.35714285714285"/>
        <n v="116.44285714285714"/>
        <n v="117.4"/>
        <n v="116.80714285714289"/>
        <n v="115.72142857142856"/>
        <n v="115.67857142857144"/>
        <n v="115.82857142857144"/>
        <n v="114.26428571428572"/>
        <n v="114.53571428571426"/>
        <n v="114.71428571428571"/>
        <n v="114.02857142857144"/>
        <n v="113.72857142857143"/>
        <n v="113.91428571428571"/>
        <n v="114.30714285714284"/>
        <n v="114.32857142857144"/>
        <n v="114.28571428571429"/>
        <n v="115.67142857142858"/>
        <n v="115.80714285714286"/>
        <n v="115.89999999999999"/>
        <n v="117.82857142857142"/>
        <n v="118.47857142857141"/>
        <n v="117.99285714285713"/>
        <n v="115.90714285714287"/>
        <n v="115.72857142857143"/>
        <n v="116.47857142857141"/>
        <n v="115.23571428571429"/>
        <n v="114.54999999999998"/>
        <n v="114.30000000000003"/>
        <n v="112.37142857142858"/>
        <n v="115.60714285714288"/>
        <n v="113.47142857142858"/>
        <n v="112.26428571428571"/>
        <n v="111.12142857142854"/>
        <n v="114.36428571428573"/>
        <n v="112.53571428571431"/>
        <n v="110.39285714285714"/>
        <n v="109.21428571428571"/>
        <n v="107.29285714285713"/>
        <n v="109.07142857142856"/>
        <n v="107.9142857142857"/>
        <n v="106.97857142857143"/>
        <n v="106.63571428571427"/>
        <n v="107.58571428571427"/>
        <n v="106.68571428571428"/>
        <n v="106.47142857142858"/>
        <n v="106.33571428571429"/>
        <n v="106.14285714285712"/>
        <n v="106.9"/>
        <n v="106.42142857142858"/>
        <n v="105.60000000000001"/>
        <n v="105.48571428571427"/>
        <n v="105.82857142857144"/>
      </sharedItems>
    </cacheField>
    <cacheField name="Cloth" numFmtId="0">
      <sharedItems containsSemiMixedTypes="0" containsString="0" containsNumber="1" minValue="105.56666666666666" maxValue="189.9666666666667"/>
    </cacheField>
    <cacheField name="House" numFmtId="0">
      <sharedItems containsSemiMixedTypes="0" containsString="0" containsNumber="1" minValue="102.55" maxValue="175.39999999999998"/>
    </cacheField>
    <cacheField name="CONTRIBUTION IN HOUSE" numFmtId="10">
      <sharedItems containsSemiMixedTypes="0" containsString="0" containsNumber="1" minValue="8.9732886200286369E-2" maxValue="0.11551910426871939"/>
    </cacheField>
    <cacheField name="CONTRIBUTION IN CLOTH" numFmtId="10">
      <sharedItems containsSemiMixedTypes="0" containsString="0" containsNumber="1" minValue="9.6558452083576343E-2" maxValue="0.10736224775128571"/>
    </cacheField>
    <cacheField name="CONTRIBUTION IN FOOD" numFmtId="10">
      <sharedItems containsSemiMixedTypes="0" containsString="0" containsNumber="1" minValue="9.5823383375706242E-2" maxValue="0.11359290451198178"/>
    </cacheField>
    <cacheField name="CONTRIBUTION IN MIS_ITEM" numFmtId="10">
      <sharedItems containsSemiMixedTypes="0" containsString="0" containsNumber="1" minValue="9.6708080234113494E-2" maxValue="0.10053567378690659"/>
    </cacheField>
    <cacheField name="CONTRIBUTION IN PER_CARE_ITEM" numFmtId="10">
      <sharedItems containsSemiMixedTypes="0" containsString="0" containsNumber="1" minValue="9.2167529419005287E-2" maxValue="0.1079858284287383"/>
    </cacheField>
    <cacheField name="CONTRIBUTION IN EDUCATION" numFmtId="10">
      <sharedItems containsSemiMixedTypes="0" containsString="0" containsNumber="1" minValue="9.7511365955325696E-2" maxValue="0.10992466109586059"/>
    </cacheField>
    <cacheField name="CONTRIBUTION IN REC_AND_AMU" numFmtId="10">
      <sharedItems containsSemiMixedTypes="0" containsString="0" containsNumber="1" minValue="9.5730490739150464E-2" maxValue="0.10141166013097573"/>
    </cacheField>
    <cacheField name="CONTRIBUTION IN TR_COM" numFmtId="10">
      <sharedItems containsSemiMixedTypes="0" containsString="0" containsNumber="1" minValue="8.7040628836784775E-2" maxValue="0.10053859964093356"/>
    </cacheField>
    <cacheField name="CONTRIBUTION IN HEALTH" numFmtId="10">
      <sharedItems containsSemiMixedTypes="0" containsString="0" containsNumber="1" minValue="9.7276177216895354E-2" maxValue="0.10537328501295014"/>
    </cacheField>
    <cacheField name="CONTRIBUTION IN L&amp;F" numFmtId="10">
      <sharedItems containsSemiMixedTypes="0" containsString="0" containsNumber="1" minValue="9.1059702755976926E-2" maxValue="0.10637322199819112"/>
    </cacheField>
    <cacheField name="MONTH IN NUM" numFmtId="0">
      <sharedItems containsSemiMixedTypes="0" containsString="0" containsNumber="1" containsInteger="1" minValue="1" maxValue="12"/>
    </cacheField>
    <cacheField name="CONCAT Y&amp;M" numFmtId="164">
      <sharedItems containsSemiMixedTypes="0" containsNonDate="0" containsDate="1" containsString="0" minDate="2013-01-01T00:00:00" maxDate="2023-05-02T00:00:00" count="122">
        <d v="2023-05-01T00:00:00"/>
        <d v="2022-05-01T00:00:00"/>
        <d v="2022-06-01T00:00:00"/>
        <d v="2023-04-01T00:00:00"/>
        <d v="2023-03-01T00:00:00"/>
        <d v="2022-07-01T00:00:00"/>
        <d v="2023-02-01T00:00:00"/>
        <d v="2022-08-01T00:00:00"/>
        <d v="2023-01-01T00:00:00"/>
        <d v="2022-09-01T00:00:00"/>
        <d v="2022-12-01T00:00:00"/>
        <d v="2022-10-01T00:00:00"/>
        <d v="2022-11-01T00:00:00"/>
        <d v="2022-04-01T00:00:00"/>
        <d v="2022-03-01T00:00:00"/>
        <d v="2022-02-01T00:00:00"/>
        <d v="2022-01-01T00:00:00"/>
        <d v="2021-12-01T00:00:00"/>
        <d v="2021-11-01T00:00:00"/>
        <d v="2021-10-01T00:00:00"/>
        <d v="2021-09-01T00:00:00"/>
        <d v="2021-08-01T00:00:00"/>
        <d v="2021-07-01T00:00:00"/>
        <d v="2021-06-01T00:00:00"/>
        <d v="2021-05-01T00:00:00"/>
        <d v="2021-04-01T00:00:00"/>
        <d v="2021-03-01T00:00:00"/>
        <d v="2021-02-01T00:00:00"/>
        <d v="2021-01-01T00:00:00"/>
        <d v="2020-12-01T00:00:00"/>
        <d v="2020-11-01T00:00:00"/>
        <d v="2020-10-01T00:00:00"/>
        <d v="2020-09-01T00:00:00"/>
        <d v="2020-08-01T00:00:00"/>
        <d v="2020-07-01T00:00:00"/>
        <d v="2020-06-01T00:00:00"/>
        <d v="2020-03-01T00:00:00"/>
        <d v="2020-02-01T00:00:00"/>
        <d v="2020-01-01T00:00:00"/>
        <d v="2019-12-01T00:00:00"/>
        <d v="2019-11-01T00:00:00"/>
        <d v="2019-10-01T00:00:00"/>
        <d v="2019-09-01T00:00:00"/>
        <d v="2019-08-01T00:00:00"/>
        <d v="2019-07-01T00:00:00"/>
        <d v="2019-06-01T00:00:00"/>
        <d v="2019-05-01T00:00:00"/>
        <d v="2019-03-01T00:00:00"/>
        <d v="2019-02-01T00:00:00"/>
        <d v="2019-01-01T00:00:00"/>
        <d v="2018-12-01T00:00:00"/>
        <d v="2018-11-01T00:00:00"/>
        <d v="2018-10-01T00:00:00"/>
        <d v="2018-09-01T00:00:00"/>
        <d v="2018-08-01T00:00:00"/>
        <d v="2018-07-01T00:00:00"/>
        <d v="2018-06-01T00:00:00"/>
        <d v="2018-05-01T00:00:00"/>
        <d v="2018-04-01T00:00:00"/>
        <d v="2018-03-01T00:00:00"/>
        <d v="2018-02-01T00:00:00"/>
        <d v="2018-01-01T00:00:00"/>
        <d v="2017-12-01T00:00:00"/>
        <d v="2017-11-01T00:00:00"/>
        <d v="2017-10-01T00:00:00"/>
        <d v="2017-09-01T00:00:00"/>
        <d v="2017-08-01T00:00:00"/>
        <d v="2017-07-01T00:00:00"/>
        <d v="2017-06-01T00:00:00"/>
        <d v="2017-05-01T00:00:00"/>
        <d v="2017-04-01T00:00:00"/>
        <d v="2017-03-01T00:00:00"/>
        <d v="2017-02-01T00:00:00"/>
        <d v="2017-01-01T00:00:00"/>
        <d v="2016-12-01T00:00:00"/>
        <d v="2016-11-01T00:00:00"/>
        <d v="2016-10-01T00:00:00"/>
        <d v="2016-09-01T00:00:00"/>
        <d v="2016-08-01T00:00:00"/>
        <d v="2016-07-01T00:00:00"/>
        <d v="2016-06-01T00:00:00"/>
        <d v="2016-05-01T00:00:00"/>
        <d v="2016-04-01T00:00:00"/>
        <d v="2016-03-01T00:00:00"/>
        <d v="2016-02-01T00:00:00"/>
        <d v="2016-01-01T00:00:00"/>
        <d v="2015-12-01T00:00:00"/>
        <d v="2015-11-01T00:00:00"/>
        <d v="2015-10-01T00:00:00"/>
        <d v="2015-09-01T00:00:00"/>
        <d v="2015-08-01T00:00:00"/>
        <d v="2015-07-01T00:00:00"/>
        <d v="2015-06-01T00:00:00"/>
        <d v="2015-05-01T00:00:00"/>
        <d v="2015-04-01T00:00:00"/>
        <d v="2015-03-01T00:00:00"/>
        <d v="2015-02-01T00:00:00"/>
        <d v="2015-01-01T00:00:00"/>
        <d v="2014-12-01T00:00:00"/>
        <d v="2014-11-01T00:00:00"/>
        <d v="2014-10-01T00:00:00"/>
        <d v="2014-09-01T00:00:00"/>
        <d v="2014-08-01T00:00:00"/>
        <d v="2014-07-01T00:00:00"/>
        <d v="2014-06-01T00:00:00"/>
        <d v="2014-05-01T00:00:00"/>
        <d v="2014-04-01T00:00:00"/>
        <d v="2014-03-01T00:00:00"/>
        <d v="2014-02-01T00:00:00"/>
        <d v="2014-01-01T00:00:00"/>
        <d v="2013-12-01T00:00:00"/>
        <d v="2013-11-01T00:00:00"/>
        <d v="2013-10-01T00:00:00"/>
        <d v="2013-09-01T00:00:00"/>
        <d v="2013-08-01T00:00:00"/>
        <d v="2013-07-01T00:00:00"/>
        <d v="2013-06-01T00:00:00"/>
        <d v="2013-05-01T00:00:00"/>
        <d v="2013-04-01T00:00:00"/>
        <d v="2013-03-01T00:00:00"/>
        <d v="2013-02-01T00:00:00"/>
        <d v="2013-01-01T00:00:00"/>
      </sharedItems>
      <fieldGroup par="47"/>
    </cacheField>
    <cacheField name="ESSENTIAL SERVICES" numFmtId="0">
      <sharedItems containsSemiMixedTypes="0" containsString="0" containsNumber="1" minValue="104.38571428571429" maxValue="180.55714285714285"/>
    </cacheField>
    <cacheField name="Months (CONCAT Y&amp;M)" numFmtId="0" databaseField="0">
      <fieldGroup base="44">
        <rangePr groupBy="months" startDate="2013-01-01T00:00:00" endDate="2023-05-02T00:00:00"/>
        <groupItems count="14">
          <s v="&lt;01-01-2013"/>
          <s v="Jan"/>
          <s v="Feb"/>
          <s v="Mar"/>
          <s v="Apr"/>
          <s v="May"/>
          <s v="Jun"/>
          <s v="Jul"/>
          <s v="Aug"/>
          <s v="Sep"/>
          <s v="Oct"/>
          <s v="Nov"/>
          <s v="Dec"/>
          <s v="&gt;02-05-2023"/>
        </groupItems>
      </fieldGroup>
    </cacheField>
    <cacheField name="Years (CONCAT Y&amp;M)" numFmtId="0" databaseField="0">
      <fieldGroup base="44">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Bohra" refreshedDate="46103.656952893522" createdVersion="8" refreshedVersion="8" minRefreshableVersion="3" recordCount="5" xr:uid="{23B0EFC9-FD19-4A82-900B-0D1A1CE5EE57}">
  <cacheSource type="worksheet">
    <worksheetSource name="Table2"/>
  </cacheSource>
  <cacheFields count="8">
    <cacheField name="Sector" numFmtId="0">
      <sharedItems count="1">
        <s v="Rural+Sector"/>
      </sharedItems>
    </cacheField>
    <cacheField name="Year" numFmtId="17">
      <sharedItems containsSemiMixedTypes="0" containsNonDate="0" containsDate="1" containsString="0" minDate="2018-03-01T00:00:00" maxDate="2022-03-02T00:00:00" count="5">
        <d v="2018-03-01T00:00:00"/>
        <d v="2019-03-01T00:00:00"/>
        <d v="2020-03-01T00:00:00"/>
        <d v="2021-03-01T00:00:00"/>
        <d v="2022-03-01T00:00:00"/>
      </sharedItems>
    </cacheField>
    <cacheField name="Health" numFmtId="2">
      <sharedItems containsSemiMixedTypes="0" containsString="0" containsNumber="1" minValue="136.59285714285713" maxValue="169.85"/>
    </cacheField>
    <cacheField name="Food" numFmtId="2">
      <sharedItems containsSemiMixedTypes="0" containsString="0" containsNumber="1" minValue="134.30000000000001" maxValue="173"/>
    </cacheField>
    <cacheField name="Essential Service" numFmtId="2">
      <sharedItems containsSemiMixedTypes="0" containsString="0" containsNumber="1" minValue="139.64285714285714" maxValue="167.01428571428571"/>
    </cacheField>
    <cacheField name="Health%" numFmtId="2">
      <sharedItems containsMixedTypes="1" containsNumber="1" minValue="0.73733200857606751" maxValue="7.7857350237104548"/>
    </cacheField>
    <cacheField name="Food%" numFmtId="2">
      <sharedItems containsMixedTypes="1" containsNumber="1" minValue="4.1723666210670469" maxValue="8.8607594936708676"/>
    </cacheField>
    <cacheField name="Essential Service%" numFmtId="2">
      <sharedItems containsMixedTypes="1" containsNumber="1" minValue="3.0964317310527871" maxValue="7.36523096703094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s v="Jan"/>
    <n v="54"/>
    <n v="4.0999999999999996"/>
    <n v="3.2"/>
    <n v="5.5"/>
    <m/>
    <m/>
    <m/>
    <m/>
    <m/>
  </r>
  <r>
    <x v="0"/>
    <s v="Feb"/>
    <n v="56"/>
    <n v="4.3"/>
    <n v="3.5"/>
    <n v="5.6"/>
    <n v="3.7037037037036979"/>
    <n v="4.8780487804878092"/>
    <n v="9.375"/>
    <n v="1.8181818181818079"/>
    <m/>
  </r>
  <r>
    <x v="0"/>
    <s v="Mar"/>
    <n v="62"/>
    <n v="4.8"/>
    <n v="3.8"/>
    <n v="5.8"/>
    <n v="10.714285714285721"/>
    <n v="11.627906976744191"/>
    <n v="8.5714285714285623"/>
    <n v="3.5714285714285809"/>
    <m/>
  </r>
  <r>
    <x v="0"/>
    <s v="Apr"/>
    <n v="65"/>
    <n v="5"/>
    <n v="4.2"/>
    <n v="6.1"/>
    <n v="4.8387096774193514"/>
    <n v="4.1666666666666741"/>
    <n v="10.526315789473699"/>
    <n v="5.1724137931034484"/>
    <m/>
  </r>
  <r>
    <x v="0"/>
    <s v="May"/>
    <n v="68"/>
    <n v="5.4"/>
    <n v="4.5"/>
    <n v="6.3"/>
    <n v="4.6153846153846212"/>
    <n v="8.0000000000000071"/>
    <n v="7.1428571428571397"/>
    <n v="3.278688524590168"/>
    <m/>
  </r>
  <r>
    <x v="0"/>
    <s v="Jun"/>
    <n v="70"/>
    <n v="5.8"/>
    <n v="4.9000000000000004"/>
    <n v="6.4"/>
    <n v="2.9411764705882248"/>
    <n v="7.4074074074073959"/>
    <n v="8.8888888888889017"/>
    <n v="1.5873015873016041"/>
    <m/>
  </r>
  <r>
    <x v="0"/>
    <s v="Jul"/>
    <n v="73"/>
    <n v="6"/>
    <n v="5.2"/>
    <n v="6.7"/>
    <n v="4.2857142857142927"/>
    <n v="3.448275862068972"/>
    <n v="6.1224489795918444"/>
    <n v="4.6875"/>
    <m/>
  </r>
  <r>
    <x v="0"/>
    <s v="Aug"/>
    <n v="71"/>
    <n v="5.7"/>
    <n v="4.8"/>
    <n v="6.6"/>
    <n v="-2.7397260273972601"/>
    <n v="-4.9999999999999929"/>
    <n v="-7.6923076923076987"/>
    <n v="-1.4925373134328399"/>
    <m/>
  </r>
  <r>
    <x v="0"/>
    <s v="Sep"/>
    <n v="72"/>
    <n v="5.9"/>
    <n v="5"/>
    <n v="6.5"/>
    <n v="1.40845070422535"/>
    <n v="3.5087719298245719"/>
    <n v="4.1666666666666741"/>
    <n v="-1.515151515151514"/>
    <m/>
  </r>
  <r>
    <x v="0"/>
    <s v="Oct"/>
    <n v="75"/>
    <n v="6.3"/>
    <n v="5.4"/>
    <n v="6.8"/>
    <n v="4.1666666666666741"/>
    <n v="6.7796610169491336"/>
    <n v="8.0000000000000071"/>
    <n v="4.6153846153846212"/>
    <m/>
  </r>
  <r>
    <x v="0"/>
    <s v="Nov"/>
    <n v="77"/>
    <n v="6.6"/>
    <n v="5.7"/>
    <n v="7"/>
    <n v="2.6666666666666621"/>
    <n v="4.7619047619047672"/>
    <n v="5.555555555555558"/>
    <n v="2.941176470588247"/>
    <m/>
  </r>
  <r>
    <x v="0"/>
    <s v="Dec"/>
    <n v="79"/>
    <n v="6.9"/>
    <n v="6"/>
    <n v="7.2"/>
    <n v="2.5974025974025978"/>
    <n v="4.5454545454545636"/>
    <n v="5.2631578947368363"/>
    <n v="2.8571428571428692"/>
    <m/>
  </r>
  <r>
    <x v="1"/>
    <s v="Jan"/>
    <n v="81"/>
    <n v="7.1"/>
    <n v="6.2"/>
    <n v="7.5"/>
    <n v="2.531645569620244"/>
    <n v="2.8985507246376718"/>
    <n v="3.3333333333333441"/>
    <n v="4.1666666666666741"/>
    <m/>
  </r>
  <r>
    <x v="1"/>
    <s v="Feb"/>
    <n v="84"/>
    <n v="7.4"/>
    <n v="6.7"/>
    <n v="7.8"/>
    <n v="3.7037037037036979"/>
    <n v="4.2253521126760729"/>
    <n v="8.0645161290322509"/>
    <n v="4.0000000000000044"/>
    <m/>
  </r>
  <r>
    <x v="1"/>
    <s v="Mar"/>
    <n v="92"/>
    <n v="8"/>
    <n v="7.3"/>
    <n v="8.1999999999999993"/>
    <n v="9.5238095238095344"/>
    <n v="8.108108108108091"/>
    <n v="8.9552238805970177"/>
    <n v="5.1282051282051322"/>
    <m/>
  </r>
  <r>
    <x v="1"/>
    <s v="Apr"/>
    <n v="105"/>
    <n v="8.8000000000000007"/>
    <n v="8"/>
    <n v="8.6"/>
    <n v="14.13043478260869"/>
    <n v="10.000000000000011"/>
    <n v="9.5890410958904049"/>
    <n v="4.8780487804878092"/>
    <m/>
  </r>
  <r>
    <x v="1"/>
    <s v="May"/>
    <n v="110"/>
    <n v="9.1"/>
    <n v="8.4"/>
    <n v="8.8000000000000007"/>
    <n v="4.7619047619047672"/>
    <n v="3.409090909090895"/>
    <n v="5.0000000000000044"/>
    <n v="2.3255813953488409"/>
    <m/>
  </r>
  <r>
    <x v="1"/>
    <s v="Jun"/>
    <n v="115"/>
    <n v="9.3000000000000007"/>
    <n v="8.6999999999999993"/>
    <n v="8.6999999999999993"/>
    <n v="4.5454545454545414"/>
    <n v="2.1978021978022122"/>
    <n v="3.5714285714285592"/>
    <n v="-1.136363636363658"/>
    <m/>
  </r>
  <r>
    <x v="1"/>
    <s v="Jul"/>
    <n v="108"/>
    <n v="8.9"/>
    <n v="8.1"/>
    <n v="8.4"/>
    <n v="-6.086956521739129"/>
    <n v="-4.3010752688172111"/>
    <n v="-6.8965517241379226"/>
    <n v="-3.4482758620689502"/>
    <m/>
  </r>
  <r>
    <x v="1"/>
    <s v="Aug"/>
    <n v="102"/>
    <n v="8.1999999999999993"/>
    <n v="7.5"/>
    <n v="8.1"/>
    <n v="-5.555555555555558"/>
    <n v="-7.8651685393258504"/>
    <n v="-7.4074074074074074"/>
    <n v="-3.5714285714285809"/>
    <m/>
  </r>
  <r>
    <x v="1"/>
    <s v="Sep"/>
    <n v="96"/>
    <n v="7.7"/>
    <n v="7"/>
    <n v="7.9"/>
    <n v="-5.8823529411764719"/>
    <n v="-6.0975609756097509"/>
    <n v="-6.6666666666666652"/>
    <n v="-2.469135802469125"/>
    <m/>
  </r>
  <r>
    <x v="1"/>
    <s v="Oct"/>
    <n v="88"/>
    <n v="7.1"/>
    <n v="6.4"/>
    <n v="7.6"/>
    <n v="-8.3333333333333375"/>
    <n v="-7.7922077922077948"/>
    <n v="-8.5714285714285623"/>
    <n v="-3.7974683544303889"/>
    <m/>
  </r>
  <r>
    <x v="1"/>
    <s v="Nov"/>
    <n v="82"/>
    <n v="6.8"/>
    <n v="6.1"/>
    <n v="7.4"/>
    <n v="-6.8181818181818237"/>
    <n v="-4.2253521126760507"/>
    <n v="-4.6875000000000107"/>
    <n v="-2.631578947368407"/>
    <m/>
  </r>
  <r>
    <x v="1"/>
    <s v="Dec"/>
    <n v="80"/>
    <n v="6.6"/>
    <n v="5.9"/>
    <n v="7.3"/>
    <n v="-2.439024390243905"/>
    <n v="-2.9411764705882359"/>
    <n v="-3.278688524590156"/>
    <n v="-1.35135135135136"/>
    <m/>
  </r>
  <r>
    <x v="2"/>
    <s v="Jan"/>
    <n v="82"/>
    <n v="6.7"/>
    <n v="6"/>
    <n v="7.4"/>
    <n v="2.4999999999999911"/>
    <n v="1.515151515151514"/>
    <n v="1.6949152542372841"/>
    <n v="1.3698630136986361"/>
    <m/>
  </r>
  <r>
    <x v="2"/>
    <s v="Feb"/>
    <n v="85"/>
    <n v="6.9"/>
    <n v="6.3"/>
    <n v="7.5"/>
    <n v="3.6585365853658569"/>
    <n v="2.9850746268656798"/>
    <n v="5.0000000000000044"/>
    <n v="1.351351351351338"/>
    <m/>
  </r>
  <r>
    <x v="2"/>
    <s v="Mar"/>
    <n v="83"/>
    <n v="6.8"/>
    <n v="6.1"/>
    <n v="7.3"/>
    <n v="-2.352941176470591"/>
    <n v="-1.449275362318847"/>
    <n v="-3.174603174603174"/>
    <n v="-2.6666666666666732"/>
    <m/>
  </r>
  <r>
    <x v="2"/>
    <s v="Apr"/>
    <n v="87"/>
    <n v="7"/>
    <n v="6.4"/>
    <n v="7.6"/>
    <n v="4.8192771084337283"/>
    <n v="2.941176470588247"/>
    <n v="4.9180327868852514"/>
    <n v="4.109589041095884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x v="0"/>
    <x v="0"/>
    <s v="May"/>
    <n v="173.2"/>
    <n v="211.5"/>
    <n v="171"/>
    <n v="179.6"/>
    <n v="173.3"/>
    <n v="169"/>
    <n v="148.69999999999999"/>
    <n v="174.9"/>
    <n v="121.9"/>
    <n v="213.04"/>
    <n v="178.7"/>
    <n v="191.1"/>
    <n v="176.8"/>
    <n v="199.9"/>
    <n v="191.2"/>
    <n v="185.35"/>
    <n v="190.8"/>
    <n v="140.85"/>
    <n v="182.5"/>
    <n v="179.8"/>
    <n v="187.8"/>
    <n v="169.7"/>
    <n v="173.8"/>
    <n v="180.3"/>
    <n v="184.9"/>
    <n v="179.5"/>
    <n v="179.8"/>
    <x v="0"/>
    <n v="189.9666666666667"/>
    <n v="160.32499999999999"/>
    <n v="8.9732886200286369E-2"/>
    <n v="0.10632313913518003"/>
    <n v="9.9569502292411988E-2"/>
    <n v="0.10046501215001656"/>
    <n v="0.1034873579194321"/>
    <n v="0.10091276707881887"/>
    <n v="9.7274758282300158E-2"/>
    <n v="9.4980014272188357E-2"/>
    <n v="0.10511046953634046"/>
    <n v="0.10214409313302519"/>
    <n v="5"/>
    <x v="0"/>
    <n v="178.68571428571428"/>
  </r>
  <r>
    <x v="1"/>
    <x v="0"/>
    <s v="May"/>
    <n v="174.7"/>
    <n v="219.4"/>
    <n v="176.7"/>
    <n v="179.4"/>
    <n v="164.4"/>
    <n v="175.8"/>
    <n v="185"/>
    <n v="176.9"/>
    <n v="124.2"/>
    <n v="211.9"/>
    <n v="165.9"/>
    <n v="197.7"/>
    <n v="183.1"/>
    <n v="204.2"/>
    <n v="181.3"/>
    <n v="168.1"/>
    <n v="179.3"/>
    <n v="175.6"/>
    <n v="183.4"/>
    <n v="170.1"/>
    <n v="182.2"/>
    <n v="160.4"/>
    <n v="169.2"/>
    <n v="174.8"/>
    <n v="185.6"/>
    <n v="171.6"/>
    <n v="178.2"/>
    <x v="1"/>
    <n v="176.23333333333335"/>
    <n v="172.85"/>
    <n v="9.834086949925358E-2"/>
    <n v="0.10026577515042981"/>
    <n v="0.10319309472269705"/>
    <n v="9.7629697460641679E-2"/>
    <n v="0.10559482429309497"/>
    <n v="9.9450297879488156E-2"/>
    <n v="9.6264247146506832E-2"/>
    <n v="9.1257595994679058E-2"/>
    <n v="0.10366043634807059"/>
    <n v="0.10434316150513803"/>
    <n v="5"/>
    <x v="0"/>
    <n v="176.08571428571426"/>
  </r>
  <r>
    <x v="2"/>
    <x v="1"/>
    <s v="May"/>
    <n v="154.1"/>
    <n v="217"/>
    <n v="162.4"/>
    <n v="164.9"/>
    <n v="189.67500000000001"/>
    <n v="171"/>
    <n v="174.9"/>
    <n v="164.7"/>
    <n v="119.7"/>
    <n v="184.9"/>
    <n v="167.1"/>
    <n v="182.5"/>
    <n v="173.3"/>
    <n v="194.1"/>
    <n v="175.6"/>
    <n v="168.4"/>
    <n v="174.6"/>
    <n v="167.5"/>
    <n v="174.6"/>
    <n v="165.2"/>
    <n v="174.8"/>
    <n v="163"/>
    <n v="165.1"/>
    <n v="167.9"/>
    <n v="168.4"/>
    <n v="167.5"/>
    <n v="171.7"/>
    <x v="2"/>
    <n v="172.86666666666667"/>
    <n v="166.35"/>
    <n v="9.8182002144442115E-2"/>
    <n v="0.10202822625409816"/>
    <n v="0.1025706604909731"/>
    <n v="9.8860747575557892E-2"/>
    <n v="9.9391939652083275E-2"/>
    <n v="9.9096832942902502E-2"/>
    <n v="9.744423537149019E-2"/>
    <n v="9.6204787192930963E-2"/>
    <n v="0.10316930552959713"/>
    <n v="0.10305126284592482"/>
    <n v="5"/>
    <x v="1"/>
    <n v="170.54285714285714"/>
  </r>
  <r>
    <x v="2"/>
    <x v="1"/>
    <s v="June"/>
    <n v="155"/>
    <n v="219.4"/>
    <n v="170.8"/>
    <n v="165.8"/>
    <n v="189.67500000000001"/>
    <n v="169.7"/>
    <n v="182.3"/>
    <n v="164.3"/>
    <n v="119.9"/>
    <n v="187.1"/>
    <n v="167.9"/>
    <n v="183.9"/>
    <n v="174.9"/>
    <n v="194.3"/>
    <n v="177.1"/>
    <n v="169.9"/>
    <n v="176"/>
    <n v="166.8"/>
    <n v="176"/>
    <n v="166.4"/>
    <n v="175.4"/>
    <n v="161.1"/>
    <n v="165.8"/>
    <n v="169"/>
    <n v="169.4"/>
    <n v="167.5"/>
    <n v="172.6"/>
    <x v="3"/>
    <n v="174.33333333333334"/>
    <n v="166.60000000000002"/>
    <n v="9.7966795567888773E-2"/>
    <n v="0.10251427387356106"/>
    <n v="0.10316671380288474"/>
    <n v="9.8496027956910967E-2"/>
    <n v="9.9613296333735626E-2"/>
    <n v="9.9378081938614637E-2"/>
    <n v="9.7496366777646795E-2"/>
    <n v="9.4732597634975255E-2"/>
    <n v="0.10314151226055035"/>
    <n v="0.10349433385323181"/>
    <n v="6"/>
    <x v="2"/>
    <n v="171.6"/>
  </r>
  <r>
    <x v="0"/>
    <x v="0"/>
    <s v="April"/>
    <n v="173.3"/>
    <n v="206.9"/>
    <n v="167.9"/>
    <n v="178.2"/>
    <n v="178.5"/>
    <n v="173.7"/>
    <n v="142.80000000000001"/>
    <n v="172.8"/>
    <n v="120.4"/>
    <n v="213.04"/>
    <n v="178.2"/>
    <n v="190.5"/>
    <n v="175.5"/>
    <n v="199.5"/>
    <n v="190.7"/>
    <n v="185.35"/>
    <n v="190.2"/>
    <n v="140.85"/>
    <n v="181.5"/>
    <n v="179.1"/>
    <n v="187.2"/>
    <n v="169.4"/>
    <n v="173.2"/>
    <n v="179.4"/>
    <n v="183.8"/>
    <n v="178.9"/>
    <n v="178.8"/>
    <x v="4"/>
    <n v="189.4"/>
    <n v="159.97499999999999"/>
    <n v="8.9900471850533153E-2"/>
    <n v="0.10643631422716662"/>
    <n v="9.9295335082117214E-2"/>
    <n v="0.10053567378690659"/>
    <n v="0.10328930599236127"/>
    <n v="0.10081665666501421"/>
    <n v="9.7332468976479708E-2"/>
    <n v="9.5196999102861807E-2"/>
    <n v="0.10519998956349308"/>
    <n v="0.10199678475306621"/>
    <n v="4"/>
    <x v="3"/>
    <n v="178.15714285714284"/>
  </r>
  <r>
    <x v="1"/>
    <x v="0"/>
    <s v="April"/>
    <n v="174.8"/>
    <n v="213.7"/>
    <n v="172.4"/>
    <n v="178.8"/>
    <n v="168.7"/>
    <n v="179.2"/>
    <n v="179.9"/>
    <n v="174.7"/>
    <n v="123.1"/>
    <n v="207.8"/>
    <n v="165.5"/>
    <n v="197"/>
    <n v="182.1"/>
    <n v="203.5"/>
    <n v="181"/>
    <n v="167.7"/>
    <n v="178.9"/>
    <n v="175.2"/>
    <n v="182.1"/>
    <n v="169.6"/>
    <n v="181.5"/>
    <n v="160.1"/>
    <n v="168.8"/>
    <n v="174.2"/>
    <n v="184.4"/>
    <n v="170.9"/>
    <n v="177.4"/>
    <x v="5"/>
    <n v="175.86666666666667"/>
    <n v="172.39999999999998"/>
    <n v="9.8494452817663933E-2"/>
    <n v="0.10047500639327049"/>
    <n v="0.1028854053877587"/>
    <n v="9.7637482520526508E-2"/>
    <n v="0.10535021519476352"/>
    <n v="9.9522817174228881E-2"/>
    <n v="9.6437724104534078E-2"/>
    <n v="9.1467296381136876E-2"/>
    <n v="0.10369340595363112"/>
    <n v="0.1040361940724861"/>
    <n v="4"/>
    <x v="3"/>
    <n v="175.52857142857141"/>
  </r>
  <r>
    <x v="0"/>
    <x v="0"/>
    <s v="March"/>
    <n v="174.3"/>
    <n v="205.2"/>
    <n v="173.9"/>
    <n v="177"/>
    <n v="183.3"/>
    <n v="167.2"/>
    <n v="140.9"/>
    <n v="170.5"/>
    <n v="119.1"/>
    <n v="212.1"/>
    <n v="177.6"/>
    <n v="189.9"/>
    <n v="174.8"/>
    <n v="198.4"/>
    <n v="190"/>
    <n v="185.35"/>
    <n v="189.6"/>
    <n v="140.85"/>
    <n v="181.4"/>
    <n v="178.6"/>
    <n v="186.6"/>
    <n v="169"/>
    <n v="172.8"/>
    <n v="178.5"/>
    <n v="180.7"/>
    <n v="177.9"/>
    <n v="178"/>
    <x v="6"/>
    <n v="188.86666666666667"/>
    <n v="159.72499999999999"/>
    <n v="9.0163400120290449E-2"/>
    <n v="0.10661362238880695"/>
    <n v="9.9358562965999486E-2"/>
    <n v="0.10042303259602237"/>
    <n v="0.10200360871332906"/>
    <n v="0.10076172747830237"/>
    <n v="9.75441260966423E-2"/>
    <n v="9.53990585088689E-2"/>
    <n v="0.10533410838908247"/>
    <n v="0.10239875274265574"/>
    <n v="3"/>
    <x v="4"/>
    <n v="177.75714285714284"/>
  </r>
  <r>
    <x v="1"/>
    <x v="0"/>
    <s v="March"/>
    <n v="174.7"/>
    <n v="212.2"/>
    <n v="177.2"/>
    <n v="177.9"/>
    <n v="172.2"/>
    <n v="172.1"/>
    <n v="175.9"/>
    <n v="172.2"/>
    <n v="121.9"/>
    <n v="204.8"/>
    <n v="164.9"/>
    <n v="196.6"/>
    <n v="180.8"/>
    <n v="202.7"/>
    <n v="180.2"/>
    <n v="167"/>
    <n v="178.2"/>
    <n v="173.5"/>
    <n v="182.6"/>
    <n v="169.2"/>
    <n v="180.8"/>
    <n v="159.80000000000001"/>
    <n v="168.4"/>
    <n v="172.5"/>
    <n v="181.5"/>
    <n v="170"/>
    <n v="176.3"/>
    <x v="7"/>
    <n v="175.13333333333333"/>
    <n v="171.35"/>
    <n v="9.8415333575837802E-2"/>
    <n v="0.10058830125619138"/>
    <n v="0.10281323418000211"/>
    <n v="9.7639957443200615E-2"/>
    <n v="0.10424501338788772"/>
    <n v="9.9075839170306504E-2"/>
    <n v="9.6720993137852845E-2"/>
    <n v="9.1781559996608586E-2"/>
    <n v="0.10384296650429807"/>
    <n v="0.10487680134781431"/>
    <n v="3"/>
    <x v="4"/>
    <n v="174.74285714285716"/>
  </r>
  <r>
    <x v="2"/>
    <x v="1"/>
    <s v="July"/>
    <n v="156.5"/>
    <n v="213"/>
    <n v="175.2"/>
    <n v="166.6"/>
    <n v="189.67500000000001"/>
    <n v="174.2"/>
    <n v="182.1"/>
    <n v="164.3"/>
    <n v="120"/>
    <n v="190"/>
    <n v="168.4"/>
    <n v="185.2"/>
    <n v="175"/>
    <n v="194.6"/>
    <n v="178.3"/>
    <n v="171.3"/>
    <n v="177.3"/>
    <n v="167.8"/>
    <n v="179.6"/>
    <n v="167.4"/>
    <n v="176.1"/>
    <n v="161.6"/>
    <n v="166.3"/>
    <n v="171.4"/>
    <n v="169.7"/>
    <n v="168.4"/>
    <n v="173.4"/>
    <x v="8"/>
    <n v="175.63333333333335"/>
    <n v="167.60000000000002"/>
    <n v="9.7890797636447355E-2"/>
    <n v="0.10258285854145607"/>
    <n v="0.10266768833256618"/>
    <n v="9.8358056813709627E-2"/>
    <n v="9.9117352976760817E-2"/>
    <n v="0.10011027872844316"/>
    <n v="9.7131501473396151E-2"/>
    <n v="9.4386353806980253E-2"/>
    <n v="0.10285542639485905"/>
    <n v="0.10489968529538152"/>
    <n v="7"/>
    <x v="5"/>
    <n v="173.29999999999998"/>
  </r>
  <r>
    <x v="1"/>
    <x v="0"/>
    <s v="February"/>
    <n v="174.7"/>
    <n v="212.2"/>
    <n v="177.2"/>
    <n v="177.9"/>
    <n v="172.2"/>
    <n v="172.1"/>
    <n v="175.8"/>
    <n v="172.2"/>
    <n v="121.9"/>
    <n v="204.8"/>
    <n v="164.9"/>
    <n v="196.6"/>
    <n v="180.7"/>
    <n v="202.7"/>
    <n v="180.3"/>
    <n v="167"/>
    <n v="178.2"/>
    <n v="173.5"/>
    <n v="182.8"/>
    <n v="169.2"/>
    <n v="180.8"/>
    <n v="159.80000000000001"/>
    <n v="168.4"/>
    <n v="172.5"/>
    <n v="181.4"/>
    <n v="170"/>
    <n v="176.3"/>
    <x v="9"/>
    <n v="175.16666666666666"/>
    <n v="171.35"/>
    <n v="9.8408604855956733E-2"/>
    <n v="0.10060056774984001"/>
    <n v="0.10279800029536117"/>
    <n v="9.7633281736286215E-2"/>
    <n v="0.10418045474683718"/>
    <n v="9.9069065291231606E-2"/>
    <n v="9.6714380261121183E-2"/>
    <n v="9.1775284832109061E-2"/>
    <n v="0.10383586669365029"/>
    <n v="0.1049844935376066"/>
    <n v="2"/>
    <x v="6"/>
    <n v="174.78571428571428"/>
  </r>
  <r>
    <x v="2"/>
    <x v="1"/>
    <s v="August"/>
    <n v="160.30000000000001"/>
    <n v="206.5"/>
    <n v="169.2"/>
    <n v="168.1"/>
    <n v="189.67500000000001"/>
    <n v="172.9"/>
    <n v="186.7"/>
    <n v="167.2"/>
    <n v="120.9"/>
    <n v="193.6"/>
    <n v="168.8"/>
    <n v="186.3"/>
    <n v="176.3"/>
    <n v="195"/>
    <n v="179.5"/>
    <n v="172.7"/>
    <n v="178.5"/>
    <n v="169"/>
    <n v="178.8"/>
    <n v="168.5"/>
    <n v="176.8"/>
    <n v="161.9"/>
    <n v="166.9"/>
    <n v="172.3"/>
    <n v="171.2"/>
    <n v="169.1"/>
    <n v="174.3"/>
    <x v="6"/>
    <n v="176.9"/>
    <n v="168.75"/>
    <n v="9.8186714766035077E-2"/>
    <n v="0.10292876943473545"/>
    <n v="0.10241341905882061"/>
    <n v="9.8390361285549816E-2"/>
    <n v="9.9612240402638247E-2"/>
    <n v="0.10025227232111315"/>
    <n v="9.711029744860003E-2"/>
    <n v="9.4201061455532323E-2"/>
    <n v="0.10287058471487409"/>
    <n v="0.10403427911210117"/>
    <n v="8"/>
    <x v="7"/>
    <n v="174.18571428571428"/>
  </r>
  <r>
    <x v="0"/>
    <x v="0"/>
    <s v="February"/>
    <n v="174.2"/>
    <n v="205.2"/>
    <n v="173.9"/>
    <n v="177"/>
    <n v="183.4"/>
    <n v="167.2"/>
    <n v="140.9"/>
    <n v="170.4"/>
    <n v="119.1"/>
    <n v="212.1"/>
    <n v="177.6"/>
    <n v="189.9"/>
    <n v="174.8"/>
    <n v="198.3"/>
    <n v="190"/>
    <n v="185.35"/>
    <n v="189.6"/>
    <n v="140.85"/>
    <n v="181.6"/>
    <n v="178.6"/>
    <n v="186.6"/>
    <n v="169"/>
    <n v="172.8"/>
    <n v="178.5"/>
    <n v="180.7"/>
    <n v="177.9"/>
    <n v="178"/>
    <x v="10"/>
    <n v="188.86666666666667"/>
    <n v="159.72499999999999"/>
    <n v="9.0153948909469775E-2"/>
    <n v="0.10660244681401487"/>
    <n v="9.9340084570772771E-2"/>
    <n v="0.10041250593829816"/>
    <n v="0.10199291637465135"/>
    <n v="0.1007511653175167"/>
    <n v="9.7533901214940544E-2"/>
    <n v="9.5389058479889766E-2"/>
    <n v="0.10532306693696704"/>
    <n v="0.10250090544347917"/>
    <n v="2"/>
    <x v="6"/>
    <n v="177.78571428571428"/>
  </r>
  <r>
    <x v="0"/>
    <x v="0"/>
    <s v="January"/>
    <n v="174"/>
    <n v="208.3"/>
    <n v="192.9"/>
    <n v="174.3"/>
    <n v="189.67500000000001"/>
    <n v="156.30000000000001"/>
    <n v="142.9"/>
    <n v="170.7"/>
    <n v="120.3"/>
    <n v="210.5"/>
    <n v="176.9"/>
    <n v="188.5"/>
    <n v="175"/>
    <n v="196.9"/>
    <n v="189"/>
    <n v="185.35"/>
    <n v="188.6"/>
    <n v="140.85"/>
    <n v="183.2"/>
    <n v="177.2"/>
    <n v="184.7"/>
    <n v="168.2"/>
    <n v="171.8"/>
    <n v="177.8"/>
    <n v="178.4"/>
    <n v="176.5"/>
    <n v="177.8"/>
    <x v="11"/>
    <n v="187.96666666666667"/>
    <n v="159.02499999999998"/>
    <n v="9.0112339388673482E-2"/>
    <n v="0.10651228461200647"/>
    <n v="0.10038296445655409"/>
    <n v="0.10001463859205076"/>
    <n v="0.10109128342675273"/>
    <n v="0.10075129032105738"/>
    <n v="9.7351359264103807E-2"/>
    <n v="9.5311400629931653E-2"/>
    <n v="0.10466121103655397"/>
    <n v="0.10381122827231558"/>
    <n v="1"/>
    <x v="8"/>
    <n v="177.42857142857142"/>
  </r>
  <r>
    <x v="1"/>
    <x v="0"/>
    <s v="January"/>
    <n v="173.3"/>
    <n v="215.2"/>
    <n v="197"/>
    <n v="175.2"/>
    <n v="178"/>
    <n v="160.5"/>
    <n v="175.3"/>
    <n v="171.2"/>
    <n v="122.7"/>
    <n v="204.3"/>
    <n v="163.69999999999999"/>
    <n v="194.3"/>
    <n v="179.5"/>
    <n v="201.6"/>
    <n v="178.7"/>
    <n v="165.3"/>
    <n v="176.6"/>
    <n v="172.1"/>
    <n v="180.1"/>
    <n v="168"/>
    <n v="178.5"/>
    <n v="159.5"/>
    <n v="167.8"/>
    <n v="171.8"/>
    <n v="178.8"/>
    <n v="168.9"/>
    <n v="174.9"/>
    <x v="12"/>
    <n v="173.53333333333333"/>
    <n v="170.05"/>
    <n v="9.838592585755869E-2"/>
    <n v="0.10040128001851427"/>
    <n v="0.10380382600454317"/>
    <n v="9.7720569699157087E-2"/>
    <n v="0.1034484183671361"/>
    <n v="9.9398424359474172E-2"/>
    <n v="9.7084142069381638E-2"/>
    <n v="9.2282006317439644E-2"/>
    <n v="0.10327484719537916"/>
    <n v="0.10420056011141617"/>
    <n v="1"/>
    <x v="8"/>
    <n v="173.22857142857146"/>
  </r>
  <r>
    <x v="2"/>
    <x v="1"/>
    <s v="September"/>
    <n v="163.5"/>
    <n v="209.2"/>
    <n v="169.7"/>
    <n v="169.7"/>
    <n v="188.7"/>
    <n v="165.7"/>
    <n v="191.8"/>
    <n v="169.1"/>
    <n v="121.6"/>
    <n v="197.3"/>
    <n v="169.4"/>
    <n v="187.4"/>
    <n v="177.8"/>
    <n v="195.9"/>
    <n v="180.9"/>
    <n v="174.3"/>
    <n v="179.9"/>
    <n v="169.5"/>
    <n v="179.5"/>
    <n v="169.5"/>
    <n v="177.8"/>
    <n v="162.30000000000001"/>
    <n v="167.6"/>
    <n v="173.1"/>
    <n v="170.9"/>
    <n v="169.7"/>
    <n v="175.3"/>
    <x v="13"/>
    <n v="178.36666666666667"/>
    <n v="169.5"/>
    <n v="9.8222095901410914E-2"/>
    <n v="0.10336016424158305"/>
    <n v="0.10251853650594799"/>
    <n v="9.833799217976065E-2"/>
    <n v="9.9033369849859137E-2"/>
    <n v="0.10030822891170636"/>
    <n v="9.7121081257088307E-2"/>
    <n v="9.4049829880820002E-2"/>
    <n v="0.10303179145292543"/>
    <n v="0.10401690981889827"/>
    <n v="9"/>
    <x v="9"/>
    <n v="175.24285714285716"/>
  </r>
  <r>
    <x v="1"/>
    <x v="1"/>
    <s v="December"/>
    <n v="170.2"/>
    <n v="212.9"/>
    <n v="191.9"/>
    <n v="173.9"/>
    <n v="179.1"/>
    <n v="159.5"/>
    <n v="178.7"/>
    <n v="171.3"/>
    <n v="123.1"/>
    <n v="200.5"/>
    <n v="162.80000000000001"/>
    <n v="193.3"/>
    <n v="178.6"/>
    <n v="201.1"/>
    <n v="177.7"/>
    <n v="164.5"/>
    <n v="175.7"/>
    <n v="170.7"/>
    <n v="180.6"/>
    <n v="167.3"/>
    <n v="177.2"/>
    <n v="159.4"/>
    <n v="167.1"/>
    <n v="171.8"/>
    <n v="176"/>
    <n v="168.2"/>
    <n v="174.1"/>
    <x v="14"/>
    <n v="172.63333333333333"/>
    <n v="169"/>
    <n v="9.823963106852554E-2"/>
    <n v="0.10035168625323347"/>
    <n v="0.1036747822548611"/>
    <n v="9.7774591394828372E-2"/>
    <n v="0.10230872821337571"/>
    <n v="9.9867269926465607E-2"/>
    <n v="9.7135161843494772E-2"/>
    <n v="9.2659154984159595E-2"/>
    <n v="0.10300628772392144"/>
    <n v="0.10498270633713438"/>
    <n v="12"/>
    <x v="10"/>
    <n v="172.61428571428573"/>
  </r>
  <r>
    <x v="2"/>
    <x v="1"/>
    <s v="October"/>
    <n v="165.2"/>
    <n v="210.9"/>
    <n v="170.9"/>
    <n v="170.9"/>
    <n v="186.5"/>
    <n v="163.80000000000001"/>
    <n v="199.7"/>
    <n v="169.8"/>
    <n v="121.9"/>
    <n v="199.9"/>
    <n v="169.9"/>
    <n v="188.3"/>
    <n v="179.6"/>
    <n v="196.3"/>
    <n v="181.9"/>
    <n v="175.3"/>
    <n v="181"/>
    <n v="171.2"/>
    <n v="180.5"/>
    <n v="170.4"/>
    <n v="178.7"/>
    <n v="162.9"/>
    <n v="168.2"/>
    <n v="173.4"/>
    <n v="172.1"/>
    <n v="170.5"/>
    <n v="176.7"/>
    <x v="15"/>
    <n v="179.4"/>
    <n v="170.8"/>
    <n v="9.8465694308327079E-2"/>
    <n v="0.10342356884609998"/>
    <n v="0.10268235836703095"/>
    <n v="9.8292745196544296E-2"/>
    <n v="9.9215140459385759E-2"/>
    <n v="9.9964586610444467E-2"/>
    <n v="9.6966802006209663E-2"/>
    <n v="9.391136769804731E-2"/>
    <n v="0.10302002091860682"/>
    <n v="0.10405771558930349"/>
    <n v="10"/>
    <x v="11"/>
    <n v="176.24285714285716"/>
  </r>
  <r>
    <x v="0"/>
    <x v="1"/>
    <s v="December"/>
    <n v="168.8"/>
    <n v="206.9"/>
    <n v="189.1"/>
    <n v="173.4"/>
    <n v="189.67500000000001"/>
    <n v="156.69999999999999"/>
    <n v="150.19999999999999"/>
    <n v="170.5"/>
    <n v="121.2"/>
    <n v="207.5"/>
    <n v="176.8"/>
    <n v="187.7"/>
    <n v="174.4"/>
    <n v="195.9"/>
    <n v="188.1"/>
    <n v="185.35"/>
    <n v="187.8"/>
    <n v="140.85"/>
    <n v="182.8"/>
    <n v="176.4"/>
    <n v="183.5"/>
    <n v="167.8"/>
    <n v="171.2"/>
    <n v="177.3"/>
    <n v="175.7"/>
    <n v="175.5"/>
    <n v="177.1"/>
    <x v="16"/>
    <n v="187.26666666666665"/>
    <n v="158.625"/>
    <n v="9.0315938022979408E-2"/>
    <n v="0.10662357547950581"/>
    <n v="0.10057472238245101"/>
    <n v="9.9924016536062324E-2"/>
    <n v="0.10003789005918035"/>
    <n v="0.1009488782441245"/>
    <n v="9.7475735789024895E-2"/>
    <n v="9.553988589601857E-2"/>
    <n v="0.10447895746078312"/>
    <n v="0.10408040012987005"/>
    <n v="12"/>
    <x v="10"/>
    <n v="176.94285714285712"/>
  </r>
  <r>
    <x v="0"/>
    <x v="1"/>
    <s v="November"/>
    <n v="166.9"/>
    <n v="207.2"/>
    <n v="180.2"/>
    <n v="172.3"/>
    <n v="189.67500000000001"/>
    <n v="159.1"/>
    <n v="171.6"/>
    <n v="170.2"/>
    <n v="121.5"/>
    <n v="204.8"/>
    <n v="176.4"/>
    <n v="186.9"/>
    <n v="176.6"/>
    <n v="195.5"/>
    <n v="187.2"/>
    <n v="185.2"/>
    <n v="186.9"/>
    <n v="140.85"/>
    <n v="181.9"/>
    <n v="175.5"/>
    <n v="182.3"/>
    <n v="167.5"/>
    <n v="170.8"/>
    <n v="176.9"/>
    <n v="173.4"/>
    <n v="174.6"/>
    <n v="177.8"/>
    <x v="17"/>
    <n v="186.43333333333331"/>
    <n v="158.17500000000001"/>
    <n v="9.0417760308245304E-2"/>
    <n v="0.10657110445266653"/>
    <n v="0.10139103723156301"/>
    <n v="9.9806802274819834E-2"/>
    <n v="9.9120844870869196E-2"/>
    <n v="0.10112155396572527"/>
    <n v="9.7634603828976124E-2"/>
    <n v="9.5748220968111822E-2"/>
    <n v="0.10420836228350319"/>
    <n v="0.10397970981551964"/>
    <n v="11"/>
    <x v="12"/>
    <n v="176.35"/>
  </r>
  <r>
    <x v="1"/>
    <x v="1"/>
    <s v="November"/>
    <n v="168.4"/>
    <n v="213.4"/>
    <n v="183.2"/>
    <n v="172.3"/>
    <n v="180"/>
    <n v="162.6"/>
    <n v="205.5"/>
    <n v="171"/>
    <n v="123.4"/>
    <n v="198.8"/>
    <n v="162.1"/>
    <n v="192.4"/>
    <n v="181.3"/>
    <n v="200.6"/>
    <n v="176.7"/>
    <n v="163.5"/>
    <n v="174.7"/>
    <n v="171.8"/>
    <n v="180.3"/>
    <n v="166.9"/>
    <n v="175.8"/>
    <n v="158.9"/>
    <n v="166.7"/>
    <n v="171.5"/>
    <n v="173.8"/>
    <n v="167.4"/>
    <n v="174.1"/>
    <x v="18"/>
    <n v="171.63333333333333"/>
    <n v="169.35000000000002"/>
    <n v="9.8744847711613459E-2"/>
    <n v="0.10007621707845638"/>
    <n v="0.10474642203159468"/>
    <n v="9.7607838836280436E-2"/>
    <n v="0.10133956027327086"/>
    <n v="9.9998472881852415E-2"/>
    <n v="9.7199681804109608E-2"/>
    <n v="9.2651646302777543E-2"/>
    <n v="0.10250572322233036"/>
    <n v="0.10512958985771424"/>
    <n v="11"/>
    <x v="12"/>
    <n v="172.20000000000002"/>
  </r>
  <r>
    <x v="2"/>
    <x v="1"/>
    <s v="November"/>
    <n v="167.4"/>
    <n v="209.4"/>
    <n v="181.4"/>
    <n v="172.3"/>
    <n v="188.9"/>
    <n v="160.69999999999999"/>
    <n v="183.1"/>
    <n v="170.5"/>
    <n v="122.1"/>
    <n v="202.8"/>
    <n v="170.4"/>
    <n v="189.5"/>
    <n v="178.3"/>
    <n v="196.9"/>
    <n v="183.1"/>
    <n v="176.2"/>
    <n v="182.1"/>
    <n v="171.8"/>
    <n v="181.3"/>
    <n v="171.4"/>
    <n v="179.8"/>
    <n v="163"/>
    <n v="168.5"/>
    <n v="173.7"/>
    <n v="173.6"/>
    <n v="171.1"/>
    <n v="176.5"/>
    <x v="19"/>
    <n v="180.46666666666667"/>
    <n v="171.60000000000002"/>
    <n v="9.8553396080125921E-2"/>
    <n v="0.10364570442459241"/>
    <n v="0.10229878613262156"/>
    <n v="9.8266235835137203E-2"/>
    <n v="9.9702037060080753E-2"/>
    <n v="9.97594691090785E-2"/>
    <n v="9.6773002561195906E-2"/>
    <n v="9.3614239866320073E-2"/>
    <n v="0.1032628240979408"/>
    <n v="0.10412430483290692"/>
    <n v="11"/>
    <x v="12"/>
    <n v="177.08571428571426"/>
  </r>
  <r>
    <x v="2"/>
    <x v="1"/>
    <s v="December"/>
    <n v="169.2"/>
    <n v="209"/>
    <n v="190.2"/>
    <n v="173.6"/>
    <n v="188.5"/>
    <n v="158"/>
    <n v="159.9"/>
    <n v="170.8"/>
    <n v="121.8"/>
    <n v="205.2"/>
    <n v="171"/>
    <n v="190.3"/>
    <n v="175.9"/>
    <n v="197.3"/>
    <n v="184"/>
    <n v="177"/>
    <n v="183"/>
    <n v="170.7"/>
    <n v="182"/>
    <n v="172.1"/>
    <n v="181.1"/>
    <n v="163.4"/>
    <n v="168.9"/>
    <n v="174.1"/>
    <n v="175.8"/>
    <n v="172"/>
    <n v="175.7"/>
    <x v="20"/>
    <n v="181.33333333333334"/>
    <n v="171.39999999999998"/>
    <n v="9.8098346358513819E-2"/>
    <n v="0.10378354807279565"/>
    <n v="0.10141380555574482"/>
    <n v="9.8441747804342936E-2"/>
    <n v="0.10061662362792725"/>
    <n v="9.9643652864744789E-2"/>
    <n v="9.6667507000892564E-2"/>
    <n v="9.3519660414125794E-2"/>
    <n v="0.10365000306608432"/>
    <n v="0.10416510523482798"/>
    <n v="12"/>
    <x v="10"/>
    <n v="177.55714285714288"/>
  </r>
  <r>
    <x v="0"/>
    <x v="1"/>
    <s v="October"/>
    <n v="164.7"/>
    <n v="208.8"/>
    <n v="170.3"/>
    <n v="170.9"/>
    <n v="189.67500000000001"/>
    <n v="162.19999999999999"/>
    <n v="184.8"/>
    <n v="169.7"/>
    <n v="121.1"/>
    <n v="201.6"/>
    <n v="175.8"/>
    <n v="185.6"/>
    <n v="177.4"/>
    <n v="194.9"/>
    <n v="186.1"/>
    <n v="184.4"/>
    <n v="185.9"/>
    <n v="140.85"/>
    <n v="180.8"/>
    <n v="174.4"/>
    <n v="181.2"/>
    <n v="167.4"/>
    <n v="170.6"/>
    <n v="176.5"/>
    <n v="172"/>
    <n v="173.9"/>
    <n v="177.9"/>
    <x v="21"/>
    <n v="185.46666666666667"/>
    <n v="157.625"/>
    <n v="9.0454351994873533E-2"/>
    <n v="0.10643151245032542"/>
    <n v="0.10163023466006092"/>
    <n v="9.9793889369760566E-2"/>
    <n v="9.8703559353644707E-2"/>
    <n v="0.1012859199181296"/>
    <n v="9.7900158289138298E-2"/>
    <n v="9.6063812998837941E-2"/>
    <n v="0.10398305206325827"/>
    <n v="0.10375350890197073"/>
    <n v="10"/>
    <x v="11"/>
    <n v="175.56428571428572"/>
  </r>
  <r>
    <x v="1"/>
    <x v="1"/>
    <s v="October"/>
    <n v="166.4"/>
    <n v="214.9"/>
    <n v="171.9"/>
    <n v="171"/>
    <n v="177.7"/>
    <n v="165.7"/>
    <n v="225.46299999999999"/>
    <n v="169.9"/>
    <n v="123.4"/>
    <n v="196.4"/>
    <n v="161.6"/>
    <n v="191.5"/>
    <n v="183.3"/>
    <n v="200.1"/>
    <n v="175.5"/>
    <n v="162.6"/>
    <n v="173.6"/>
    <n v="171.2"/>
    <n v="180"/>
    <n v="166"/>
    <n v="174.7"/>
    <n v="158.80000000000001"/>
    <n v="166.3"/>
    <n v="171.2"/>
    <n v="172.3"/>
    <n v="166.8"/>
    <n v="175.3"/>
    <x v="22"/>
    <n v="170.56666666666669"/>
    <n v="168.6"/>
    <n v="9.8628900613401224E-2"/>
    <n v="9.9779376124708219E-2"/>
    <n v="0.10539804224167229"/>
    <n v="9.7575923026781294E-2"/>
    <n v="0.10079335454145334"/>
    <n v="0.10014986823851892"/>
    <n v="9.7283429252720197E-2"/>
    <n v="9.2896022641803772E-2"/>
    <n v="0.10219732465694659"/>
    <n v="0.1052977586619942"/>
    <n v="10"/>
    <x v="11"/>
    <n v="171.44285714285715"/>
  </r>
  <r>
    <x v="1"/>
    <x v="1"/>
    <s v="September"/>
    <n v="164.9"/>
    <n v="213.7"/>
    <n v="170.9"/>
    <n v="170.1"/>
    <n v="179.3"/>
    <n v="167.5"/>
    <n v="220.8"/>
    <n v="169.2"/>
    <n v="123.1"/>
    <n v="193.6"/>
    <n v="161.1"/>
    <n v="190.4"/>
    <n v="181.8"/>
    <n v="199.7"/>
    <n v="175"/>
    <n v="161.69999999999999"/>
    <n v="173"/>
    <n v="169.5"/>
    <n v="179.2"/>
    <n v="165"/>
    <n v="173.8"/>
    <n v="158.19999999999999"/>
    <n v="165.8"/>
    <n v="170.9"/>
    <n v="171.1"/>
    <n v="166.1"/>
    <n v="174.1"/>
    <x v="7"/>
    <n v="169.9"/>
    <n v="167.25"/>
    <n v="9.8309653365578384E-2"/>
    <n v="9.9867325003358862E-2"/>
    <n v="0.10522050920327823"/>
    <n v="9.7633682654843471E-2"/>
    <n v="0.10057268574499528"/>
    <n v="0.10045512562138922"/>
    <n v="9.7457342469434369E-2"/>
    <n v="9.2990057772403587E-2"/>
    <n v="0.10215974741367728"/>
    <n v="0.10533387075104124"/>
    <n v="9"/>
    <x v="9"/>
    <n v="170.6142857142857"/>
  </r>
  <r>
    <x v="2"/>
    <x v="0"/>
    <s v="January"/>
    <n v="173.8"/>
    <n v="210.7"/>
    <n v="194.5"/>
    <n v="174.6"/>
    <n v="187.2"/>
    <n v="158.30000000000001"/>
    <n v="153.9"/>
    <n v="170.9"/>
    <n v="121.1"/>
    <n v="208.4"/>
    <n v="171.4"/>
    <n v="191.2"/>
    <n v="176.7"/>
    <n v="198.2"/>
    <n v="184.9"/>
    <n v="177.6"/>
    <n v="183.8"/>
    <n v="172.1"/>
    <n v="182"/>
    <n v="172.9"/>
    <n v="182.3"/>
    <n v="163.6"/>
    <n v="169.5"/>
    <n v="174.3"/>
    <n v="178.6"/>
    <n v="172.8"/>
    <n v="176.5"/>
    <x v="23"/>
    <n v="182.1"/>
    <n v="172.5"/>
    <n v="9.8255806857156805E-2"/>
    <n v="0.10372395610833771"/>
    <n v="0.10134384650123886"/>
    <n v="9.8426686521256218E-2"/>
    <n v="0.101730360027178"/>
    <n v="9.9281084841753228E-2"/>
    <n v="9.6547010216162771E-2"/>
    <n v="9.3186376822207845E-2"/>
    <n v="0.10383787588440398"/>
    <n v="0.10366699622030456"/>
    <n v="1"/>
    <x v="8"/>
    <n v="178.22857142857146"/>
  </r>
  <r>
    <x v="0"/>
    <x v="1"/>
    <s v="September"/>
    <n v="162.9"/>
    <n v="206.7"/>
    <n v="169"/>
    <n v="169.5"/>
    <n v="189.67500000000001"/>
    <n v="164.1"/>
    <n v="176.9"/>
    <n v="169"/>
    <n v="120.8"/>
    <n v="199.1"/>
    <n v="175.4"/>
    <n v="184.8"/>
    <n v="175.5"/>
    <n v="194.5"/>
    <n v="184.7"/>
    <n v="183.3"/>
    <n v="184.5"/>
    <n v="140.85"/>
    <n v="179.7"/>
    <n v="173.6"/>
    <n v="180.2"/>
    <n v="166.9"/>
    <n v="170"/>
    <n v="176.2"/>
    <n v="170.8"/>
    <n v="173.1"/>
    <n v="176.4"/>
    <x v="24"/>
    <n v="184.16666666666666"/>
    <n v="157.22499999999999"/>
    <n v="9.066295600407219E-2"/>
    <n v="0.10619872410505091"/>
    <n v="0.1014194382794571"/>
    <n v="9.9817189914484947E-2"/>
    <n v="9.8490907206204695E-2"/>
    <n v="0.10160478834738444"/>
    <n v="9.8029591481585451E-2"/>
    <n v="9.6241993048685956E-2"/>
    <n v="0.10391136697048058"/>
    <n v="0.10362304464259356"/>
    <n v="9"/>
    <x v="9"/>
    <n v="174.69285714285715"/>
  </r>
  <r>
    <x v="0"/>
    <x v="1"/>
    <s v="August"/>
    <n v="159.5"/>
    <n v="204.1"/>
    <n v="168.3"/>
    <n v="167.9"/>
    <n v="189.67500000000001"/>
    <n v="169.2"/>
    <n v="173.1"/>
    <n v="167.1"/>
    <n v="120.2"/>
    <n v="195.6"/>
    <n v="174.8"/>
    <n v="184"/>
    <n v="173.9"/>
    <n v="193.7"/>
    <n v="183.2"/>
    <n v="181.7"/>
    <n v="183"/>
    <n v="140.85"/>
    <n v="179.1"/>
    <n v="172.3"/>
    <n v="179.4"/>
    <n v="166.6"/>
    <n v="169.3"/>
    <n v="175.7"/>
    <n v="171.1"/>
    <n v="172.6"/>
    <n v="175.3"/>
    <x v="25"/>
    <n v="182.63333333333333"/>
    <n v="156.57499999999999"/>
    <n v="9.0611968195593931E-2"/>
    <n v="0.10569226116209679"/>
    <n v="0.10125408457613071"/>
    <n v="9.9885841996228728E-2"/>
    <n v="9.901777268571689E-2"/>
    <n v="0.10167985190461985"/>
    <n v="9.7976089513102688E-2"/>
    <n v="9.6413564754181377E-2"/>
    <n v="0.10382108953721572"/>
    <n v="0.10364747567511334"/>
    <n v="8"/>
    <x v="7"/>
    <n v="173.69285714285715"/>
  </r>
  <r>
    <x v="1"/>
    <x v="1"/>
    <s v="August"/>
    <n v="162.1"/>
    <n v="210.9"/>
    <n v="170.6"/>
    <n v="168.4"/>
    <n v="182.5"/>
    <n v="177.1"/>
    <n v="213.1"/>
    <n v="167.3"/>
    <n v="122.2"/>
    <n v="189.7"/>
    <n v="160.5"/>
    <n v="188.9"/>
    <n v="180.4"/>
    <n v="198.7"/>
    <n v="173.7"/>
    <n v="160"/>
    <n v="171.6"/>
    <n v="169"/>
    <n v="178.4"/>
    <n v="164.2"/>
    <n v="172.6"/>
    <n v="157.69999999999999"/>
    <n v="165.1"/>
    <n v="169.9"/>
    <n v="171.4"/>
    <n v="165.4"/>
    <n v="173.1"/>
    <x v="26"/>
    <n v="168.43333333333331"/>
    <n v="166.6"/>
    <n v="9.837254813748425E-2"/>
    <n v="9.9455079179413333E-2"/>
    <n v="0.10512079359366563"/>
    <n v="9.7663982364585206E-2"/>
    <n v="0.10120681122908044"/>
    <n v="0.10032110401295663"/>
    <n v="9.7486840921360438E-2"/>
    <n v="9.3117351988482991E-2"/>
    <n v="0.10191537700197949"/>
    <n v="0.10534011157099155"/>
    <n v="8"/>
    <x v="7"/>
    <n v="169.54285714285714"/>
  </r>
  <r>
    <x v="2"/>
    <x v="0"/>
    <s v="February"/>
    <n v="174.4"/>
    <n v="207.7"/>
    <n v="175.2"/>
    <n v="177.3"/>
    <n v="179.3"/>
    <n v="169.5"/>
    <n v="152.69999999999999"/>
    <n v="171"/>
    <n v="120"/>
    <n v="209.7"/>
    <n v="172.3"/>
    <n v="193"/>
    <n v="177"/>
    <n v="199.5"/>
    <n v="186.2"/>
    <n v="178.7"/>
    <n v="185.1"/>
    <n v="173.5"/>
    <n v="182.1"/>
    <n v="174.2"/>
    <n v="184.4"/>
    <n v="164.2"/>
    <n v="170.3"/>
    <n v="175"/>
    <n v="181"/>
    <n v="174.1"/>
    <n v="177.2"/>
    <x v="27"/>
    <n v="183.33333333333334"/>
    <n v="173.85"/>
    <n v="9.8480383363657331E-2"/>
    <n v="0.1038523839517046"/>
    <n v="0.10028903332312793"/>
    <n v="9.8622000250864192E-2"/>
    <n v="0.10253062633777381"/>
    <n v="9.9131821044808929E-2"/>
    <n v="9.6469423565319776E-2"/>
    <n v="9.3013971517472149E-2"/>
    <n v="0.10445661600378724"/>
    <n v="0.10315374064148403"/>
    <n v="2"/>
    <x v="6"/>
    <n v="179.25714285714284"/>
  </r>
  <r>
    <x v="2"/>
    <x v="0"/>
    <s v="March"/>
    <n v="174.4"/>
    <n v="207.7"/>
    <n v="175.2"/>
    <n v="177.3"/>
    <n v="179.2"/>
    <n v="169.5"/>
    <n v="152.80000000000001"/>
    <n v="171.1"/>
    <n v="120"/>
    <n v="209.7"/>
    <n v="172.3"/>
    <n v="193"/>
    <n v="177"/>
    <n v="199.5"/>
    <n v="186.1"/>
    <n v="178.7"/>
    <n v="185.1"/>
    <n v="173.5"/>
    <n v="181.9"/>
    <n v="174.2"/>
    <n v="184.4"/>
    <n v="164.2"/>
    <n v="170.3"/>
    <n v="175"/>
    <n v="181"/>
    <n v="174.1"/>
    <n v="177.2"/>
    <x v="28"/>
    <n v="183.29999999999998"/>
    <n v="173.85"/>
    <n v="9.8493003229278786E-2"/>
    <n v="0.10384680754631465"/>
    <n v="0.10030593167525917"/>
    <n v="9.8634638264121E-2"/>
    <n v="0.10254376522576623"/>
    <n v="9.9144524389552999E-2"/>
    <n v="9.6481785734519293E-2"/>
    <n v="9.3025890884369147E-2"/>
    <n v="0.10447000169962041"/>
    <n v="0.10305365135119823"/>
    <n v="3"/>
    <x v="4"/>
    <n v="179.21428571428572"/>
  </r>
  <r>
    <x v="0"/>
    <x v="1"/>
    <s v="July"/>
    <n v="155.19999999999999"/>
    <n v="210.8"/>
    <n v="174.3"/>
    <n v="166.3"/>
    <n v="189.67500000000001"/>
    <n v="169.6"/>
    <n v="168.6"/>
    <n v="164.4"/>
    <n v="119.2"/>
    <n v="191.8"/>
    <n v="174.5"/>
    <n v="183.1"/>
    <n v="172.5"/>
    <n v="193.2"/>
    <n v="182"/>
    <n v="180.3"/>
    <n v="181.7"/>
    <n v="140.85"/>
    <n v="179.6"/>
    <n v="171.3"/>
    <n v="178.8"/>
    <n v="166.3"/>
    <n v="168.6"/>
    <n v="174.7"/>
    <n v="169.7"/>
    <n v="171.8"/>
    <n v="174.3"/>
    <x v="29"/>
    <n v="181.33333333333334"/>
    <n v="156.07499999999999"/>
    <n v="9.0656884337324412E-2"/>
    <n v="0.10532830386994391"/>
    <n v="0.10147115261609314"/>
    <n v="9.9790823188546124E-2"/>
    <n v="9.8571028492993457E-2"/>
    <n v="0.10147530157764265"/>
    <n v="9.7932088414370635E-2"/>
    <n v="9.6596122795432018E-2"/>
    <n v="0.10385680550705499"/>
    <n v="0.10432148920059885"/>
    <n v="7"/>
    <x v="5"/>
    <n v="172.92142857142858"/>
  </r>
  <r>
    <x v="1"/>
    <x v="1"/>
    <s v="July"/>
    <n v="159.30000000000001"/>
    <n v="217.1"/>
    <n v="176.6"/>
    <n v="167.1"/>
    <n v="184.8"/>
    <n v="179.5"/>
    <n v="208.5"/>
    <n v="164"/>
    <n v="121.5"/>
    <n v="186.3"/>
    <n v="159.80000000000001"/>
    <n v="187.7"/>
    <n v="179.4"/>
    <n v="198.6"/>
    <n v="172.7"/>
    <n v="158.69999999999999"/>
    <n v="170.6"/>
    <n v="167.8"/>
    <n v="179.5"/>
    <n v="163.1"/>
    <n v="171.7"/>
    <n v="157.4"/>
    <n v="164.6"/>
    <n v="169.1"/>
    <n v="169.8"/>
    <n v="164.7"/>
    <n v="172.3"/>
    <x v="30"/>
    <n v="167.33333333333334"/>
    <n v="165.45"/>
    <n v="9.8047072866856377E-2"/>
    <n v="9.9163152169158678E-2"/>
    <n v="0.10540811676080204"/>
    <n v="9.7602616507532464E-2"/>
    <n v="0.10062491975093511"/>
    <n v="0.10021009381556611"/>
    <n v="9.7543355659622605E-2"/>
    <n v="9.3276574610113003E-2"/>
    <n v="0.10175087586122236"/>
    <n v="0.10637322199819112"/>
    <n v="7"/>
    <x v="5"/>
    <n v="168.78571428571428"/>
  </r>
  <r>
    <x v="1"/>
    <x v="1"/>
    <s v="June"/>
    <n v="157.5"/>
    <n v="223.4"/>
    <n v="172.8"/>
    <n v="166.4"/>
    <n v="188.6"/>
    <n v="174.1"/>
    <n v="211.5"/>
    <n v="163.6"/>
    <n v="121.4"/>
    <n v="183.5"/>
    <n v="159.1"/>
    <n v="186.3"/>
    <n v="179.3"/>
    <n v="198.3"/>
    <n v="171.6"/>
    <n v="157.4"/>
    <n v="169.4"/>
    <n v="166.8"/>
    <n v="174.9"/>
    <n v="162.1"/>
    <n v="170.9"/>
    <n v="157.19999999999999"/>
    <n v="164.1"/>
    <n v="166.5"/>
    <n v="169.2"/>
    <n v="163.80000000000001"/>
    <n v="171.4"/>
    <x v="31"/>
    <n v="166.13333333333333"/>
    <n v="164.45"/>
    <n v="9.8194318664867747E-2"/>
    <n v="9.9199449523806799E-2"/>
    <n v="0.10602069119451343"/>
    <n v="9.7806198828247731E-2"/>
    <n v="0.10103057900939874"/>
    <n v="9.9418388918823236E-2"/>
    <n v="9.7985331060533892E-2"/>
    <n v="9.3865289717952022E-2"/>
    <n v="0.10204566165902038"/>
    <n v="0.10443409142283594"/>
    <n v="6"/>
    <x v="2"/>
    <n v="166.95714285714283"/>
  </r>
  <r>
    <x v="2"/>
    <x v="0"/>
    <s v="April"/>
    <n v="173.8"/>
    <n v="209.3"/>
    <n v="169.6"/>
    <n v="178.4"/>
    <n v="174.9"/>
    <n v="176.3"/>
    <n v="155.4"/>
    <n v="173.4"/>
    <n v="121.3"/>
    <n v="212.9"/>
    <n v="172.9"/>
    <n v="193.5"/>
    <n v="177.9"/>
    <n v="200.6"/>
    <n v="186.9"/>
    <n v="179.2"/>
    <n v="185.7"/>
    <n v="175.2"/>
    <n v="181.7"/>
    <n v="174.6"/>
    <n v="185"/>
    <n v="164.5"/>
    <n v="170.7"/>
    <n v="176.4"/>
    <n v="184"/>
    <n v="175"/>
    <n v="178.1"/>
    <x v="32"/>
    <n v="183.93333333333331"/>
    <n v="174.89999999999998"/>
    <n v="9.8590490711089496E-2"/>
    <n v="0.10368254769273715"/>
    <n v="0.10026547413573271"/>
    <n v="9.8646860345572698E-2"/>
    <n v="0.10372012744905929"/>
    <n v="9.9436035228337272E-2"/>
    <n v="9.6222966062795762E-2"/>
    <n v="9.2728048724838336E-2"/>
    <n v="0.10428382379389113"/>
    <n v="0.10242362585594604"/>
    <n v="4"/>
    <x v="3"/>
    <n v="179.95714285714288"/>
  </r>
  <r>
    <x v="0"/>
    <x v="1"/>
    <s v="June"/>
    <n v="153.80000000000001"/>
    <n v="217.2"/>
    <n v="169.6"/>
    <n v="165.4"/>
    <n v="189.67500000000001"/>
    <n v="165.8"/>
    <n v="167.3"/>
    <n v="164.6"/>
    <n v="119.1"/>
    <n v="188.9"/>
    <n v="174.2"/>
    <n v="181.9"/>
    <n v="172.4"/>
    <n v="192.9"/>
    <n v="180.7"/>
    <n v="178.7"/>
    <n v="180.4"/>
    <n v="140.85"/>
    <n v="176.7"/>
    <n v="170.3"/>
    <n v="178.2"/>
    <n v="165.5"/>
    <n v="168"/>
    <n v="172.6"/>
    <n v="169.5"/>
    <n v="171"/>
    <n v="173.6"/>
    <x v="33"/>
    <n v="179.93333333333331"/>
    <n v="155.57499999999999"/>
    <n v="9.0906181937576117E-2"/>
    <n v="0.10513933688982502"/>
    <n v="0.10188938332270189"/>
    <n v="9.9919377222082703E-2"/>
    <n v="9.9042891456976714E-2"/>
    <n v="0.10085429537152908"/>
    <n v="9.8166405691870726E-2"/>
    <n v="9.670559608336074E-2"/>
    <n v="0.10412650889459144"/>
    <n v="0.10325002312948545"/>
    <n v="6"/>
    <x v="2"/>
    <n v="171.46428571428572"/>
  </r>
  <r>
    <x v="0"/>
    <x v="1"/>
    <s v="May"/>
    <n v="152.9"/>
    <n v="214.7"/>
    <n v="161.4"/>
    <n v="164.6"/>
    <n v="189.67500000000001"/>
    <n v="168"/>
    <n v="160.4"/>
    <n v="165"/>
    <n v="118.9"/>
    <n v="186.6"/>
    <n v="173.2"/>
    <n v="180.4"/>
    <n v="170.8"/>
    <n v="192.9"/>
    <n v="179.3"/>
    <n v="177.2"/>
    <n v="179"/>
    <n v="140.85"/>
    <n v="175.3"/>
    <n v="168.9"/>
    <n v="177.7"/>
    <n v="167.1"/>
    <n v="167.6"/>
    <n v="171.8"/>
    <n v="168.5"/>
    <n v="170.9"/>
    <n v="172.5"/>
    <x v="34"/>
    <n v="178.5"/>
    <n v="154.875"/>
    <n v="9.082987908200349E-2"/>
    <n v="0.10468528436569893"/>
    <n v="0.10136333836721959"/>
    <n v="0.10022809578766358"/>
    <n v="9.8820562552494509E-2"/>
    <n v="0.10075592075085198"/>
    <n v="9.8292737589306109E-2"/>
    <n v="9.7999501498645891E-2"/>
    <n v="0.10421610662064257"/>
    <n v="0.10280857338547353"/>
    <n v="5"/>
    <x v="1"/>
    <n v="170.33571428571426"/>
  </r>
  <r>
    <x v="1"/>
    <x v="1"/>
    <s v="May"/>
    <n v="156.69999999999999"/>
    <n v="221.2"/>
    <n v="164.1"/>
    <n v="165.4"/>
    <n v="189.5"/>
    <n v="174.5"/>
    <n v="203.2"/>
    <n v="164.1"/>
    <n v="121.2"/>
    <n v="181.4"/>
    <n v="158.5"/>
    <n v="184.9"/>
    <n v="177.5"/>
    <n v="197.5"/>
    <n v="170"/>
    <n v="155.9"/>
    <n v="167.8"/>
    <n v="167.5"/>
    <n v="173.5"/>
    <n v="161.1"/>
    <n v="170.1"/>
    <n v="159.4"/>
    <n v="163.19999999999999"/>
    <n v="165.2"/>
    <n v="168.2"/>
    <n v="163.80000000000001"/>
    <n v="170.8"/>
    <x v="35"/>
    <n v="164.56666666666666"/>
    <n v="164.3"/>
    <n v="9.850358935854045E-2"/>
    <n v="9.8663465340457321E-2"/>
    <n v="0.10533400519311448"/>
    <n v="9.820382189244628E-2"/>
    <n v="0.10084177559407487"/>
    <n v="9.9043170797509919E-2"/>
    <n v="9.7844100933133282E-2"/>
    <n v="9.5565868190817693E-2"/>
    <n v="0.10198089196523268"/>
    <n v="0.10401931073467295"/>
    <n v="5"/>
    <x v="1"/>
    <n v="165.85714285714286"/>
  </r>
  <r>
    <x v="2"/>
    <x v="0"/>
    <s v="May"/>
    <n v="173.7"/>
    <n v="214.3"/>
    <n v="173.2"/>
    <n v="179.5"/>
    <n v="170"/>
    <n v="172.2"/>
    <n v="161"/>
    <n v="175.6"/>
    <n v="122.7"/>
    <n v="213.04"/>
    <n v="173.4"/>
    <n v="194.2"/>
    <n v="179.1"/>
    <n v="201"/>
    <n v="187.3"/>
    <n v="179.7"/>
    <n v="186.2"/>
    <n v="175.6"/>
    <n v="182.8"/>
    <n v="175.2"/>
    <n v="185.7"/>
    <n v="164.8"/>
    <n v="171.2"/>
    <n v="177.1"/>
    <n v="185.2"/>
    <n v="175.7"/>
    <n v="179.1"/>
    <x v="36"/>
    <n v="184.4"/>
    <n v="175.39999999999998"/>
    <n v="9.8459909944226348E-2"/>
    <n v="0.10351201478743069"/>
    <n v="0.10055693441485801"/>
    <n v="9.8628313438999832E-2"/>
    <n v="0.10396109077349328"/>
    <n v="9.9414196414609399E-2"/>
    <n v="9.6102261017397675E-2"/>
    <n v="9.2509653128896849E-2"/>
    <n v="0.10424176326478241"/>
    <n v="0.10261386281530548"/>
    <n v="5"/>
    <x v="0"/>
    <n v="180.55714285714285"/>
  </r>
  <r>
    <x v="2"/>
    <x v="1"/>
    <s v="April"/>
    <n v="152.9"/>
    <n v="211.8"/>
    <n v="164.5"/>
    <n v="163.9"/>
    <n v="189.67500000000001"/>
    <n v="172.6"/>
    <n v="166.2"/>
    <n v="164.7"/>
    <n v="119"/>
    <n v="181.3"/>
    <n v="166.2"/>
    <n v="180.9"/>
    <n v="170.8"/>
    <n v="193.9"/>
    <n v="173.9"/>
    <n v="166.5"/>
    <n v="172.8"/>
    <n v="167"/>
    <n v="172.2"/>
    <n v="164"/>
    <n v="174"/>
    <n v="162.6"/>
    <n v="164.4"/>
    <n v="166.9"/>
    <n v="168.8"/>
    <n v="166.8"/>
    <n v="170.1"/>
    <x v="37"/>
    <n v="171.06666666666669"/>
    <n v="165.5"/>
    <n v="9.8261516147911079E-2"/>
    <n v="0.10156658627816309"/>
    <n v="0.10212921156124276"/>
    <n v="9.9033358872939986E-2"/>
    <n v="0.10022080921913831"/>
    <n v="9.9092731390249905E-2"/>
    <n v="9.7608418457501997E-2"/>
    <n v="9.6539713145923509E-2"/>
    <n v="0.10330818011925394"/>
    <n v="0.10223947480767545"/>
    <n v="4"/>
    <x v="13"/>
    <n v="169.04285714285714"/>
  </r>
  <r>
    <x v="0"/>
    <x v="1"/>
    <s v="April"/>
    <n v="151.80000000000001"/>
    <n v="209.7"/>
    <n v="164.5"/>
    <n v="163.80000000000001"/>
    <n v="189.67500000000001"/>
    <n v="169.7"/>
    <n v="153.6"/>
    <n v="165.1"/>
    <n v="118.2"/>
    <n v="182.9"/>
    <n v="172.4"/>
    <n v="178.9"/>
    <n v="168.6"/>
    <n v="192.8"/>
    <n v="177.5"/>
    <n v="175.1"/>
    <n v="177.1"/>
    <n v="140.85"/>
    <n v="173.3"/>
    <n v="167.7"/>
    <n v="177"/>
    <n v="166.2"/>
    <n v="167.2"/>
    <n v="170.9"/>
    <n v="169"/>
    <n v="170.2"/>
    <n v="170.8"/>
    <x v="38"/>
    <n v="176.56666666666669"/>
    <n v="154.27499999999998"/>
    <n v="9.0962564480161254E-2"/>
    <n v="0.1041060236701592"/>
    <n v="0.10105126615908465"/>
    <n v="0.10035215345664202"/>
    <n v="9.9644617709591668E-2"/>
    <n v="0.10076488264242139"/>
    <n v="9.8583314089016133E-2"/>
    <n v="9.7993700966474168E-2"/>
    <n v="0.10436152268992736"/>
    <n v="0.10217995413652212"/>
    <n v="4"/>
    <x v="13"/>
    <n v="168.92142857142858"/>
  </r>
  <r>
    <x v="1"/>
    <x v="1"/>
    <s v="April"/>
    <n v="155.4"/>
    <n v="215.8"/>
    <n v="164.6"/>
    <n v="164.2"/>
    <n v="186"/>
    <n v="175.9"/>
    <n v="190.7"/>
    <n v="164"/>
    <n v="120.5"/>
    <n v="178"/>
    <n v="157.5"/>
    <n v="183.3"/>
    <n v="174.5"/>
    <n v="197.1"/>
    <n v="168.4"/>
    <n v="154.5"/>
    <n v="166.3"/>
    <n v="167"/>
    <n v="170.5"/>
    <n v="159.80000000000001"/>
    <n v="169"/>
    <n v="159.30000000000001"/>
    <n v="162.19999999999999"/>
    <n v="164"/>
    <n v="168.4"/>
    <n v="163.1"/>
    <n v="169.2"/>
    <x v="39"/>
    <n v="163.06666666666666"/>
    <n v="163.4"/>
    <n v="9.865008028220236E-2"/>
    <n v="9.8448835728383102E-2"/>
    <n v="0.1046831045134841"/>
    <n v="9.8468960183765025E-2"/>
    <n v="0.10166874858949131"/>
    <n v="9.9012320479077029E-2"/>
    <n v="9.7925599888453008E-2"/>
    <n v="9.6174772270225445E-2"/>
    <n v="0.10203098878636598"/>
    <n v="0.10293658927855265"/>
    <n v="4"/>
    <x v="13"/>
    <n v="164.35714285714286"/>
  </r>
  <r>
    <x v="1"/>
    <x v="1"/>
    <s v="March"/>
    <n v="153.69999999999999"/>
    <n v="215.8"/>
    <n v="167.7"/>
    <n v="162.6"/>
    <n v="180"/>
    <n v="159.6"/>
    <n v="188.4"/>
    <n v="163.4"/>
    <n v="120.3"/>
    <n v="174.7"/>
    <n v="157.1"/>
    <n v="181.5"/>
    <n v="171.5"/>
    <n v="197.5"/>
    <n v="167.1"/>
    <n v="152.6"/>
    <n v="164.9"/>
    <n v="165.3"/>
    <n v="164.5"/>
    <n v="158.6"/>
    <n v="168.2"/>
    <n v="154.19999999999999"/>
    <n v="160.80000000000001"/>
    <n v="162.69999999999999"/>
    <n v="166.8"/>
    <n v="160.6"/>
    <n v="166.5"/>
    <x v="40"/>
    <n v="161.53333333333333"/>
    <n v="161.94999999999999"/>
    <n v="9.9217711832637279E-2"/>
    <n v="9.8962443458055022E-2"/>
    <n v="0.10475338887000712"/>
    <n v="9.8390642298990721E-2"/>
    <n v="0.10218903571277493"/>
    <n v="9.9677194906885369E-2"/>
    <n v="9.8513171118790224E-2"/>
    <n v="9.4469720065407034E-2"/>
    <n v="0.10304673745137136"/>
    <n v="0.1007799542850808"/>
    <n v="3"/>
    <x v="14"/>
    <n v="162.2428571428571"/>
  </r>
  <r>
    <x v="2"/>
    <x v="1"/>
    <s v="March"/>
    <n v="151.30000000000001"/>
    <n v="210.7"/>
    <n v="167.8"/>
    <n v="162.19999999999999"/>
    <n v="189.67500000000001"/>
    <n v="157.6"/>
    <n v="166.9"/>
    <n v="163.9"/>
    <n v="118.8"/>
    <n v="177.4"/>
    <n v="165.3"/>
    <n v="179.3"/>
    <n v="168.4"/>
    <n v="193.7"/>
    <n v="172.1"/>
    <n v="164.6"/>
    <n v="171.1"/>
    <n v="165.3"/>
    <n v="167.2"/>
    <n v="162.80000000000001"/>
    <n v="173"/>
    <n v="157.9"/>
    <n v="163.30000000000001"/>
    <n v="166"/>
    <n v="167.2"/>
    <n v="164.6"/>
    <n v="167.7"/>
    <x v="41"/>
    <n v="169.26666666666665"/>
    <n v="164.05"/>
    <n v="9.8684606284213272E-2"/>
    <n v="0.10182270257263738"/>
    <n v="0.10217360790840367"/>
    <n v="9.9015459886507173E-2"/>
    <n v="0.10057949509735115"/>
    <n v="9.9857632692346252E-2"/>
    <n v="9.8233442281085201E-2"/>
    <n v="9.4985061458563086E-2"/>
    <n v="0.10406849672154157"/>
    <n v="0.10057949509735115"/>
    <n v="3"/>
    <x v="14"/>
    <n v="167.01428571428571"/>
  </r>
  <r>
    <x v="0"/>
    <x v="1"/>
    <s v="March"/>
    <n v="150.19999999999999"/>
    <n v="208"/>
    <n v="167.9"/>
    <n v="162"/>
    <n v="189.67500000000001"/>
    <n v="155.9"/>
    <n v="155.80000000000001"/>
    <n v="164.2"/>
    <n v="118.1"/>
    <n v="178.7"/>
    <n v="171.2"/>
    <n v="177.4"/>
    <n v="166.6"/>
    <n v="192.3"/>
    <n v="175.4"/>
    <n v="173.2"/>
    <n v="175.1"/>
    <n v="140.85"/>
    <n v="168.9"/>
    <n v="166.5"/>
    <n v="176"/>
    <n v="162"/>
    <n v="166.6"/>
    <n v="170.6"/>
    <n v="167.4"/>
    <n v="168.3"/>
    <n v="168.7"/>
    <x v="42"/>
    <n v="174.56666666666669"/>
    <n v="153.67500000000001"/>
    <n v="9.1613503955532818E-2"/>
    <n v="0.10406809179873659"/>
    <n v="0.10097946188856378"/>
    <n v="0.1003322122382702"/>
    <n v="9.9795676343947898E-2"/>
    <n v="0.10170335952376051"/>
    <n v="9.9318755548994733E-2"/>
    <n v="9.6576460978014089E-2"/>
    <n v="0.10492257488969431"/>
    <n v="0.10068990283448506"/>
    <n v="3"/>
    <x v="14"/>
    <n v="167.22142857142859"/>
  </r>
  <r>
    <x v="0"/>
    <x v="1"/>
    <s v="February"/>
    <n v="148.80000000000001"/>
    <n v="198.1"/>
    <n v="175.5"/>
    <n v="160.69999999999999"/>
    <n v="189.67500000000001"/>
    <n v="151.4"/>
    <n v="155.19999999999999"/>
    <n v="163.9"/>
    <n v="118.1"/>
    <n v="175.4"/>
    <n v="170.5"/>
    <n v="176.3"/>
    <n v="163.9"/>
    <n v="191.5"/>
    <n v="174.1"/>
    <n v="171"/>
    <n v="173.7"/>
    <n v="140.85"/>
    <n v="167.4"/>
    <n v="165.7"/>
    <n v="175.3"/>
    <n v="161.19999999999999"/>
    <n v="165.5"/>
    <n v="170.3"/>
    <n v="164.5"/>
    <n v="167.3"/>
    <n v="166.7"/>
    <x v="43"/>
    <n v="172.93333333333331"/>
    <n v="153.27499999999998"/>
    <n v="9.2057781092229368E-2"/>
    <n v="0.10386468076039493"/>
    <n v="0.10046840065237179"/>
    <n v="0.10048127076646535"/>
    <n v="9.879957585823998E-2"/>
    <n v="0.10228308673956396"/>
    <n v="9.9400181182606184E-2"/>
    <n v="9.6817578287831524E-2"/>
    <n v="0.10528611336139496"/>
    <n v="0.10054133129890197"/>
    <n v="2"/>
    <x v="15"/>
    <n v="166.15"/>
  </r>
  <r>
    <x v="1"/>
    <x v="1"/>
    <s v="February"/>
    <n v="152.5"/>
    <n v="205.2"/>
    <n v="176.4"/>
    <n v="160.6"/>
    <n v="171.5"/>
    <n v="156.4"/>
    <n v="198"/>
    <n v="163.19999999999999"/>
    <n v="120.6"/>
    <n v="172.2"/>
    <n v="156.69999999999999"/>
    <n v="180"/>
    <n v="170.2"/>
    <n v="196.5"/>
    <n v="165.7"/>
    <n v="150.4"/>
    <n v="163.4"/>
    <n v="165.5"/>
    <n v="163"/>
    <n v="157.4"/>
    <n v="167.2"/>
    <n v="153.1"/>
    <n v="159.5"/>
    <n v="162"/>
    <n v="164.2"/>
    <n v="159.4"/>
    <n v="165.5"/>
    <x v="44"/>
    <n v="159.83333333333334"/>
    <n v="161.44999999999999"/>
    <n v="9.9679978596639268E-2"/>
    <n v="9.868184110062668E-2"/>
    <n v="0.1049587882404997"/>
    <n v="9.8414299091386187E-2"/>
    <n v="0.10137784134758852"/>
    <n v="0.10001955114682912"/>
    <n v="9.8476039555057071E-2"/>
    <n v="9.4524649880120604E-2"/>
    <n v="0.10323005525771499"/>
    <n v="0.10063695578353794"/>
    <n v="2"/>
    <x v="15"/>
    <n v="161.05714285714285"/>
  </r>
  <r>
    <x v="2"/>
    <x v="1"/>
    <s v="February"/>
    <n v="150"/>
    <n v="200.6"/>
    <n v="175.8"/>
    <n v="160.69999999999999"/>
    <n v="184.9"/>
    <n v="153.69999999999999"/>
    <n v="169.7"/>
    <n v="163.69999999999999"/>
    <n v="118.9"/>
    <n v="174.3"/>
    <n v="164.7"/>
    <n v="178"/>
    <n v="166.2"/>
    <n v="192.8"/>
    <n v="170.8"/>
    <n v="162.4"/>
    <n v="169.6"/>
    <n v="165.5"/>
    <n v="165.7"/>
    <n v="161.80000000000001"/>
    <n v="172.2"/>
    <n v="156.9"/>
    <n v="162.1"/>
    <n v="165.4"/>
    <n v="164.4"/>
    <n v="163.5"/>
    <n v="166.1"/>
    <x v="45"/>
    <n v="167.60000000000002"/>
    <n v="163.65"/>
    <n v="9.9206297657863637E-2"/>
    <n v="0.10160082790991717"/>
    <n v="0.10192991344184497"/>
    <n v="9.9115366129304633E-2"/>
    <n v="9.9660955300658605E-2"/>
    <n v="0.10026716549105191"/>
    <n v="9.8266671862754007E-2"/>
    <n v="9.5114378872708849E-2"/>
    <n v="0.10438939478572634"/>
    <n v="0.10044902854816988"/>
    <n v="2"/>
    <x v="15"/>
    <n v="165.8857142857143"/>
  </r>
  <r>
    <x v="2"/>
    <x v="1"/>
    <s v="January"/>
    <n v="149.5"/>
    <n v="198.7"/>
    <n v="178.8"/>
    <n v="160.5"/>
    <n v="184.7"/>
    <n v="153.69999999999999"/>
    <n v="174.3"/>
    <n v="163.9"/>
    <n v="120"/>
    <n v="172.1"/>
    <n v="164.3"/>
    <n v="177.3"/>
    <n v="166.4"/>
    <n v="192.2"/>
    <n v="169.9"/>
    <n v="160.69999999999999"/>
    <n v="168.5"/>
    <n v="164.5"/>
    <n v="164.2"/>
    <n v="161.1"/>
    <n v="171.4"/>
    <n v="156.5"/>
    <n v="161.19999999999999"/>
    <n v="164.7"/>
    <n v="163"/>
    <n v="162.69999999999999"/>
    <n v="165.7"/>
    <x v="46"/>
    <n v="166.36666666666667"/>
    <n v="162.80000000000001"/>
    <n v="9.9196861725586685E-2"/>
    <n v="0.10137009354471808"/>
    <n v="0.10255681158747473"/>
    <n v="9.9135929992339999E-2"/>
    <n v="9.9318725192080029E-2"/>
    <n v="0.10035456465727349"/>
    <n v="9.8221953993639879E-2"/>
    <n v="9.5358162531046162E-2"/>
    <n v="0.10443699078480072"/>
    <n v="0.10004990599104012"/>
    <n v="1"/>
    <x v="16"/>
    <n v="164.8"/>
  </r>
  <r>
    <x v="0"/>
    <x v="1"/>
    <s v="January"/>
    <n v="148.30000000000001"/>
    <n v="196.9"/>
    <n v="178"/>
    <n v="160.5"/>
    <n v="189.67500000000001"/>
    <n v="151.19999999999999"/>
    <n v="159.19999999999999"/>
    <n v="164"/>
    <n v="119.3"/>
    <n v="173.3"/>
    <n v="169.8"/>
    <n v="175.8"/>
    <n v="164.1"/>
    <n v="190.7"/>
    <n v="173.2"/>
    <n v="169.3"/>
    <n v="172.7"/>
    <n v="140.85"/>
    <n v="165.8"/>
    <n v="164.9"/>
    <n v="174.7"/>
    <n v="160.80000000000001"/>
    <n v="164.9"/>
    <n v="169.9"/>
    <n v="163.19999999999999"/>
    <n v="166.6"/>
    <n v="166.4"/>
    <x v="47"/>
    <n v="171.73333333333335"/>
    <n v="152.875"/>
    <n v="9.2209163974554975E-2"/>
    <n v="0.10358388940788384"/>
    <n v="0.10097447382649899"/>
    <n v="0.10048763184406122"/>
    <n v="9.8436863847243636E-2"/>
    <n v="0.10247808313509005"/>
    <n v="9.9462247845652427E-2"/>
    <n v="9.6989262908313598E-2"/>
    <n v="0.10537328501295014"/>
    <n v="0.1000050981977512"/>
    <n v="1"/>
    <x v="16"/>
    <n v="165.23571428571429"/>
  </r>
  <r>
    <x v="1"/>
    <x v="1"/>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x v="48"/>
    <n v="158.46666666666667"/>
    <n v="160.65"/>
    <n v="9.9749270430172718E-2"/>
    <n v="9.8393615857462619E-2"/>
    <n v="0.10569227084706975"/>
    <n v="9.847640392297162E-2"/>
    <n v="0.10108422798650556"/>
    <n v="9.9966589102133865E-2"/>
    <n v="9.8352221824708111E-2"/>
    <n v="9.4813032024197774E-2"/>
    <n v="0.10313323260785363"/>
    <n v="0.10033913539692442"/>
    <n v="1"/>
    <x v="16"/>
    <n v="159.9"/>
  </r>
  <r>
    <x v="1"/>
    <x v="2"/>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x v="49"/>
    <n v="156.9"/>
    <n v="159.69999999999999"/>
    <n v="9.9486061361158687E-2"/>
    <n v="9.7741784768727621E-2"/>
    <n v="0.10693038467528425"/>
    <n v="9.8302445102009042E-2"/>
    <n v="0.10116804236100296"/>
    <n v="0.10004672169444012"/>
    <n v="9.8177853916835381E-2"/>
    <n v="9.4564709546799575E-2"/>
    <n v="0.10285002336084721"/>
    <n v="0.10073197321289518"/>
    <n v="12"/>
    <x v="17"/>
    <n v="158.91428571428574"/>
  </r>
  <r>
    <x v="2"/>
    <x v="2"/>
    <s v="December"/>
    <n v="148.69999999999999"/>
    <n v="198.8"/>
    <n v="177.9"/>
    <n v="159.9"/>
    <n v="187.6"/>
    <n v="154.9"/>
    <n v="188.3"/>
    <n v="164.4"/>
    <n v="121"/>
    <n v="170.5"/>
    <n v="164.2"/>
    <n v="176.5"/>
    <n v="168.2"/>
    <n v="192.4"/>
    <n v="168.5"/>
    <n v="158.69999999999999"/>
    <n v="167"/>
    <n v="163.4"/>
    <n v="164.1"/>
    <n v="160.19999999999999"/>
    <n v="170.6"/>
    <n v="155.69999999999999"/>
    <n v="160.6"/>
    <n v="164.4"/>
    <n v="162.6"/>
    <n v="162"/>
    <n v="166.2"/>
    <x v="50"/>
    <n v="164.73333333333332"/>
    <n v="161.80000000000001"/>
    <n v="9.88964451358742E-2"/>
    <n v="0.10068937615605485"/>
    <n v="0.10361598677422314"/>
    <n v="9.9018690432704698E-2"/>
    <n v="9.9385426323196191E-2"/>
    <n v="0.1004856339946707"/>
    <n v="9.81629733548912E-2"/>
    <n v="9.5167963582543952E-2"/>
    <n v="0.10427523819641618"/>
    <n v="0.10030226604942494"/>
    <n v="12"/>
    <x v="17"/>
    <n v="163.75714285714284"/>
  </r>
  <r>
    <x v="0"/>
    <x v="2"/>
    <s v="December"/>
    <n v="147.4"/>
    <n v="197"/>
    <n v="176.5"/>
    <n v="159.80000000000001"/>
    <n v="189.67500000000001"/>
    <n v="152"/>
    <n v="172.3"/>
    <n v="164.5"/>
    <n v="120.6"/>
    <n v="171.7"/>
    <n v="169.7"/>
    <n v="175.1"/>
    <n v="165.8"/>
    <n v="190.8"/>
    <n v="171.8"/>
    <n v="167.3"/>
    <n v="171.2"/>
    <n v="140.85"/>
    <n v="165.6"/>
    <n v="163.9"/>
    <n v="174"/>
    <n v="160.1"/>
    <n v="164.5"/>
    <n v="169.7"/>
    <n v="162.80000000000001"/>
    <n v="166"/>
    <n v="167"/>
    <x v="51"/>
    <n v="170.1"/>
    <n v="152.375"/>
    <n v="9.2143256685866329E-2"/>
    <n v="0.10286180779173659"/>
    <n v="0.10189426580192601"/>
    <n v="0.10038248144284699"/>
    <n v="9.8447397463225852E-2"/>
    <n v="0.10261992229428393"/>
    <n v="9.947541082739958E-2"/>
    <n v="9.6814670355420504E-2"/>
    <n v="0.10522019139189986"/>
    <n v="0.10014059594539435"/>
    <n v="12"/>
    <x v="17"/>
    <n v="164.33571428571426"/>
  </r>
  <r>
    <x v="0"/>
    <x v="2"/>
    <s v="November"/>
    <n v="146.9"/>
    <n v="199.8"/>
    <n v="171.5"/>
    <n v="159.1"/>
    <n v="189.67500000000001"/>
    <n v="153.19999999999999"/>
    <n v="183.9"/>
    <n v="165.4"/>
    <n v="122.1"/>
    <n v="170.8"/>
    <n v="169.1"/>
    <n v="174.3"/>
    <n v="167.5"/>
    <n v="191.4"/>
    <n v="170.4"/>
    <n v="166"/>
    <n v="169.8"/>
    <n v="140.85"/>
    <n v="165.3"/>
    <n v="162.9"/>
    <n v="173.4"/>
    <n v="158.9"/>
    <n v="163.80000000000001"/>
    <n v="169.3"/>
    <n v="162.4"/>
    <n v="165.2"/>
    <n v="167.6"/>
    <x v="52"/>
    <n v="168.73333333333332"/>
    <n v="151.875"/>
    <n v="9.2132734690222401E-2"/>
    <n v="0.10235959462318919"/>
    <n v="0.10284201411582544"/>
    <n v="0.1002161499313563"/>
    <n v="9.8517571118960451E-2"/>
    <n v="0.10270335462093599"/>
    <n v="9.936686052515839E-2"/>
    <n v="9.6394347603465616E-2"/>
    <n v="0.10519055931051564"/>
    <n v="0.10027681346037046"/>
    <n v="11"/>
    <x v="18"/>
    <n v="163.5071428571429"/>
  </r>
  <r>
    <x v="1"/>
    <x v="2"/>
    <s v="November"/>
    <n v="151"/>
    <n v="204.9"/>
    <n v="175.4"/>
    <n v="159.6"/>
    <n v="175.8"/>
    <n v="160.30000000000001"/>
    <n v="225.46299999999999"/>
    <n v="165.1"/>
    <n v="123.1"/>
    <n v="167.2"/>
    <n v="156.1"/>
    <n v="176.8"/>
    <n v="173.5"/>
    <n v="197"/>
    <n v="162.30000000000001"/>
    <n v="145.30000000000001"/>
    <n v="159.69999999999999"/>
    <n v="164.2"/>
    <n v="161.6"/>
    <n v="155.19999999999999"/>
    <n v="164.2"/>
    <n v="151.19999999999999"/>
    <n v="156.69999999999999"/>
    <n v="160.80000000000001"/>
    <n v="161.80000000000001"/>
    <n v="157.30000000000001"/>
    <n v="165.6"/>
    <x v="53"/>
    <n v="155.76666666666668"/>
    <n v="159.69999999999999"/>
    <n v="9.9715307252603483E-2"/>
    <n v="9.7259367729370938E-2"/>
    <n v="0.10770305728791131"/>
    <n v="9.821676788249549E-2"/>
    <n v="0.101026529201448"/>
    <n v="0.10040213779723633"/>
    <n v="9.7842133039968471E-2"/>
    <n v="9.4407980316804294E-2"/>
    <n v="0.10252506857155599"/>
    <n v="0.10090165092060566"/>
    <n v="11"/>
    <x v="18"/>
    <n v="158.44285714285712"/>
  </r>
  <r>
    <x v="2"/>
    <x v="2"/>
    <s v="November"/>
    <n v="148.19999999999999"/>
    <n v="201.6"/>
    <n v="173"/>
    <n v="159.30000000000001"/>
    <n v="189.67500000000001"/>
    <n v="156.5"/>
    <n v="199.2"/>
    <n v="165.3"/>
    <n v="122.4"/>
    <n v="169.6"/>
    <n v="163.69999999999999"/>
    <n v="175.5"/>
    <n v="169.7"/>
    <n v="192.9"/>
    <n v="167.2"/>
    <n v="157.4"/>
    <n v="165.8"/>
    <n v="164.2"/>
    <n v="163.9"/>
    <n v="159.30000000000001"/>
    <n v="169.9"/>
    <n v="154.80000000000001"/>
    <n v="159.80000000000001"/>
    <n v="164.3"/>
    <n v="162.19999999999999"/>
    <n v="161.4"/>
    <n v="166.7"/>
    <x v="54"/>
    <n v="163.46666666666667"/>
    <n v="161.75"/>
    <n v="9.9110507449883076E-2"/>
    <n v="0.10016237579273088"/>
    <n v="0.10447197230420441"/>
    <n v="9.8896048855710225E-2"/>
    <n v="9.9386239928105302E-2"/>
    <n v="0.10067299149314243"/>
    <n v="9.791566671092003E-2"/>
    <n v="9.4851972508450691E-2"/>
    <n v="0.1041043289999081"/>
    <n v="0.10042789595694489"/>
    <n v="11"/>
    <x v="18"/>
    <n v="163.15714285714284"/>
  </r>
  <r>
    <x v="2"/>
    <x v="2"/>
    <s v="October"/>
    <n v="147.4"/>
    <n v="204.6"/>
    <n v="171.2"/>
    <n v="158.69999999999999"/>
    <n v="189.67500000000001"/>
    <n v="155.69999999999999"/>
    <n v="185.3"/>
    <n v="165.2"/>
    <n v="121.9"/>
    <n v="169.3"/>
    <n v="163.19999999999999"/>
    <n v="174.7"/>
    <n v="167.7"/>
    <n v="192.7"/>
    <n v="165.7"/>
    <n v="156.30000000000001"/>
    <n v="164.3"/>
    <n v="163.6"/>
    <n v="164.2"/>
    <n v="158.4"/>
    <n v="169.1"/>
    <n v="155.69999999999999"/>
    <n v="158.6"/>
    <n v="163.9"/>
    <n v="160.80000000000001"/>
    <n v="161"/>
    <n v="165.5"/>
    <x v="55"/>
    <n v="162.1"/>
    <n v="161"/>
    <n v="9.9042965488755505E-2"/>
    <n v="9.9719656557312214E-2"/>
    <n v="0.10406102523090983"/>
    <n v="9.9042965488755505E-2"/>
    <n v="9.891993074901792E-2"/>
    <n v="0.10082696921495048"/>
    <n v="9.7566548611904488E-2"/>
    <n v="9.5782544885709503E-2"/>
    <n v="0.10402587244812767"/>
    <n v="0.10101152132455685"/>
    <n v="10"/>
    <x v="19"/>
    <n v="162.34285714285716"/>
  </r>
  <r>
    <x v="0"/>
    <x v="2"/>
    <s v="October"/>
    <n v="146.1"/>
    <n v="202.5"/>
    <n v="170.1"/>
    <n v="158.4"/>
    <n v="189.67500000000001"/>
    <n v="152.6"/>
    <n v="170.4"/>
    <n v="165.2"/>
    <n v="121.6"/>
    <n v="170.6"/>
    <n v="168.8"/>
    <n v="173.6"/>
    <n v="165.5"/>
    <n v="191.2"/>
    <n v="168.9"/>
    <n v="164.8"/>
    <n v="168.3"/>
    <n v="140.85"/>
    <n v="165.5"/>
    <n v="162"/>
    <n v="172.5"/>
    <n v="159.5"/>
    <n v="163.19999999999999"/>
    <n v="169"/>
    <n v="161.1"/>
    <n v="164.7"/>
    <n v="166.3"/>
    <x v="56"/>
    <n v="167.33333333333334"/>
    <n v="151.42500000000001"/>
    <n v="9.2191714001801844E-2"/>
    <n v="0.10187714584536796"/>
    <n v="0.10243088901145971"/>
    <n v="0.10027389992469382"/>
    <n v="9.8082120691367181E-2"/>
    <n v="0.10289185845338954"/>
    <n v="9.9360658577474392E-2"/>
    <n v="9.7107996587666459E-2"/>
    <n v="0.10502275493023489"/>
    <n v="0.10076096197654419"/>
    <n v="10"/>
    <x v="19"/>
    <n v="162.76428571428573"/>
  </r>
  <r>
    <x v="1"/>
    <x v="2"/>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x v="57"/>
    <n v="154.50000000000003"/>
    <n v="158.94999999999999"/>
    <n v="9.9645801335297601E-2"/>
    <n v="9.6856095038084206E-2"/>
    <n v="0.10726263987712757"/>
    <n v="9.8423345766855783E-2"/>
    <n v="0.10049211672883428"/>
    <n v="0.10049211672883428"/>
    <n v="9.7232235212989362E-2"/>
    <n v="9.541422436761432E-2"/>
    <n v="0.10249819766166191"/>
    <n v="0.10168322728270067"/>
    <n v="10"/>
    <x v="19"/>
    <n v="157.70000000000002"/>
  </r>
  <r>
    <x v="1"/>
    <x v="2"/>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x v="58"/>
    <n v="153.6"/>
    <n v="157.69999999999999"/>
    <n v="9.9597603666678691E-2"/>
    <n v="9.7008192284095407E-2"/>
    <n v="0.10621097838247501"/>
    <n v="9.8523945288534406E-2"/>
    <n v="0.10079757479519288"/>
    <n v="0.10123966942148761"/>
    <n v="9.7197661409650291E-2"/>
    <n v="9.5050344653361721E-2"/>
    <n v="0.10281857880111156"/>
    <n v="0.10155545129741239"/>
    <n v="9"/>
    <x v="20"/>
    <n v="156.75714285714284"/>
  </r>
  <r>
    <x v="2"/>
    <x v="2"/>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x v="59"/>
    <n v="161.06666666666666"/>
    <n v="159.80000000000001"/>
    <n v="9.900940438871475E-2"/>
    <n v="9.9794209846948187E-2"/>
    <n v="0.10329780564263323"/>
    <n v="9.9133321040014752E-2"/>
    <n v="9.9133321040014752E-2"/>
    <n v="0.1014257790890651"/>
    <n v="9.7708279550064531E-2"/>
    <n v="9.54158215010142E-2"/>
    <n v="0.10433782039461553"/>
    <n v="0.100744237506915"/>
    <n v="9"/>
    <x v="20"/>
    <n v="161.29999999999998"/>
  </r>
  <r>
    <x v="0"/>
    <x v="2"/>
    <s v="September"/>
    <n v="145.4"/>
    <n v="202.1"/>
    <n v="172"/>
    <n v="158"/>
    <n v="189.67500000000001"/>
    <n v="152.69999999999999"/>
    <n v="151.4"/>
    <n v="163.9"/>
    <n v="119.3"/>
    <n v="170.1"/>
    <n v="168.3"/>
    <n v="172.8"/>
    <n v="162.1"/>
    <n v="190.5"/>
    <n v="167.7"/>
    <n v="163.6"/>
    <n v="167.1"/>
    <n v="140.85"/>
    <n v="163.69999999999999"/>
    <n v="161.30000000000001"/>
    <n v="171.9"/>
    <n v="157.80000000000001"/>
    <n v="162.69999999999999"/>
    <n v="168.5"/>
    <n v="160.19999999999999"/>
    <n v="163.80000000000001"/>
    <n v="164"/>
    <x v="60"/>
    <n v="166.13333333333333"/>
    <n v="151.07499999999999"/>
    <n v="9.2580933447628064E-2"/>
    <n v="0.10180889675171896"/>
    <n v="0.10173156541246418"/>
    <n v="0.10037899651644203"/>
    <n v="9.8172864724871856E-2"/>
    <n v="0.10325922413321416"/>
    <n v="9.9704900691240023E-2"/>
    <n v="9.6702110197158436E-2"/>
    <n v="0.10534279304747486"/>
    <n v="0.10031771507778728"/>
    <n v="9"/>
    <x v="20"/>
    <n v="161.82142857142858"/>
  </r>
  <r>
    <x v="0"/>
    <x v="2"/>
    <s v="August"/>
    <n v="144.9"/>
    <n v="202.3"/>
    <n v="176.5"/>
    <n v="157.5"/>
    <n v="189.67500000000001"/>
    <n v="155.69999999999999"/>
    <n v="153.9"/>
    <n v="162.80000000000001"/>
    <n v="115.2"/>
    <n v="169.8"/>
    <n v="167.6"/>
    <n v="171.9"/>
    <n v="161.80000000000001"/>
    <n v="190.2"/>
    <n v="167"/>
    <n v="162.6"/>
    <n v="166.3"/>
    <n v="140.85"/>
    <n v="163.1"/>
    <n v="160.9"/>
    <n v="171.1"/>
    <n v="157.69999999999999"/>
    <n v="161.1"/>
    <n v="167.5"/>
    <n v="160.30000000000001"/>
    <n v="163.30000000000001"/>
    <n v="163.6"/>
    <x v="61"/>
    <n v="165.3"/>
    <n v="150.875"/>
    <n v="9.2785588308291089E-2"/>
    <n v="0.1016567207778659"/>
    <n v="0.10195542689716823"/>
    <n v="0.100426754404268"/>
    <n v="9.8581804843871162E-2"/>
    <n v="0.10300968378882357"/>
    <n v="9.9073791393310309E-2"/>
    <n v="9.698284855819389E-2"/>
    <n v="0.10522362326129978"/>
    <n v="0.1003037577669082"/>
    <n v="8"/>
    <x v="21"/>
    <n v="161.17857142857142"/>
  </r>
  <r>
    <x v="1"/>
    <x v="2"/>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x v="58"/>
    <n v="153.56666666666666"/>
    <n v="157.64999999999998"/>
    <n v="9.9590136195110188E-2"/>
    <n v="9.701062637717997E-2"/>
    <n v="0.10623669822743304"/>
    <n v="9.8547803656436353E-2"/>
    <n v="0.10082198374081565"/>
    <n v="0.10132735709289994"/>
    <n v="9.7094855269194022E-2"/>
    <n v="9.5010190191846339E-2"/>
    <n v="0.10284347714915282"/>
    <n v="0.10151687209993154"/>
    <n v="8"/>
    <x v="21"/>
    <n v="156.72857142857146"/>
  </r>
  <r>
    <x v="2"/>
    <x v="2"/>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x v="59"/>
    <n v="161"/>
    <n v="159.80000000000001"/>
    <n v="9.9013494195592813E-2"/>
    <n v="9.9757024815334439E-2"/>
    <n v="0.10330207259160253"/>
    <n v="9.9137415965549744E-2"/>
    <n v="9.9137415965549744E-2"/>
    <n v="0.10149192959473156"/>
    <n v="9.7650354726066493E-2"/>
    <n v="9.5419762866841631E-2"/>
    <n v="0.10434213030374111"/>
    <n v="0.10074839897498993"/>
    <n v="8"/>
    <x v="21"/>
    <n v="161.28571428571428"/>
  </r>
  <r>
    <x v="2"/>
    <x v="2"/>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x v="62"/>
    <n v="159.1"/>
    <n v="158.65"/>
    <n v="9.8960537864847653E-2"/>
    <n v="9.9241232740606755E-2"/>
    <n v="0.10417789817459222"/>
    <n v="9.9178856101549182E-2"/>
    <n v="9.9864999131182533E-2"/>
    <n v="0.10179867494196745"/>
    <n v="9.6870920456418791E-2"/>
    <n v="9.549863439715206E-2"/>
    <n v="0.10416898722615542"/>
    <n v="0.100239258965528"/>
    <n v="7"/>
    <x v="22"/>
    <n v="159.78571428571428"/>
  </r>
  <r>
    <x v="0"/>
    <x v="2"/>
    <s v="July"/>
    <n v="145.1"/>
    <n v="204.5"/>
    <n v="180.4"/>
    <n v="157.1"/>
    <n v="188.7"/>
    <n v="157.69999999999999"/>
    <n v="152.80000000000001"/>
    <n v="163.6"/>
    <n v="113.9"/>
    <n v="169.7"/>
    <n v="166.2"/>
    <n v="171"/>
    <n v="161.69999999999999"/>
    <n v="189.7"/>
    <n v="166"/>
    <n v="161.1"/>
    <n v="165.3"/>
    <n v="140.85"/>
    <n v="162.5"/>
    <n v="160.30000000000001"/>
    <n v="170.4"/>
    <n v="157.1"/>
    <n v="160.69999999999999"/>
    <n v="167.2"/>
    <n v="160.4"/>
    <n v="162.80000000000001"/>
    <n v="163.19999999999999"/>
    <x v="63"/>
    <n v="164.13333333333335"/>
    <n v="150.57499999999999"/>
    <n v="9.2851663295906259E-2"/>
    <n v="0.10121237258709226"/>
    <n v="0.10227975965438388"/>
    <n v="0.10039017622164066"/>
    <n v="9.8910222763827771E-2"/>
    <n v="0.10310342422763093"/>
    <n v="9.9095216946054374E-2"/>
    <n v="9.6875286759335044E-2"/>
    <n v="0.10507669550471478"/>
    <n v="0.10020518203941405"/>
    <n v="7"/>
    <x v="22"/>
    <n v="160.46428571428572"/>
  </r>
  <r>
    <x v="1"/>
    <x v="2"/>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x v="64"/>
    <n v="151.76666666666668"/>
    <n v="156.1"/>
    <n v="9.9315447201271237E-2"/>
    <n v="9.6558452083576343E-2"/>
    <n v="0.10758188805690923"/>
    <n v="9.8615594594471764E-2"/>
    <n v="0.10154225095017866"/>
    <n v="0.10198761169996017"/>
    <n v="9.619792195280083E-2"/>
    <n v="9.5116331560474374E-2"/>
    <n v="0.10275108727101413"/>
    <n v="0.1003334146293432"/>
    <n v="7"/>
    <x v="22"/>
    <n v="155.07142857142858"/>
  </r>
  <r>
    <x v="1"/>
    <x v="2"/>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x v="65"/>
    <n v="150.86666666666667"/>
    <n v="155.15"/>
    <n v="9.9553435703449544E-2"/>
    <n v="9.6804995164639085E-2"/>
    <n v="0.10769792514891842"/>
    <n v="9.8430531981367447E-2"/>
    <n v="0.10138216462226894"/>
    <n v="0.10144633054924505"/>
    <n v="9.6698051953012204E-2"/>
    <n v="9.4644742289776387E-2"/>
    <n v="0.1031788105776003"/>
    <n v="0.10016301200972266"/>
    <n v="6"/>
    <x v="23"/>
    <n v="153.87142857142857"/>
  </r>
  <r>
    <x v="2"/>
    <x v="2"/>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x v="66"/>
    <n v="158.23333333333332"/>
    <n v="157.65"/>
    <n v="9.9042972022114262E-2"/>
    <n v="9.9409448818897628E-2"/>
    <n v="0.10432023789579495"/>
    <n v="9.9011559725247111E-2"/>
    <n v="9.9765454850058638E-2"/>
    <n v="0.10158736806835315"/>
    <n v="9.7315295694421183E-2"/>
    <n v="9.4676662757580826E-2"/>
    <n v="0.10447729938013069"/>
    <n v="0.10039370078740158"/>
    <n v="6"/>
    <x v="23"/>
    <n v="158.78571428571428"/>
  </r>
  <r>
    <x v="0"/>
    <x v="2"/>
    <s v="June"/>
    <n v="145.6"/>
    <n v="200.1"/>
    <n v="179.3"/>
    <n v="156.1"/>
    <n v="189.67500000000001"/>
    <n v="158.6"/>
    <n v="144.69999999999999"/>
    <n v="165.5"/>
    <n v="114.6"/>
    <n v="170"/>
    <n v="165.5"/>
    <n v="171.7"/>
    <n v="160.5"/>
    <n v="189.1"/>
    <n v="165.3"/>
    <n v="159.9"/>
    <n v="164.6"/>
    <n v="140.85"/>
    <n v="162.1"/>
    <n v="159.19999999999999"/>
    <n v="169.7"/>
    <n v="154.19999999999999"/>
    <n v="160.4"/>
    <n v="166.8"/>
    <n v="159.4"/>
    <n v="161.5"/>
    <n v="162.1"/>
    <x v="67"/>
    <n v="163.26666666666668"/>
    <n v="150.02499999999998"/>
    <n v="9.3038004121044404E-2"/>
    <n v="0.10124982373712728"/>
    <n v="0.1024000543369526"/>
    <n v="0.10015422539942459"/>
    <n v="9.885191039423083E-2"/>
    <n v="0.10344102041253264"/>
    <n v="9.9472060396704046E-2"/>
    <n v="9.5627130381370093E-2"/>
    <n v="0.10523945541970496"/>
    <n v="0.10052631540090852"/>
    <n v="6"/>
    <x v="23"/>
    <n v="159.82142857142858"/>
  </r>
  <r>
    <x v="0"/>
    <x v="2"/>
    <s v="May"/>
    <n v="145.1"/>
    <n v="198.5"/>
    <n v="168.6"/>
    <n v="155.80000000000001"/>
    <n v="184.4"/>
    <n v="162.30000000000001"/>
    <n v="138.4"/>
    <n v="165.1"/>
    <n v="114.3"/>
    <n v="169.7"/>
    <n v="164.6"/>
    <n v="169.8"/>
    <n v="158.69999999999999"/>
    <n v="189.6"/>
    <n v="165.3"/>
    <n v="160.6"/>
    <n v="164.5"/>
    <n v="140.85"/>
    <n v="161.69999999999999"/>
    <n v="158.80000000000001"/>
    <n v="169.1"/>
    <n v="153.19999999999999"/>
    <n v="160"/>
    <n v="167.6"/>
    <n v="159.30000000000001"/>
    <n v="161.1"/>
    <n v="161.1"/>
    <x v="68"/>
    <n v="163.46666666666667"/>
    <n v="149.82499999999999"/>
    <n v="9.314585693995954E-2"/>
    <n v="0.10162684964315293"/>
    <n v="0.10146550428934401"/>
    <n v="0.10015549843502408"/>
    <n v="9.9036442586588058E-2"/>
    <n v="0.10419653344326527"/>
    <n v="9.9471630972090955E-2"/>
    <n v="9.5244086655777077E-2"/>
    <n v="0.10512907998362862"/>
    <n v="0.10052851705116941"/>
    <n v="5"/>
    <x v="24"/>
    <n v="159.90714285714284"/>
  </r>
  <r>
    <x v="1"/>
    <x v="2"/>
    <s v="May"/>
    <n v="148.80000000000001"/>
    <n v="204.3"/>
    <n v="173"/>
    <n v="156.5"/>
    <n v="168.8"/>
    <n v="172.5"/>
    <n v="166.5"/>
    <n v="165.9"/>
    <n v="115.9"/>
    <n v="165.2"/>
    <n v="152"/>
    <n v="171.1"/>
    <n v="164.2"/>
    <n v="198.2"/>
    <n v="156.5"/>
    <n v="140.19999999999999"/>
    <n v="154.1"/>
    <n v="161.6"/>
    <n v="155.5"/>
    <n v="150.1"/>
    <n v="160.4"/>
    <n v="145"/>
    <n v="152.6"/>
    <n v="156.6"/>
    <n v="157.5"/>
    <n v="152.30000000000001"/>
    <n v="159.5"/>
    <x v="69"/>
    <n v="150.26666666666665"/>
    <n v="155.85"/>
    <n v="0.10042282000693448"/>
    <n v="9.6825167916000557E-2"/>
    <n v="0.10691240139058074"/>
    <n v="9.8135357632698886E-2"/>
    <n v="0.10148600674425524"/>
    <n v="0.10090608670571664"/>
    <n v="9.8328664312211753E-2"/>
    <n v="9.3431561764552445E-2"/>
    <n v="0.1033546379795463"/>
    <n v="0.1001972955475028"/>
    <n v="5"/>
    <x v="24"/>
    <n v="153.51428571428571"/>
  </r>
  <r>
    <x v="2"/>
    <x v="2"/>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x v="70"/>
    <n v="158.1"/>
    <n v="158.14999999999998"/>
    <n v="9.9661956869117413E-2"/>
    <n v="9.9630448188475912E-2"/>
    <n v="0.10342049234564123"/>
    <n v="9.8811222491796483E-2"/>
    <n v="9.9945534994891075E-2"/>
    <n v="0.10158398638824995"/>
    <n v="9.8181048878966157E-2"/>
    <n v="9.3832850950436836E-2"/>
    <n v="0.1044827850072695"/>
    <n v="0.10044967388515536"/>
    <n v="5"/>
    <x v="24"/>
    <n v="158.74285714285716"/>
  </r>
  <r>
    <x v="2"/>
    <x v="2"/>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x v="71"/>
    <n v="154.86666666666667"/>
    <n v="156.60000000000002"/>
    <n v="0.10037251308221387"/>
    <n v="9.9261535925918604E-2"/>
    <n v="0.10314232563534008"/>
    <n v="9.8962426691531408E-2"/>
    <n v="9.9603375050932516E-2"/>
    <n v="0.10274402201199796"/>
    <n v="9.8193288660250067E-2"/>
    <n v="9.3963029488202746E-2"/>
    <n v="0.10402591873080018"/>
    <n v="9.9731564722812735E-2"/>
    <n v="4"/>
    <x v="25"/>
    <n v="156.24285714285716"/>
  </r>
  <r>
    <x v="0"/>
    <x v="2"/>
    <s v="April"/>
    <n v="142.69999999999999"/>
    <n v="195.5"/>
    <n v="163.4"/>
    <n v="155"/>
    <n v="175.2"/>
    <n v="160.6"/>
    <n v="135.1"/>
    <n v="161.1"/>
    <n v="112.2"/>
    <n v="164.4"/>
    <n v="161.9"/>
    <n v="166.8"/>
    <n v="155.6"/>
    <n v="186.8"/>
    <n v="160.69999999999999"/>
    <n v="155.1"/>
    <n v="159.9"/>
    <n v="140.85"/>
    <n v="156"/>
    <n v="155.5"/>
    <n v="165.3"/>
    <n v="151.69999999999999"/>
    <n v="158.6"/>
    <n v="164.1"/>
    <n v="154.6"/>
    <n v="158"/>
    <n v="157.6"/>
    <x v="72"/>
    <n v="158.56666666666663"/>
    <n v="148.17500000000001"/>
    <n v="9.4092664647232829E-2"/>
    <n v="0.10069148095762588"/>
    <n v="0.10143383834298575"/>
    <n v="0.10033164173620912"/>
    <n v="9.8172606407708418E-2"/>
    <n v="0.10420520511969567"/>
    <n v="0.10071264797065042"/>
    <n v="9.6331076274575461E-2"/>
    <n v="0.10496721758857828"/>
    <n v="9.9061620954738125E-2"/>
    <n v="4"/>
    <x v="25"/>
    <n v="156.02142857142857"/>
  </r>
  <r>
    <x v="1"/>
    <x v="2"/>
    <s v="April"/>
    <n v="147.6"/>
    <n v="202.5"/>
    <n v="166.4"/>
    <n v="156"/>
    <n v="161.4"/>
    <n v="168.8"/>
    <n v="161.6"/>
    <n v="162.80000000000001"/>
    <n v="114.8"/>
    <n v="162.80000000000001"/>
    <n v="151.5"/>
    <n v="171.4"/>
    <n v="162"/>
    <n v="194.4"/>
    <n v="155.9"/>
    <n v="139.30000000000001"/>
    <n v="153.4"/>
    <n v="161.4"/>
    <n v="154.9"/>
    <n v="147.6"/>
    <n v="157.5"/>
    <n v="142.1"/>
    <n v="149.1"/>
    <n v="157.6"/>
    <n v="156.6"/>
    <n v="150.5"/>
    <n v="158"/>
    <x v="73"/>
    <n v="149.53333333333333"/>
    <n v="154.5"/>
    <n v="0.1006202512017367"/>
    <n v="9.7385641184679794E-2"/>
    <n v="0.10624903085749729"/>
    <n v="9.8015196154442555E-2"/>
    <n v="0.10198790510156613"/>
    <n v="0.10263916886338968"/>
    <n v="9.7103426887889602E-2"/>
    <n v="9.2544580555124822E-2"/>
    <n v="0.10257404248720732"/>
    <n v="0.10088075670646612"/>
    <n v="4"/>
    <x v="25"/>
    <n v="152.87142857142859"/>
  </r>
  <r>
    <x v="1"/>
    <x v="2"/>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x v="74"/>
    <n v="148.79999999999998"/>
    <n v="153.55000000000001"/>
    <n v="0.10048191306867846"/>
    <n v="9.737355040455456E-2"/>
    <n v="0.10554410369310875"/>
    <n v="9.8158820972333236E-2"/>
    <n v="0.10136534245742945"/>
    <n v="0.10313220123493144"/>
    <n v="9.7242671976591449E-2"/>
    <n v="9.2727366211864115E-2"/>
    <n v="0.10267412673706057"/>
    <n v="0.1012999032434479"/>
    <n v="3"/>
    <x v="26"/>
    <n v="152.27142857142854"/>
  </r>
  <r>
    <x v="2"/>
    <x v="2"/>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x v="75"/>
    <n v="154.03333333333333"/>
    <n v="155.55000000000001"/>
    <n v="0.10019385135404557"/>
    <n v="9.9216926413167164E-2"/>
    <n v="0.102485100744426"/>
    <n v="9.9066630268416639E-2"/>
    <n v="9.9066630268416639E-2"/>
    <n v="0.10318903881014528"/>
    <n v="9.8293678666842507E-2"/>
    <n v="9.4171270125113851E-2"/>
    <n v="0.10415522831211294"/>
    <n v="0.10016164503731331"/>
    <n v="3"/>
    <x v="26"/>
    <n v="155.55714285714285"/>
  </r>
  <r>
    <x v="0"/>
    <x v="2"/>
    <s v="March"/>
    <n v="142.5"/>
    <n v="189.4"/>
    <n v="163.19999999999999"/>
    <n v="154.5"/>
    <n v="168.2"/>
    <n v="150.5"/>
    <n v="141"/>
    <n v="159.19999999999999"/>
    <n v="111.7"/>
    <n v="164"/>
    <n v="160.6"/>
    <n v="166.4"/>
    <n v="154.5"/>
    <n v="186.1"/>
    <n v="159.6"/>
    <n v="154.4"/>
    <n v="158.9"/>
    <n v="140.85"/>
    <n v="156"/>
    <n v="154.80000000000001"/>
    <n v="164.6"/>
    <n v="151.30000000000001"/>
    <n v="157.80000000000001"/>
    <n v="163.80000000000001"/>
    <n v="153.1"/>
    <n v="157.30000000000001"/>
    <n v="156.69999999999999"/>
    <x v="76"/>
    <n v="157.63333333333333"/>
    <n v="147.82499999999999"/>
    <n v="9.4315603663765429E-2"/>
    <n v="0.10057353621420526"/>
    <n v="0.10079836301781374"/>
    <n v="0.10036086221079185"/>
    <n v="9.7681169767782766E-2"/>
    <n v="0.10450800527735349"/>
    <n v="0.10067987321591197"/>
    <n v="9.6532730149350321E-2"/>
    <n v="0.10501842288554568"/>
    <n v="9.9531433597479513E-2"/>
    <n v="3"/>
    <x v="26"/>
    <n v="155.47857142857143"/>
  </r>
  <r>
    <x v="0"/>
    <x v="2"/>
    <s v="February"/>
    <n v="142.80000000000001"/>
    <n v="184"/>
    <n v="168"/>
    <n v="154.4"/>
    <n v="163"/>
    <n v="147.80000000000001"/>
    <n v="149.69999999999999"/>
    <n v="158.30000000000001"/>
    <n v="111.8"/>
    <n v="165"/>
    <n v="160"/>
    <n v="165.8"/>
    <n v="154.69999999999999"/>
    <n v="186.5"/>
    <n v="159.1"/>
    <n v="153.9"/>
    <n v="158.4"/>
    <n v="140.85"/>
    <n v="154.4"/>
    <n v="154.80000000000001"/>
    <n v="164.3"/>
    <n v="150.19999999999999"/>
    <n v="157"/>
    <n v="163.6"/>
    <n v="155.19999999999999"/>
    <n v="157.19999999999999"/>
    <n v="156.69999999999999"/>
    <x v="76"/>
    <n v="157.13333333333333"/>
    <n v="147.82499999999999"/>
    <n v="9.4466282582548536E-2"/>
    <n v="0.10041469216847258"/>
    <n v="0.10095939881427406"/>
    <n v="0.10045729492289281"/>
    <n v="9.9179212290286034E-2"/>
    <n v="0.10454715934723451"/>
    <n v="0.10032948665963214"/>
    <n v="9.5984005708769082E-2"/>
    <n v="0.10499448826864689"/>
    <n v="9.8667979237243325E-2"/>
    <n v="2"/>
    <x v="27"/>
    <n v="155.00714285714284"/>
  </r>
  <r>
    <x v="1"/>
    <x v="2"/>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x v="77"/>
    <n v="148.06666666666666"/>
    <n v="153.15"/>
    <n v="0.10086306658345434"/>
    <n v="9.7515233815149455E-2"/>
    <n v="0.10628232187491181"/>
    <n v="9.8327494880246391E-2"/>
    <n v="0.10320106127082791"/>
    <n v="0.10313520226554979"/>
    <n v="9.7010314774683803E-2"/>
    <n v="9.2531902415771042E-2"/>
    <n v="0.10293762524971541"/>
    <n v="9.8195776869690124E-2"/>
    <n v="2"/>
    <x v="27"/>
    <n v="150.8857142857143"/>
  </r>
  <r>
    <x v="2"/>
    <x v="2"/>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x v="78"/>
    <n v="153.46666666666667"/>
    <n v="155.35000000000002"/>
    <n v="0.10042465034453781"/>
    <n v="9.9207185964221012E-2"/>
    <n v="0.10285803995930498"/>
    <n v="9.9164089879962017E-2"/>
    <n v="0.10071554891328606"/>
    <n v="0.10310738158966062"/>
    <n v="9.7935851478580471E-2"/>
    <n v="9.3798627389716338E-2"/>
    <n v="0.10427097586465367"/>
    <n v="9.8517648616076994E-2"/>
    <n v="2"/>
    <x v="27"/>
    <n v="154.71428571428569"/>
  </r>
  <r>
    <x v="2"/>
    <x v="2"/>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x v="79"/>
    <n v="151.93333333333334"/>
    <n v="153.85"/>
    <n v="0.10029163840562726"/>
    <n v="9.9042202979709476E-2"/>
    <n v="0.10537164107522842"/>
    <n v="9.9020473667954384E-2"/>
    <n v="0.10221468249595292"/>
    <n v="0.10377919294231953"/>
    <n v="9.7521151156853031E-2"/>
    <n v="9.2501680141426776E-2"/>
    <n v="0.10384438087758482"/>
    <n v="9.6412956257343349E-2"/>
    <n v="1"/>
    <x v="28"/>
    <n v="152.94285714285712"/>
  </r>
  <r>
    <x v="0"/>
    <x v="2"/>
    <s v="January"/>
    <n v="143.4"/>
    <n v="187.5"/>
    <n v="173.4"/>
    <n v="154"/>
    <n v="154.80000000000001"/>
    <n v="147"/>
    <n v="187.8"/>
    <n v="159.5"/>
    <n v="113.8"/>
    <n v="164.5"/>
    <n v="156.1"/>
    <n v="164.3"/>
    <n v="159.6"/>
    <n v="184.6"/>
    <n v="157.5"/>
    <n v="152.4"/>
    <n v="156.80000000000001"/>
    <n v="140.85"/>
    <n v="150.9"/>
    <n v="153.9"/>
    <n v="162.5"/>
    <n v="147.5"/>
    <n v="155.1"/>
    <n v="163.5"/>
    <n v="156.19999999999999"/>
    <n v="155.9"/>
    <n v="158.5"/>
    <x v="80"/>
    <n v="155.56666666666666"/>
    <n v="147.375"/>
    <n v="9.4758016675941276E-2"/>
    <n v="0.10002502998622967"/>
    <n v="0.10334858350944899"/>
    <n v="0.10023935402734009"/>
    <n v="0.10043224566433945"/>
    <n v="0.1051259421646575"/>
    <n v="9.9724976328675094E-2"/>
    <n v="9.4838388191357689E-2"/>
    <n v="0.10448297004132627"/>
    <n v="9.7024493410683907E-2"/>
    <n v="1"/>
    <x v="28"/>
    <n v="153.69285714285712"/>
  </r>
  <r>
    <x v="1"/>
    <x v="2"/>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x v="81"/>
    <n v="146.66666666666666"/>
    <n v="151.69999999999999"/>
    <n v="0.10096153846153845"/>
    <n v="9.7611682977536626E-2"/>
    <n v="0.10880533441509051"/>
    <n v="9.8232848232848224E-2"/>
    <n v="0.10495474367425585"/>
    <n v="0.10388988895086455"/>
    <n v="9.6768672988185173E-2"/>
    <n v="9.1111632270168844E-2"/>
    <n v="0.10255882054662541"/>
    <n v="9.5104837482886256E-2"/>
    <n v="1"/>
    <x v="28"/>
    <n v="148.91428571428568"/>
  </r>
  <r>
    <x v="1"/>
    <x v="3"/>
    <s v="December"/>
    <n v="149"/>
    <n v="195.7"/>
    <n v="178.3"/>
    <n v="154.19999999999999"/>
    <n v="140.69999999999999"/>
    <n v="149.69999999999999"/>
    <n v="225.46299999999999"/>
    <n v="161.5"/>
    <n v="117.1"/>
    <n v="161.9"/>
    <n v="143.30000000000001"/>
    <n v="166.1"/>
    <n v="167"/>
    <n v="190.2"/>
    <n v="151.9"/>
    <n v="136.69999999999999"/>
    <n v="149.6"/>
    <n v="158.4"/>
    <n v="137.9"/>
    <n v="145.5"/>
    <n v="152.9"/>
    <n v="135.5"/>
    <n v="144.30000000000001"/>
    <n v="156.9"/>
    <n v="157.9"/>
    <n v="146.9"/>
    <n v="156.9"/>
    <x v="82"/>
    <n v="146.06666666666669"/>
    <n v="151.94999999999999"/>
    <n v="0.10159009616348906"/>
    <n v="9.7656641743645758E-2"/>
    <n v="0.11058244097032638"/>
    <n v="9.8213788262037152E-2"/>
    <n v="0.10556812230480372"/>
    <n v="0.10489954648273403"/>
    <n v="9.6475491124655963E-2"/>
    <n v="9.0592023890442713E-2"/>
    <n v="0.10222524319445528"/>
    <n v="9.2196605863409956E-2"/>
    <n v="12"/>
    <x v="29"/>
    <n v="148.12857142857143"/>
  </r>
  <r>
    <x v="2"/>
    <x v="3"/>
    <s v="December"/>
    <n v="146"/>
    <n v="191"/>
    <n v="175.3"/>
    <n v="154.1"/>
    <n v="146.6"/>
    <n v="147.69999999999999"/>
    <n v="225.46299999999999"/>
    <n v="160.19999999999999"/>
    <n v="115.3"/>
    <n v="163"/>
    <n v="149.19999999999999"/>
    <n v="164.8"/>
    <n v="165.4"/>
    <n v="185.4"/>
    <n v="155"/>
    <n v="145.4"/>
    <n v="153.6"/>
    <n v="158.4"/>
    <n v="144.6"/>
    <n v="149.69999999999999"/>
    <n v="158.30000000000001"/>
    <n v="140.69999999999999"/>
    <n v="148.5"/>
    <n v="159.4"/>
    <n v="157.1"/>
    <n v="151.19999999999999"/>
    <n v="158.9"/>
    <x v="83"/>
    <n v="151.33333333333334"/>
    <n v="154.05000000000001"/>
    <n v="0.10074710531724729"/>
    <n v="9.8970433439425007E-2"/>
    <n v="0.10718423199815638"/>
    <n v="9.8883234819654581E-2"/>
    <n v="0.1027417737444956"/>
    <n v="0.10424594993553532"/>
    <n v="9.7117462769303609E-2"/>
    <n v="9.2016343512734119E-2"/>
    <n v="0.10352656132242938"/>
    <n v="9.4566903141018857E-2"/>
    <n v="12"/>
    <x v="29"/>
    <n v="152.29999999999998"/>
  </r>
  <r>
    <x v="0"/>
    <x v="3"/>
    <s v="December"/>
    <n v="144.6"/>
    <n v="188.5"/>
    <n v="173.4"/>
    <n v="154"/>
    <n v="150"/>
    <n v="145.9"/>
    <n v="225.2"/>
    <n v="159.5"/>
    <n v="114.4"/>
    <n v="163.5"/>
    <n v="153.4"/>
    <n v="163.6"/>
    <n v="164.5"/>
    <n v="183.6"/>
    <n v="157"/>
    <n v="151.6"/>
    <n v="156.30000000000001"/>
    <n v="140.85"/>
    <n v="148.69999999999999"/>
    <n v="153.4"/>
    <n v="161.6"/>
    <n v="146.4"/>
    <n v="153.9"/>
    <n v="162.9"/>
    <n v="156.6"/>
    <n v="155.19999999999999"/>
    <n v="160.69999999999999"/>
    <x v="84"/>
    <n v="154.96666666666667"/>
    <n v="147.125"/>
    <n v="9.488619568430387E-2"/>
    <n v="9.9943568107919267E-2"/>
    <n v="0.10522129363394513"/>
    <n v="0.10009405315346787"/>
    <n v="0.10099696342675946"/>
    <n v="0.10506005965657163"/>
    <n v="9.9255636471125674E-2"/>
    <n v="9.4418617149920725E-2"/>
    <n v="0.10422164297422942"/>
    <n v="9.5901969741756896E-2"/>
    <n v="12"/>
    <x v="29"/>
    <n v="152.96428571428572"/>
  </r>
  <r>
    <x v="0"/>
    <x v="3"/>
    <s v="November"/>
    <n v="145.4"/>
    <n v="188.6"/>
    <n v="171.6"/>
    <n v="153.80000000000001"/>
    <n v="145.4"/>
    <n v="146.5"/>
    <n v="222.2"/>
    <n v="155.9"/>
    <n v="114.9"/>
    <n v="162"/>
    <n v="150"/>
    <n v="162.69999999999999"/>
    <n v="163.4"/>
    <n v="183.4"/>
    <n v="156.30000000000001"/>
    <n v="151"/>
    <n v="155.5"/>
    <n v="140.85"/>
    <n v="147.5"/>
    <n v="152.80000000000001"/>
    <n v="160.4"/>
    <n v="146.1"/>
    <n v="153.6"/>
    <n v="161.6"/>
    <n v="156.19999999999999"/>
    <n v="154.5"/>
    <n v="159.80000000000001"/>
    <x v="85"/>
    <n v="154.26666666666668"/>
    <n v="146.82499999999999"/>
    <n v="9.5165747028698705E-2"/>
    <n v="9.9989120210867283E-2"/>
    <n v="0.10489968602934766"/>
    <n v="0.10014035699597447"/>
    <n v="0.10124222500175541"/>
    <n v="0.10474227631423608"/>
    <n v="9.9557015110561017E-2"/>
    <n v="9.4695832732115653E-2"/>
    <n v="0.10396448713368482"/>
    <n v="9.5603253442758801E-2"/>
    <n v="11"/>
    <x v="30"/>
    <n v="152.22142857142856"/>
  </r>
  <r>
    <x v="1"/>
    <x v="3"/>
    <s v="November"/>
    <n v="149.69999999999999"/>
    <n v="195.5"/>
    <n v="176.9"/>
    <n v="153.9"/>
    <n v="138"/>
    <n v="150.5"/>
    <n v="225.46299999999999"/>
    <n v="158.69999999999999"/>
    <n v="117.2"/>
    <n v="161.4"/>
    <n v="141.5"/>
    <n v="165.1"/>
    <n v="167"/>
    <n v="188.8"/>
    <n v="151.1"/>
    <n v="136.4"/>
    <n v="148.80000000000001"/>
    <n v="158"/>
    <n v="137.30000000000001"/>
    <n v="145.1"/>
    <n v="152"/>
    <n v="135.19999999999999"/>
    <n v="144.4"/>
    <n v="156.4"/>
    <n v="157.9"/>
    <n v="146.6"/>
    <n v="156.69999999999999"/>
    <x v="86"/>
    <n v="145.43333333333334"/>
    <n v="151.55000000000001"/>
    <n v="0.10159225197674827"/>
    <n v="9.7491915841757995E-2"/>
    <n v="0.11058458120389317"/>
    <n v="9.8273996303472749E-2"/>
    <n v="0.1058490042040815"/>
    <n v="0.1048434721818768"/>
    <n v="9.67992160042392E-2"/>
    <n v="9.0631952934717014E-2"/>
    <n v="0.10189391158340967"/>
    <n v="9.2039697765803619E-2"/>
    <n v="11"/>
    <x v="30"/>
    <n v="147.58571428571426"/>
  </r>
  <r>
    <x v="2"/>
    <x v="3"/>
    <s v="November"/>
    <n v="146.80000000000001"/>
    <n v="191"/>
    <n v="173.6"/>
    <n v="153.80000000000001"/>
    <n v="142.69999999999999"/>
    <n v="148.4"/>
    <n v="225.46299999999999"/>
    <n v="156.80000000000001"/>
    <n v="115.7"/>
    <n v="161.80000000000001"/>
    <n v="146.5"/>
    <n v="163.80000000000001"/>
    <n v="164.7"/>
    <n v="184.8"/>
    <n v="154.30000000000001"/>
    <n v="144.9"/>
    <n v="152.80000000000001"/>
    <n v="158"/>
    <n v="143.6"/>
    <n v="149.19999999999999"/>
    <n v="157.19999999999999"/>
    <n v="140.4"/>
    <n v="148.4"/>
    <n v="158.6"/>
    <n v="156.9"/>
    <n v="150.69999999999999"/>
    <n v="158.4"/>
    <x v="87"/>
    <n v="150.66666666666669"/>
    <n v="153.6"/>
    <n v="0.10085673191170033"/>
    <n v="9.8930648489775508E-2"/>
    <n v="0.10695391157526109"/>
    <n v="9.8952535801388269E-2"/>
    <n v="0.10302357576136577"/>
    <n v="0.10413982865361765"/>
    <n v="9.7442311300106318E-2"/>
    <n v="9.2189356513038584E-2"/>
    <n v="0.1032205615658808"/>
    <n v="9.4290538427865667E-2"/>
    <n v="11"/>
    <x v="30"/>
    <n v="151.62857142857143"/>
  </r>
  <r>
    <x v="2"/>
    <x v="3"/>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x v="88"/>
    <n v="150.19999999999999"/>
    <n v="152.6"/>
    <n v="0.10074649740399988"/>
    <n v="9.9162017759376025E-2"/>
    <n v="0.10529716066906544"/>
    <n v="9.9294057729761367E-2"/>
    <n v="0.10365137675247695"/>
    <n v="0.10464167653036685"/>
    <n v="9.6719278307247594E-2"/>
    <n v="9.2824099180880623E-2"/>
    <n v="0.10318923685612834"/>
    <n v="9.4474598810697141E-2"/>
    <n v="10"/>
    <x v="31"/>
    <n v="151.05714285714285"/>
  </r>
  <r>
    <x v="0"/>
    <x v="3"/>
    <s v="October"/>
    <n v="146"/>
    <n v="186.3"/>
    <n v="159.19999999999999"/>
    <n v="153.6"/>
    <n v="142.6"/>
    <n v="147.19999999999999"/>
    <n v="200.6"/>
    <n v="150.30000000000001"/>
    <n v="115.3"/>
    <n v="160.9"/>
    <n v="147.4"/>
    <n v="161.9"/>
    <n v="159.6"/>
    <n v="182.7"/>
    <n v="155.69999999999999"/>
    <n v="150.6"/>
    <n v="155"/>
    <n v="140.85"/>
    <n v="146.80000000000001"/>
    <n v="152"/>
    <n v="159.5"/>
    <n v="146.4"/>
    <n v="152.4"/>
    <n v="162.5"/>
    <n v="156.19999999999999"/>
    <n v="154.30000000000001"/>
    <n v="157.5"/>
    <x v="89"/>
    <n v="153.76666666666665"/>
    <n v="146.42500000000001"/>
    <n v="9.5303588073898493E-2"/>
    <n v="0.10008205606622131"/>
    <n v="0.10291178934138963"/>
    <n v="0.10042918654466476"/>
    <n v="0.10166583887411947"/>
    <n v="0.10576631765073248"/>
    <n v="9.9192534215210043E-2"/>
    <n v="9.5287316332721458E-2"/>
    <n v="0.10381370870948819"/>
    <n v="9.5547664191554027E-2"/>
    <n v="10"/>
    <x v="31"/>
    <n v="151.92142857142858"/>
  </r>
  <r>
    <x v="1"/>
    <x v="3"/>
    <s v="October"/>
    <n v="150.6"/>
    <n v="193.7"/>
    <n v="164.8"/>
    <n v="153.69999999999999"/>
    <n v="135.69999999999999"/>
    <n v="155.69999999999999"/>
    <n v="225.46299999999999"/>
    <n v="152.19999999999999"/>
    <n v="118.1"/>
    <n v="161.30000000000001"/>
    <n v="139.19999999999999"/>
    <n v="164.8"/>
    <n v="164.4"/>
    <n v="188.7"/>
    <n v="150.5"/>
    <n v="136.1"/>
    <n v="148.30000000000001"/>
    <n v="156.5"/>
    <n v="137.1"/>
    <n v="145.1"/>
    <n v="151"/>
    <n v="135.4"/>
    <n v="142"/>
    <n v="155.69999999999999"/>
    <n v="158.1"/>
    <n v="146.19999999999999"/>
    <n v="155.19999999999999"/>
    <x v="90"/>
    <n v="144.96666666666667"/>
    <n v="150.80000000000001"/>
    <n v="0.10166308453143585"/>
    <n v="9.7730493949428496E-2"/>
    <n v="0.10925699720224269"/>
    <n v="9.8561955958195752E-2"/>
    <n v="0.10658444074549077"/>
    <n v="0.10496646062032201"/>
    <n v="9.5730490739150464E-2"/>
    <n v="9.1281045394936436E-2"/>
    <n v="0.10179791620853325"/>
    <n v="9.2427114650264292E-2"/>
    <n v="10"/>
    <x v="31"/>
    <n v="147.04285714285717"/>
  </r>
  <r>
    <x v="1"/>
    <x v="3"/>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x v="91"/>
    <n v="144.86666666666667"/>
    <n v="150.85000000000002"/>
    <n v="0.10193781112938156"/>
    <n v="9.7894536994429834E-2"/>
    <n v="0.10765277719677054"/>
    <n v="9.8660393933640747E-2"/>
    <n v="0.1079858284287383"/>
    <n v="0.10467462342685584"/>
    <n v="9.5822218217741492E-2"/>
    <n v="9.1294652194759338E-2"/>
    <n v="0.10136341842497337"/>
    <n v="9.2713740052708965E-2"/>
    <n v="9"/>
    <x v="32"/>
    <n v="146.91428571428574"/>
  </r>
  <r>
    <x v="2"/>
    <x v="3"/>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x v="92"/>
    <n v="149.9"/>
    <n v="152.5"/>
    <n v="0.1010249179024672"/>
    <n v="9.9302525859539886E-2"/>
    <n v="0.10369367919975017"/>
    <n v="9.9368771707344788E-2"/>
    <n v="0.1049334229229561"/>
    <n v="0.10433721029271202"/>
    <n v="9.7116412881978295E-2"/>
    <n v="9.2479203535635546E-2"/>
    <n v="0.10307853918441899"/>
    <n v="9.4665316513197137E-2"/>
    <n v="9"/>
    <x v="32"/>
    <n v="150.72857142857146"/>
  </r>
  <r>
    <x v="0"/>
    <x v="3"/>
    <s v="September"/>
    <n v="146.9"/>
    <n v="183.9"/>
    <n v="149.5"/>
    <n v="153.4"/>
    <n v="140.4"/>
    <n v="147"/>
    <n v="178.8"/>
    <n v="149.30000000000001"/>
    <n v="115.1"/>
    <n v="160"/>
    <n v="145.4"/>
    <n v="161.6"/>
    <n v="156.1"/>
    <n v="182.9"/>
    <n v="155.4"/>
    <n v="149.9"/>
    <n v="154.6"/>
    <n v="140.85"/>
    <n v="146.4"/>
    <n v="151.6"/>
    <n v="159.1"/>
    <n v="144.6"/>
    <n v="152.80000000000001"/>
    <n v="161.1"/>
    <n v="157.4"/>
    <n v="153.69999999999999"/>
    <n v="155.4"/>
    <x v="93"/>
    <n v="153.29999999999998"/>
    <n v="146.22499999999999"/>
    <n v="9.5593986472130577E-2"/>
    <n v="0.10021923833939216"/>
    <n v="0.10134461511880662"/>
    <n v="0.10048073667817727"/>
    <n v="0.10289959631193951"/>
    <n v="0.10531845594570174"/>
    <n v="9.9892365415910789E-2"/>
    <n v="9.453164947081609E-2"/>
    <n v="0.10401096425177621"/>
    <n v="9.5708391995349071E-2"/>
    <n v="9"/>
    <x v="32"/>
    <n v="151.40714285714287"/>
  </r>
  <r>
    <x v="0"/>
    <x v="3"/>
    <s v="August"/>
    <n v="147.6"/>
    <n v="187.2"/>
    <n v="148.4"/>
    <n v="153.30000000000001"/>
    <n v="139.80000000000001"/>
    <n v="146.9"/>
    <n v="171"/>
    <n v="149.9"/>
    <n v="114.2"/>
    <n v="160"/>
    <n v="143.5"/>
    <n v="161.5"/>
    <n v="155.30000000000001"/>
    <n v="180.9"/>
    <n v="155.1"/>
    <n v="149.30000000000001"/>
    <n v="154.30000000000001"/>
    <n v="140.85"/>
    <n v="145.80000000000001"/>
    <n v="151.9"/>
    <n v="158.80000000000001"/>
    <n v="143.6"/>
    <n v="152.19999999999999"/>
    <n v="162.69999999999999"/>
    <n v="153.6"/>
    <n v="153"/>
    <n v="154.69999999999999"/>
    <x v="94"/>
    <n v="152.9"/>
    <n v="146.375"/>
    <n v="9.6095455366081842E-2"/>
    <n v="0.10037912980682434"/>
    <n v="0.10126540727732279"/>
    <n v="0.10044477998982423"/>
    <n v="0.10083868108782354"/>
    <n v="0.10681284774081308"/>
    <n v="9.9919578525825142E-2"/>
    <n v="9.4273662787835028E-2"/>
    <n v="0.10425249060381757"/>
    <n v="9.5717966813832503E-2"/>
    <n v="8"/>
    <x v="33"/>
    <n v="151.42142857142855"/>
  </r>
  <r>
    <x v="1"/>
    <x v="3"/>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x v="95"/>
    <n v="144.33333333333334"/>
    <n v="150"/>
    <n v="0.10204494837011539"/>
    <n v="9.8189916987244372E-2"/>
    <n v="0.10749220489977726"/>
    <n v="9.85073901599514E-2"/>
    <n v="0.10558250658027939"/>
    <n v="0.10578659647701963"/>
    <n v="9.6058311399068619E-2"/>
    <n v="9.1092123911723014E-2"/>
    <n v="0.10116055881757438"/>
    <n v="9.4085442397246408E-2"/>
    <n v="8"/>
    <x v="33"/>
    <n v="146.68571428571428"/>
  </r>
  <r>
    <x v="2"/>
    <x v="3"/>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x v="96"/>
    <n v="149.4"/>
    <n v="151.94999999999999"/>
    <n v="0.10121854317239935"/>
    <n v="9.9519910167531853E-2"/>
    <n v="0.10362137137256208"/>
    <n v="9.9253457931474193E-2"/>
    <n v="0.10278395005923806"/>
    <n v="0.10558169853784335"/>
    <n v="9.7255066161041834E-2"/>
    <n v="9.2259086734960916E-2"/>
    <n v="0.10325024147233892"/>
    <n v="9.5256674390609461E-2"/>
    <n v="8"/>
    <x v="33"/>
    <n v="150.51428571428571"/>
  </r>
  <r>
    <x v="2"/>
    <x v="3"/>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97"/>
    <n v="149.43333333333331"/>
    <n v="150.55000000000001"/>
    <n v="0.10116409667314098"/>
    <n v="0.10041373749268037"/>
    <n v="0.10320878544207195"/>
    <n v="9.8778626442721507E-2"/>
    <n v="0.10186965829058897"/>
    <n v="0.10509508282749418"/>
    <n v="9.9652178921466675E-2"/>
    <n v="9.0715065100458528E-2"/>
    <n v="0.10375115593711701"/>
    <n v="9.5351612872259739E-2"/>
    <n v="7"/>
    <x v="34"/>
    <n v="149.67142857142858"/>
  </r>
  <r>
    <x v="0"/>
    <x v="3"/>
    <s v="July"/>
    <n v="148.19999999999999"/>
    <n v="190.3"/>
    <n v="149.4"/>
    <n v="153.30000000000001"/>
    <n v="138.19999999999999"/>
    <n v="143.19999999999999"/>
    <n v="148.9"/>
    <n v="150.30000000000001"/>
    <n v="113.2"/>
    <n v="159.80000000000001"/>
    <n v="142.1"/>
    <n v="161.80000000000001"/>
    <n v="152.30000000000001"/>
    <n v="182.4"/>
    <n v="154.69999999999999"/>
    <n v="150"/>
    <n v="154.1"/>
    <n v="140.85"/>
    <n v="144.9"/>
    <n v="151.69999999999999"/>
    <n v="158.19999999999999"/>
    <n v="141.4"/>
    <n v="153.19999999999999"/>
    <n v="161.80000000000001"/>
    <n v="151.19999999999999"/>
    <n v="151.69999999999999"/>
    <n v="152.69999999999999"/>
    <x v="98"/>
    <n v="152.93333333333331"/>
    <n v="146.27499999999998"/>
    <n v="9.661530719360252E-2"/>
    <n v="0.10101316684424277"/>
    <n v="0.10065146195611577"/>
    <n v="0.10019854453098276"/>
    <n v="9.9868292241823295E-2"/>
    <n v="0.10686964077200405"/>
    <n v="0.10118930139846116"/>
    <n v="9.3395347374297721E-2"/>
    <n v="0.10449182429005585"/>
    <n v="9.5707113398414007E-2"/>
    <n v="7"/>
    <x v="34"/>
    <n v="151.15"/>
  </r>
  <r>
    <x v="1"/>
    <x v="3"/>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99"/>
    <n v="144.29999999999998"/>
    <n v="147.55000000000001"/>
    <n v="0.10152157032348115"/>
    <n v="9.9285412386840577E-2"/>
    <n v="0.1072225444037076"/>
    <n v="9.7702900616294969E-2"/>
    <n v="0.10472099629436685"/>
    <n v="0.10492741087313368"/>
    <n v="9.9423022106018472E-2"/>
    <n v="8.8964683448499574E-2"/>
    <n v="0.10189999705122031"/>
    <n v="9.4331462496436896E-2"/>
    <n v="7"/>
    <x v="34"/>
    <n v="145.37142857142859"/>
  </r>
  <r>
    <x v="1"/>
    <x v="3"/>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99"/>
    <n v="144.29999999999998"/>
    <n v="147.55000000000001"/>
    <n v="0.10152157032348115"/>
    <n v="9.9285412386840577E-2"/>
    <n v="0.1072225444037076"/>
    <n v="9.7702900616294969E-2"/>
    <n v="0.10472099629436685"/>
    <n v="0.10492741087313368"/>
    <n v="9.9423022106018472E-2"/>
    <n v="8.8964683448499574E-2"/>
    <n v="0.10189999705122031"/>
    <n v="9.4331462496436896E-2"/>
    <n v="6"/>
    <x v="35"/>
    <n v="145.37142857142859"/>
  </r>
  <r>
    <x v="2"/>
    <x v="3"/>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97"/>
    <n v="149.43333333333331"/>
    <n v="150.55000000000001"/>
    <n v="0.10116409667314098"/>
    <n v="0.10041373749268037"/>
    <n v="0.10320878544207195"/>
    <n v="9.8778626442721507E-2"/>
    <n v="0.10186965829058897"/>
    <n v="0.10509508282749418"/>
    <n v="9.9652178921466675E-2"/>
    <n v="9.0715065100458528E-2"/>
    <n v="0.10375115593711701"/>
    <n v="9.5351612872259739E-2"/>
    <n v="6"/>
    <x v="35"/>
    <n v="149.67142857142858"/>
  </r>
  <r>
    <x v="0"/>
    <x v="3"/>
    <s v="June"/>
    <n v="148.19999999999999"/>
    <n v="190.3"/>
    <n v="149.4"/>
    <n v="153.30000000000001"/>
    <n v="138.19999999999999"/>
    <n v="143.19999999999999"/>
    <n v="148.9"/>
    <n v="150.30000000000001"/>
    <n v="113.2"/>
    <n v="159.80000000000001"/>
    <n v="142.1"/>
    <n v="161.80000000000001"/>
    <n v="152.30000000000001"/>
    <n v="182.4"/>
    <n v="154.69999999999999"/>
    <n v="150"/>
    <n v="154.1"/>
    <n v="140.85"/>
    <n v="144.9"/>
    <n v="151.69999999999999"/>
    <n v="158.19999999999999"/>
    <n v="141.4"/>
    <n v="153.19999999999999"/>
    <n v="161.80000000000001"/>
    <n v="151.19999999999999"/>
    <n v="151.69999999999999"/>
    <n v="152.69999999999999"/>
    <x v="98"/>
    <n v="152.93333333333331"/>
    <n v="146.27499999999998"/>
    <n v="9.661530719360252E-2"/>
    <n v="0.10101316684424277"/>
    <n v="0.10065146195611577"/>
    <n v="0.10019854453098276"/>
    <n v="9.9868292241823295E-2"/>
    <n v="0.10686964077200405"/>
    <n v="0.10118930139846116"/>
    <n v="9.3395347374297721E-2"/>
    <n v="0.10449182429005585"/>
    <n v="9.5707113398414007E-2"/>
    <n v="6"/>
    <x v="35"/>
    <n v="151.15"/>
  </r>
  <r>
    <x v="1"/>
    <x v="3"/>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x v="100"/>
    <n v="142.36666666666667"/>
    <n v="147.65"/>
    <n v="0.10373033091402391"/>
    <n v="0.10001856718225446"/>
    <n v="0.10396618431022918"/>
    <n v="9.7442579734338744E-2"/>
    <n v="0.10207935714058702"/>
    <n v="0.10713765976558513"/>
    <n v="9.6880546109338952E-2"/>
    <n v="8.7536737093717426E-2"/>
    <n v="0.10186859453121209"/>
    <n v="9.9339443218713047E-2"/>
    <n v="3"/>
    <x v="36"/>
    <n v="145.18571428571431"/>
  </r>
  <r>
    <x v="2"/>
    <x v="3"/>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x v="101"/>
    <n v="147.63333333333335"/>
    <n v="150.44999999999999"/>
    <n v="0.10265436982475862"/>
    <n v="0.10073251444640656"/>
    <n v="0.10071951796033145"/>
    <n v="9.8116971623797206E-2"/>
    <n v="9.9072213350315394E-2"/>
    <n v="0.10650945250677846"/>
    <n v="9.8048740071903034E-2"/>
    <n v="8.8632785910509437E-2"/>
    <n v="0.10391665353480052"/>
    <n v="0.1015967807703992"/>
    <n v="3"/>
    <x v="36"/>
    <n v="149.82857142857142"/>
  </r>
  <r>
    <x v="0"/>
    <x v="3"/>
    <s v="March"/>
    <n v="144.4"/>
    <n v="166.8"/>
    <n v="147.6"/>
    <n v="151.69999999999999"/>
    <n v="133.30000000000001"/>
    <n v="141.80000000000001"/>
    <n v="152.30000000000001"/>
    <n v="141.80000000000001"/>
    <n v="112.6"/>
    <n v="154"/>
    <n v="140.1"/>
    <n v="160"/>
    <n v="148.19999999999999"/>
    <n v="170.5"/>
    <n v="153.4"/>
    <n v="147.6"/>
    <n v="152.5"/>
    <n v="140.85"/>
    <n v="153.4"/>
    <n v="151.5"/>
    <n v="156.69999999999999"/>
    <n v="135.80000000000001"/>
    <n v="151.19999999999999"/>
    <n v="161.19999999999999"/>
    <n v="145.1"/>
    <n v="148.6"/>
    <n v="149.80000000000001"/>
    <x v="102"/>
    <n v="151.16666666666666"/>
    <n v="146.17500000000001"/>
    <n v="9.765515332607469E-2"/>
    <n v="0.10098993679579242"/>
    <n v="9.8545118196719572E-2"/>
    <n v="9.9275223425720524E-2"/>
    <n v="9.6936977921077042E-2"/>
    <n v="0.10769290724243707"/>
    <n v="0.10101220580059854"/>
    <n v="9.0723925580167217E-2"/>
    <n v="0.10468659159360973"/>
    <n v="0.10248196011780303"/>
    <n v="3"/>
    <x v="36"/>
    <n v="151.49285714285716"/>
  </r>
  <r>
    <x v="0"/>
    <x v="3"/>
    <s v="February"/>
    <n v="144.19999999999999"/>
    <n v="167.5"/>
    <n v="150.9"/>
    <n v="150.9"/>
    <n v="133.69999999999999"/>
    <n v="140.69999999999999"/>
    <n v="165.1"/>
    <n v="141.80000000000001"/>
    <n v="113.1"/>
    <n v="152.80000000000001"/>
    <n v="140.1"/>
    <n v="159.19999999999999"/>
    <n v="149.80000000000001"/>
    <n v="169.4"/>
    <n v="153"/>
    <n v="147.5"/>
    <n v="152.30000000000001"/>
    <n v="140.85"/>
    <n v="152.30000000000001"/>
    <n v="151.80000000000001"/>
    <n v="156.19999999999999"/>
    <n v="136"/>
    <n v="150.4"/>
    <n v="161.9"/>
    <n v="143.4"/>
    <n v="148.4"/>
    <n v="150.4"/>
    <x v="103"/>
    <n v="150.93333333333334"/>
    <n v="146.32499999999999"/>
    <n v="9.7917345469869896E-2"/>
    <n v="0.10100113680450389"/>
    <n v="9.9382365429671465E-2"/>
    <n v="9.9305888041884116E-2"/>
    <n v="9.5960002326187219E-2"/>
    <n v="0.10833977947426576"/>
    <n v="0.10064424232816288"/>
    <n v="9.1008091466955793E-2"/>
    <n v="0.10452546975837128"/>
    <n v="0.1019156789001277"/>
    <n v="2"/>
    <x v="37"/>
    <n v="151.37857142857143"/>
  </r>
  <r>
    <x v="1"/>
    <x v="3"/>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x v="104"/>
    <n v="142"/>
    <n v="147.60000000000002"/>
    <n v="0.10401063058709832"/>
    <n v="0.10006442780059593"/>
    <n v="0.10512805025368444"/>
    <n v="9.7527583152130129E-2"/>
    <n v="0.10112144640412335"/>
    <n v="0.10725215430458239"/>
    <n v="9.7034307803817318E-2"/>
    <n v="8.8225819441088815E-2"/>
    <n v="0.10175565756623982"/>
    <n v="9.7879922686639267E-2"/>
    <n v="2"/>
    <x v="37"/>
    <n v="144.6142857142857"/>
  </r>
  <r>
    <x v="2"/>
    <x v="3"/>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x v="105"/>
    <n v="147.33333333333334"/>
    <n v="150.60000000000002"/>
    <n v="0.10299364146319621"/>
    <n v="0.10075960497284799"/>
    <n v="0.10168936797283983"/>
    <n v="9.8206420412450021E-2"/>
    <n v="9.8069642668142998E-2"/>
    <n v="0.10682341830379312"/>
    <n v="9.7932864923835947E-2"/>
    <n v="8.9110700416032307E-2"/>
    <n v="0.10374591905688486"/>
    <n v="0.10066841980997662"/>
    <n v="2"/>
    <x v="37"/>
    <n v="149.51428571428571"/>
  </r>
  <r>
    <x v="2"/>
    <x v="3"/>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x v="106"/>
    <n v="147.06666666666666"/>
    <n v="150.05000000000001"/>
    <n v="0.10283719769003448"/>
    <n v="0.10079256163688373"/>
    <n v="0.10327288629832757"/>
    <n v="9.8279601124631411E-2"/>
    <n v="9.7525712970955719E-2"/>
    <n v="0.10698358253525078"/>
    <n v="9.7868389404444672E-2"/>
    <n v="8.9712690287407623E-2"/>
    <n v="0.10362535348705905"/>
    <n v="9.9102024565004887E-2"/>
    <n v="1"/>
    <x v="38"/>
    <n v="148.85714285714286"/>
  </r>
  <r>
    <x v="0"/>
    <x v="3"/>
    <s v="January"/>
    <n v="143.69999999999999"/>
    <n v="167.3"/>
    <n v="153.5"/>
    <n v="150.5"/>
    <n v="132"/>
    <n v="142.19999999999999"/>
    <n v="191.5"/>
    <n v="141.1"/>
    <n v="113.8"/>
    <n v="151.6"/>
    <n v="139.69999999999999"/>
    <n v="158.69999999999999"/>
    <n v="153"/>
    <n v="168.6"/>
    <n v="152.80000000000001"/>
    <n v="147.4"/>
    <n v="152.1"/>
    <n v="140.85"/>
    <n v="150.4"/>
    <n v="151.69999999999999"/>
    <n v="155.69999999999999"/>
    <n v="136.30000000000001"/>
    <n v="150.1"/>
    <n v="161.69999999999999"/>
    <n v="142.5"/>
    <n v="148.1"/>
    <n v="151.9"/>
    <x v="107"/>
    <n v="150.76666666666668"/>
    <n v="146.27499999999998"/>
    <n v="9.8016160130314861E-2"/>
    <n v="0.10102594252137281"/>
    <n v="0.10085682673369607"/>
    <n v="9.9239058727052701E-2"/>
    <n v="9.5486602758980479E-2"/>
    <n v="0.10835216607808522"/>
    <n v="0.10057922157279277"/>
    <n v="9.1332097937186246E-2"/>
    <n v="0.10433167754086499"/>
    <n v="0.10078024599965379"/>
    <n v="1"/>
    <x v="38"/>
    <n v="150.99285714285716"/>
  </r>
  <r>
    <x v="1"/>
    <x v="3"/>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x v="108"/>
    <n v="141.70000000000002"/>
    <n v="147"/>
    <n v="0.10391210389190719"/>
    <n v="0.10016561307131464"/>
    <n v="0.10685072607194071"/>
    <n v="9.7832892371700383E-2"/>
    <n v="0.10044836709551028"/>
    <n v="0.10751721770040193"/>
    <n v="9.6984630299113375E-2"/>
    <n v="8.9138206127683653E-2"/>
    <n v="0.10165007169834188"/>
    <n v="9.5500171672086132E-2"/>
    <n v="1"/>
    <x v="38"/>
    <n v="143.75714285714284"/>
  </r>
  <r>
    <x v="1"/>
    <x v="4"/>
    <s v="December"/>
    <n v="144.9"/>
    <n v="164.5"/>
    <n v="153.69999999999999"/>
    <n v="147.5"/>
    <n v="122.7"/>
    <n v="147.19999999999999"/>
    <n v="225.46299999999999"/>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x v="109"/>
    <n v="141.4"/>
    <n v="146.30000000000001"/>
    <n v="0.10388885789209396"/>
    <n v="0.10040932676652142"/>
    <n v="0.10789082590678303"/>
    <n v="9.7781925712517662E-2"/>
    <n v="9.9557196694952624E-2"/>
    <n v="0.10786546489274826"/>
    <n v="9.7142828158841094E-2"/>
    <n v="8.8905570800342865E-2"/>
    <n v="0.10168752187387459"/>
    <n v="9.4870481301324333E-2"/>
    <n v="12"/>
    <x v="39"/>
    <n v="143.18571428571431"/>
  </r>
  <r>
    <x v="2"/>
    <x v="4"/>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x v="110"/>
    <n v="146.86666666666667"/>
    <n v="149.30000000000001"/>
    <n v="0.1028230170338644"/>
    <n v="0.10114717862272975"/>
    <n v="0.10402332399761252"/>
    <n v="9.8139852158912771E-2"/>
    <n v="9.6693580653413005E-2"/>
    <n v="0.10723070162205416"/>
    <n v="9.8002112015531842E-2"/>
    <n v="8.9393353054223704E-2"/>
    <n v="0.10358058782245951"/>
    <n v="9.8966293019198334E-2"/>
    <n v="12"/>
    <x v="39"/>
    <n v="148.37142857142857"/>
  </r>
  <r>
    <x v="0"/>
    <x v="4"/>
    <s v="December"/>
    <n v="142.80000000000001"/>
    <n v="165.3"/>
    <n v="149.5"/>
    <n v="148.69999999999999"/>
    <n v="127.5"/>
    <n v="144.30000000000001"/>
    <n v="209.5"/>
    <n v="138.80000000000001"/>
    <n v="113.6"/>
    <n v="149.1"/>
    <n v="139.30000000000001"/>
    <n v="158.30000000000001"/>
    <n v="154.30000000000001"/>
    <n v="167.8"/>
    <n v="152.6"/>
    <n v="147.30000000000001"/>
    <n v="151.9"/>
    <n v="140.85"/>
    <n v="149.9"/>
    <n v="151.19999999999999"/>
    <n v="154.80000000000001"/>
    <n v="135"/>
    <n v="149.5"/>
    <n v="161.1"/>
    <n v="140.6"/>
    <n v="147.1"/>
    <n v="152.30000000000001"/>
    <x v="111"/>
    <n v="150.6"/>
    <n v="146.02499999999998"/>
    <n v="9.8316545274856837E-2"/>
    <n v="0.10139682738156783"/>
    <n v="0.10141606411603596"/>
    <n v="9.9040327409220627E-2"/>
    <n v="9.4663970317718699E-2"/>
    <n v="0.1084663272986094"/>
    <n v="0.10065621310454442"/>
    <n v="9.0893570361963189E-2"/>
    <n v="0.10422462734838447"/>
    <n v="0.1009255273870984"/>
    <n v="12"/>
    <x v="39"/>
    <n v="150.69285714285712"/>
  </r>
  <r>
    <x v="0"/>
    <x v="4"/>
    <s v="November"/>
    <n v="141.80000000000001"/>
    <n v="163.69999999999999"/>
    <n v="143.80000000000001"/>
    <n v="147.1"/>
    <n v="126"/>
    <n v="146.19999999999999"/>
    <n v="191.4"/>
    <n v="136.19999999999999"/>
    <n v="113.8"/>
    <n v="147.30000000000001"/>
    <n v="138.69999999999999"/>
    <n v="157.69999999999999"/>
    <n v="150.9"/>
    <n v="167.2"/>
    <n v="152.30000000000001"/>
    <n v="147"/>
    <n v="151.5"/>
    <n v="140.85"/>
    <n v="148.4"/>
    <n v="150.9"/>
    <n v="154.30000000000001"/>
    <n v="132.1"/>
    <n v="149.1"/>
    <n v="160.80000000000001"/>
    <n v="140.6"/>
    <n v="146.1"/>
    <n v="149.9"/>
    <x v="100"/>
    <n v="150.26666666666668"/>
    <n v="145.875"/>
    <n v="9.8862956989550957E-2"/>
    <n v="0.10183929394090735"/>
    <n v="0.10029343826218715"/>
    <n v="9.9015444840948721E-2"/>
    <n v="9.5287964029003358E-2"/>
    <n v="0.10897798446560271"/>
    <n v="0.10104861619291892"/>
    <n v="8.9527311865087791E-2"/>
    <n v="0.10457277986966729"/>
    <n v="0.10057420954412588"/>
    <n v="11"/>
    <x v="40"/>
    <n v="150.25"/>
  </r>
  <r>
    <x v="1"/>
    <x v="4"/>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x v="112"/>
    <n v="141.03333333333333"/>
    <n v="146.30000000000001"/>
    <n v="0.10463470828941342"/>
    <n v="0.10086795415185876"/>
    <n v="0.10696934659076393"/>
    <n v="9.7482643471271696E-2"/>
    <n v="9.9985866157621298E-2"/>
    <n v="0.10856834393939137"/>
    <n v="9.7768726063997349E-2"/>
    <n v="8.7040628836784775E-2"/>
    <n v="0.10213148560306382"/>
    <n v="9.4550296895833566E-2"/>
    <n v="11"/>
    <x v="40"/>
    <n v="142.81428571428572"/>
  </r>
  <r>
    <x v="2"/>
    <x v="4"/>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x v="113"/>
    <n v="146.5"/>
    <n v="149.4"/>
    <n v="0.10357839690195807"/>
    <n v="0.10156783899689997"/>
    <n v="0.10294452642942743"/>
    <n v="9.7962700684382023E-2"/>
    <n v="9.7269404855051658E-2"/>
    <n v="0.10780750146087335"/>
    <n v="9.8517337347846318E-2"/>
    <n v="8.7771251993225496E-2"/>
    <n v="0.10392504481662325"/>
    <n v="9.8655996513712402E-2"/>
    <n v="11"/>
    <x v="40"/>
    <n v="148.01428571428573"/>
  </r>
  <r>
    <x v="1"/>
    <x v="4"/>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x v="114"/>
    <n v="140.73333333333335"/>
    <n v="145.85"/>
    <n v="0.10486949733447917"/>
    <n v="0.1011904965709453"/>
    <n v="0.10641026079989591"/>
    <n v="9.7787121271780381E-2"/>
    <n v="0.10030370159862767"/>
    <n v="0.10907578159506678"/>
    <n v="9.793092586188594E-2"/>
    <n v="8.7361288489127331E-2"/>
    <n v="0.10238886815515828"/>
    <n v="9.2682058323033029E-2"/>
    <n v="10"/>
    <x v="41"/>
    <n v="142.07142857142856"/>
  </r>
  <r>
    <x v="2"/>
    <x v="4"/>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x v="115"/>
    <n v="146.13333333333335"/>
    <n v="149"/>
    <n v="0.10374926432189131"/>
    <n v="0.10175319346469162"/>
    <n v="0.10209305602758691"/>
    <n v="9.8178834022729353E-2"/>
    <n v="9.7482530235334111E-2"/>
    <n v="0.10820560856122087"/>
    <n v="9.8666246673906027E-2"/>
    <n v="8.7943168348019268E-2"/>
    <n v="0.10402778583684941"/>
    <n v="9.7900312507771259E-2"/>
    <n v="10"/>
    <x v="41"/>
    <n v="147.48571428571429"/>
  </r>
  <r>
    <x v="0"/>
    <x v="4"/>
    <s v="October"/>
    <n v="141"/>
    <n v="161.6"/>
    <n v="141.19999999999999"/>
    <n v="146.5"/>
    <n v="125.6"/>
    <n v="145.69999999999999"/>
    <n v="178.8"/>
    <n v="133.1"/>
    <n v="113.6"/>
    <n v="145.5"/>
    <n v="138.6"/>
    <n v="157.4"/>
    <n v="148.30000000000001"/>
    <n v="166.3"/>
    <n v="151.69999999999999"/>
    <n v="146.69999999999999"/>
    <n v="151"/>
    <n v="140.85"/>
    <n v="147.69999999999999"/>
    <n v="150.6"/>
    <n v="153.69999999999999"/>
    <n v="131.69999999999999"/>
    <n v="148.69999999999999"/>
    <n v="160.69999999999999"/>
    <n v="140.30000000000001"/>
    <n v="145.69999999999999"/>
    <n v="148.30000000000001"/>
    <x v="116"/>
    <n v="149.79999999999998"/>
    <n v="145.72499999999999"/>
    <n v="9.9134820732231732E-2"/>
    <n v="0.10190699019171942"/>
    <n v="9.9283026110872169E-2"/>
    <n v="9.9117813557633647E-2"/>
    <n v="9.5444263844447513E-2"/>
    <n v="0.10932211831648406"/>
    <n v="0.10115867450940373"/>
    <n v="8.9593795782706598E-2"/>
    <n v="0.10456010942902053"/>
    <n v="0.10047838752548037"/>
    <n v="10"/>
    <x v="41"/>
    <n v="149.89285714285714"/>
  </r>
  <r>
    <x v="2"/>
    <x v="4"/>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x v="117"/>
    <n v="145.89999999999998"/>
    <n v="148.39999999999998"/>
    <n v="0.10377000379597626"/>
    <n v="0.10202185683175832"/>
    <n v="0.1011028309991409"/>
    <n v="9.8385711146185037E-2"/>
    <n v="9.7686452360497875E-2"/>
    <n v="0.10852496353864903"/>
    <n v="9.8805266417597362E-2"/>
    <n v="8.8176532875152341E-2"/>
    <n v="0.10418955906738858"/>
    <n v="9.733682296765428E-2"/>
    <n v="9"/>
    <x v="42"/>
    <n v="146.98571428571427"/>
  </r>
  <r>
    <x v="0"/>
    <x v="4"/>
    <s v="September"/>
    <n v="140.1"/>
    <n v="161.9"/>
    <n v="138.30000000000001"/>
    <n v="145.69999999999999"/>
    <n v="125.1"/>
    <n v="143.80000000000001"/>
    <n v="163.4"/>
    <n v="132.19999999999999"/>
    <n v="112.8"/>
    <n v="144.19999999999999"/>
    <n v="138.5"/>
    <n v="157.19999999999999"/>
    <n v="145.5"/>
    <n v="165.7"/>
    <n v="151.69999999999999"/>
    <n v="146.6"/>
    <n v="151"/>
    <n v="140.85"/>
    <n v="146.9"/>
    <n v="150.30000000000001"/>
    <n v="153.4"/>
    <n v="131.6"/>
    <n v="148.30000000000001"/>
    <n v="160.19999999999999"/>
    <n v="140.19999999999999"/>
    <n v="145.4"/>
    <n v="146.69999999999999"/>
    <x v="118"/>
    <n v="149.76666666666665"/>
    <n v="145.57499999999999"/>
    <n v="9.9353180190625362E-2"/>
    <n v="0.10221394209089925"/>
    <n v="9.8200263082846725E-2"/>
    <n v="9.923374480313879E-2"/>
    <n v="9.5684807574966002E-2"/>
    <n v="0.1093345661448613"/>
    <n v="0.10121295979577362"/>
    <n v="8.9815411389911032E-2"/>
    <n v="0.10469364823109691"/>
    <n v="0.10025747669588093"/>
    <n v="9"/>
    <x v="42"/>
    <n v="149.65"/>
  </r>
  <r>
    <x v="1"/>
    <x v="4"/>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x v="119"/>
    <n v="140.26666666666668"/>
    <n v="145.25"/>
    <n v="0.10499638566658635"/>
    <n v="0.10139410003098001"/>
    <n v="0.10551271901139377"/>
    <n v="9.8093008846511301E-2"/>
    <n v="0.10047846889952154"/>
    <n v="0.1095865891019242"/>
    <n v="9.8237582183057393E-2"/>
    <n v="8.7611441946920943E-2"/>
    <n v="0.10257478227943961"/>
    <n v="9.1514922033664931E-2"/>
    <n v="9"/>
    <x v="42"/>
    <n v="141.35714285714286"/>
  </r>
  <r>
    <x v="1"/>
    <x v="4"/>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x v="120"/>
    <n v="140.06666666666666"/>
    <n v="144.85"/>
    <n v="0.10509958521277496"/>
    <n v="0.10162891659511687"/>
    <n v="0.10557120917127205"/>
    <n v="9.8170340899471548E-2"/>
    <n v="9.9984279201383433E-2"/>
    <n v="0.10992466109586059"/>
    <n v="9.8242898431548015E-2"/>
    <n v="8.764949874838257E-2"/>
    <n v="0.10266890788821302"/>
    <n v="9.1059702755976926E-2"/>
    <n v="8"/>
    <x v="43"/>
    <n v="140.98571428571429"/>
  </r>
  <r>
    <x v="2"/>
    <x v="4"/>
    <s v="August"/>
    <n v="140.1"/>
    <n v="160.6"/>
    <n v="138.5"/>
    <n v="144.69999999999999"/>
    <n v="122.9"/>
    <n v="149.4"/>
    <n v="167.4"/>
    <n v="130.9"/>
    <n v="112"/>
    <n v="142.6"/>
    <n v="134.9"/>
    <n v="156.6"/>
    <n v="145.9"/>
    <n v="165.8"/>
    <n v="149.1"/>
    <n v="140.6"/>
    <n v="147.9"/>
    <n v="151.6"/>
    <n v="138.5"/>
    <n v="144.5"/>
    <n v="148.5"/>
    <n v="125.8"/>
    <n v="140.9"/>
    <n v="154.9"/>
    <n v="138.4"/>
    <n v="140.19999999999999"/>
    <n v="145"/>
    <x v="121"/>
    <n v="145.86666666666667"/>
    <n v="148.05000000000001"/>
    <n v="0.10390550065336759"/>
    <n v="0.10237317817384591"/>
    <n v="0.1008776180656977"/>
    <n v="9.8396157997988079E-2"/>
    <n v="9.713286923624502E-2"/>
    <n v="0.10871301621888985"/>
    <n v="9.888743696088817E-2"/>
    <n v="8.8289847904043525E-2"/>
    <n v="0.10422132284380337"/>
    <n v="9.720305194523074E-2"/>
    <n v="8"/>
    <x v="43"/>
    <n v="146.72857142857143"/>
  </r>
  <r>
    <x v="0"/>
    <x v="4"/>
    <s v="August"/>
    <n v="139.19999999999999"/>
    <n v="161.9"/>
    <n v="137.1"/>
    <n v="144.6"/>
    <n v="124.7"/>
    <n v="145.5"/>
    <n v="156.19999999999999"/>
    <n v="131.5"/>
    <n v="111.7"/>
    <n v="142.69999999999999"/>
    <n v="138.5"/>
    <n v="156.9"/>
    <n v="144"/>
    <n v="165.1"/>
    <n v="151.80000000000001"/>
    <n v="146.6"/>
    <n v="151.1"/>
    <n v="140.85"/>
    <n v="146.4"/>
    <n v="150.19999999999999"/>
    <n v="152.69999999999999"/>
    <n v="131.4"/>
    <n v="148"/>
    <n v="159.69999999999999"/>
    <n v="138.80000000000001"/>
    <n v="144.9"/>
    <n v="145.69999999999999"/>
    <x v="122"/>
    <n v="149.83333333333334"/>
    <n v="145.52499999999998"/>
    <n v="9.9668724872051778E-2"/>
    <n v="0.10261946247491791"/>
    <n v="9.782196591364016E-2"/>
    <n v="9.9240668159837175E-2"/>
    <n v="9.5062834648622502E-2"/>
    <n v="0.10937705110507932"/>
    <n v="0.10136382945242167"/>
    <n v="8.9994643176001407E-2"/>
    <n v="0.1045828159282756"/>
    <n v="0.10026800426915226"/>
    <n v="8"/>
    <x v="43"/>
    <n v="149.52142857142857"/>
  </r>
  <r>
    <x v="0"/>
    <x v="4"/>
    <s v="July"/>
    <n v="138.4"/>
    <n v="164"/>
    <n v="138.4"/>
    <n v="143.9"/>
    <n v="124.4"/>
    <n v="146.4"/>
    <n v="150.1"/>
    <n v="130.6"/>
    <n v="110.8"/>
    <n v="141.69999999999999"/>
    <n v="138.5"/>
    <n v="156.69999999999999"/>
    <n v="143"/>
    <n v="164.5"/>
    <n v="151.6"/>
    <n v="146.6"/>
    <n v="150.9"/>
    <n v="140.85"/>
    <n v="146.80000000000001"/>
    <n v="150"/>
    <n v="152.19999999999999"/>
    <n v="131.19999999999999"/>
    <n v="147.5"/>
    <n v="159.1"/>
    <n v="136.1"/>
    <n v="144.19999999999999"/>
    <n v="144.9"/>
    <x v="123"/>
    <n v="149.70000000000002"/>
    <n v="145.42500000000001"/>
    <n v="9.9985021522353543E-2"/>
    <n v="0.10292424082445471"/>
    <n v="9.7797181590714322E-2"/>
    <n v="9.9142789090757286E-2"/>
    <n v="9.35737419920393E-2"/>
    <n v="0.10938708560568297"/>
    <n v="0.10141166013097573"/>
    <n v="9.0204812265654341E-2"/>
    <n v="0.10464308252158987"/>
    <n v="0.1009303844557779"/>
    <n v="7"/>
    <x v="44"/>
    <n v="149.40714285714284"/>
  </r>
  <r>
    <x v="1"/>
    <x v="4"/>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x v="124"/>
    <n v="139.76666666666668"/>
    <n v="144.14999999999998"/>
    <n v="0.10507088549159943"/>
    <n v="0.10187587533039115"/>
    <n v="0.10540930318928309"/>
    <n v="9.8037003805897499E-2"/>
    <n v="9.8474343599827152E-2"/>
    <n v="0.10962650834503335"/>
    <n v="9.8401453634172215E-2"/>
    <n v="8.7905298579860514E-2"/>
    <n v="0.10262907164215888"/>
    <n v="9.2570256381776822E-2"/>
    <n v="7"/>
    <x v="44"/>
    <n v="140.71428571428572"/>
  </r>
  <r>
    <x v="2"/>
    <x v="4"/>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x v="125"/>
    <n v="145.66666666666666"/>
    <n v="147.39999999999998"/>
    <n v="0.10390403797126307"/>
    <n v="0.102682190396748"/>
    <n v="0.10083767050060506"/>
    <n v="9.8335232679723217E-2"/>
    <n v="9.56565668432863E-2"/>
    <n v="0.10855645758191666"/>
    <n v="9.9040144741943448E-2"/>
    <n v="8.8536955014861904E-2"/>
    <n v="0.10425649400237322"/>
    <n v="9.8194250267279168E-2"/>
    <n v="7"/>
    <x v="44"/>
    <n v="146.44285714285715"/>
  </r>
  <r>
    <x v="2"/>
    <x v="4"/>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x v="126"/>
    <n v="145.46666666666667"/>
    <n v="146.60000000000002"/>
    <n v="0.10385203126423133"/>
    <n v="0.10304917335996032"/>
    <n v="0.10013797011884319"/>
    <n v="9.8184798998788944E-2"/>
    <n v="9.5138661656113691E-2"/>
    <n v="0.10803161505999506"/>
    <n v="9.8893203031969246E-2"/>
    <n v="8.8267142534264806E-2"/>
    <n v="0.10441875449077555"/>
    <n v="0.10002664948505771"/>
    <n v="6"/>
    <x v="45"/>
    <n v="146.18571428571428"/>
  </r>
  <r>
    <x v="0"/>
    <x v="4"/>
    <s v="June"/>
    <n v="137.80000000000001"/>
    <n v="163.5"/>
    <n v="136.19999999999999"/>
    <n v="143.19999999999999"/>
    <n v="124.3"/>
    <n v="143.30000000000001"/>
    <n v="140.6"/>
    <n v="128.69999999999999"/>
    <n v="110.6"/>
    <n v="140.4"/>
    <n v="138"/>
    <n v="156.6"/>
    <n v="141"/>
    <n v="164.2"/>
    <n v="151.4"/>
    <n v="146.5"/>
    <n v="150.69999999999999"/>
    <n v="140.85"/>
    <n v="147.80000000000001"/>
    <n v="149.6"/>
    <n v="151.69999999999999"/>
    <n v="130.19999999999999"/>
    <n v="146.4"/>
    <n v="157.69999999999999"/>
    <n v="134.80000000000001"/>
    <n v="143.30000000000001"/>
    <n v="143.6"/>
    <x v="127"/>
    <n v="149.53333333333333"/>
    <n v="145.22499999999999"/>
    <n v="0.10034490502156376"/>
    <n v="0.10332179811252311"/>
    <n v="9.7149207409412047E-2"/>
    <n v="9.9014803853262792E-2"/>
    <n v="9.3141629863362344E-2"/>
    <n v="0.1089646515538"/>
    <n v="0.10115678495546178"/>
    <n v="8.9963206292357392E-2"/>
    <n v="0.10481888167857616"/>
    <n v="0.10212413125968067"/>
    <n v="6"/>
    <x v="45"/>
    <n v="149.22142857142856"/>
  </r>
  <r>
    <x v="1"/>
    <x v="4"/>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x v="128"/>
    <n v="139.46666666666667"/>
    <n v="143.4"/>
    <n v="0.10493011975985311"/>
    <n v="0.10205198072413423"/>
    <n v="0.10453289475976599"/>
    <n v="9.7759163179333156E-2"/>
    <n v="9.7832336205664991E-2"/>
    <n v="0.10895463620810411"/>
    <n v="9.8271374363656031E-2"/>
    <n v="8.7514939492876087E-2"/>
    <n v="0.1026617559435662"/>
    <n v="9.5490799363046247E-2"/>
    <n v="6"/>
    <x v="45"/>
    <n v="140.65714285714284"/>
  </r>
  <r>
    <x v="1"/>
    <x v="4"/>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x v="129"/>
    <n v="139.29999999999998"/>
    <n v="143.64999999999998"/>
    <n v="0.1055152729829274"/>
    <n v="0.10232006631758989"/>
    <n v="0.10376289362952393"/>
    <n v="9.7912884710227813E-2"/>
    <n v="9.7398713522702227E-2"/>
    <n v="0.10871047964826493"/>
    <n v="9.8427055897753385E-2"/>
    <n v="8.8217085174031193E-2"/>
    <n v="0.10268733145153675"/>
    <n v="9.5048216665442442E-2"/>
    <n v="5"/>
    <x v="46"/>
    <n v="140.37142857142859"/>
  </r>
  <r>
    <x v="2"/>
    <x v="4"/>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x v="130"/>
    <n v="145.36666666666667"/>
    <n v="146.89999999999998"/>
    <n v="0.10444506891566589"/>
    <n v="0.10335487759047403"/>
    <n v="9.9336066711583459E-2"/>
    <n v="9.8259418135772825E-2"/>
    <n v="9.4846645291693898E-2"/>
    <n v="0.10778674232549321"/>
    <n v="9.8970412478289263E-2"/>
    <n v="8.880319338030411E-2"/>
    <n v="0.10444506891566592"/>
    <n v="9.9752506255057369E-2"/>
    <n v="5"/>
    <x v="46"/>
    <n v="145.97142857142856"/>
  </r>
  <r>
    <x v="0"/>
    <x v="4"/>
    <s v="May"/>
    <n v="137.4"/>
    <n v="159.5"/>
    <n v="134.5"/>
    <n v="142.6"/>
    <n v="124"/>
    <n v="143.69999999999999"/>
    <n v="133.4"/>
    <n v="125.1"/>
    <n v="109.3"/>
    <n v="139.30000000000001"/>
    <n v="137.69999999999999"/>
    <n v="156.4"/>
    <n v="139.19999999999999"/>
    <n v="163.30000000000001"/>
    <n v="151.30000000000001"/>
    <n v="146.6"/>
    <n v="150.69999999999999"/>
    <n v="140.85"/>
    <n v="146.9"/>
    <n v="149.5"/>
    <n v="151.30000000000001"/>
    <n v="130.19999999999999"/>
    <n v="145.9"/>
    <n v="156.69999999999999"/>
    <n v="133.9"/>
    <n v="142.9"/>
    <n v="142.4"/>
    <x v="131"/>
    <n v="149.53333333333333"/>
    <n v="145.17500000000001"/>
    <n v="0.10071347694269474"/>
    <n v="0.10373702027780921"/>
    <n v="9.6399910474707029E-2"/>
    <n v="9.9135222008686602E-2"/>
    <n v="9.2891576115907176E-2"/>
    <n v="0.10870881237761504"/>
    <n v="0.10121643730627974"/>
    <n v="9.0324743915542294E-2"/>
    <n v="0.10496262484194739"/>
    <n v="0.10191017573881078"/>
    <n v="5"/>
    <x v="46"/>
    <n v="148.93571428571431"/>
  </r>
  <r>
    <x v="2"/>
    <x v="4"/>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x v="132"/>
    <n v="144.83333333333334"/>
    <n v="146.4"/>
    <n v="0.104688580077706"/>
    <n v="0.10356827878816771"/>
    <n v="9.8395823898171753E-2"/>
    <n v="9.846733249112101E-2"/>
    <n v="9.5392462994303151E-2"/>
    <n v="0.10747741520272687"/>
    <n v="9.846733249112101E-2"/>
    <n v="8.9099706814768906E-2"/>
    <n v="0.10454556289180748"/>
    <n v="9.9897504350106053E-2"/>
    <n v="3"/>
    <x v="47"/>
    <n v="145.32857142857142"/>
  </r>
  <r>
    <x v="0"/>
    <x v="4"/>
    <s v="March"/>
    <n v="136.9"/>
    <n v="154.1"/>
    <n v="138.69999999999999"/>
    <n v="142.5"/>
    <n v="124.1"/>
    <n v="136.1"/>
    <n v="128.19999999999999"/>
    <n v="122.3"/>
    <n v="108.3"/>
    <n v="138.9"/>
    <n v="137.4"/>
    <n v="156.4"/>
    <n v="137.30000000000001"/>
    <n v="162.9"/>
    <n v="150.80000000000001"/>
    <n v="146.1"/>
    <n v="150.1"/>
    <n v="140.85"/>
    <n v="146.4"/>
    <n v="150"/>
    <n v="150.4"/>
    <n v="129.9"/>
    <n v="143.80000000000001"/>
    <n v="155.5"/>
    <n v="134"/>
    <n v="142.4"/>
    <n v="141.19999999999999"/>
    <x v="133"/>
    <n v="149"/>
    <n v="145.42500000000001"/>
    <n v="0.10139369959137733"/>
    <n v="0.10388627291810364"/>
    <n v="9.5823383375706242E-2"/>
    <n v="9.9284599084147371E-2"/>
    <n v="9.3427923295475751E-2"/>
    <n v="0.10841822442124238"/>
    <n v="0.10026071171559264"/>
    <n v="9.0569307731957469E-2"/>
    <n v="0.10486238554954891"/>
    <n v="0.10207349231684813"/>
    <n v="3"/>
    <x v="47"/>
    <n v="148.53571428571428"/>
  </r>
  <r>
    <x v="1"/>
    <x v="4"/>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x v="134"/>
    <n v="138.76666666666665"/>
    <n v="142.9"/>
    <n v="0.10564150043388033"/>
    <n v="0.10258585638120919"/>
    <n v="0.10210885203888553"/>
    <n v="9.8174886337433931E-2"/>
    <n v="9.7953105720707798E-2"/>
    <n v="0.10845072157907798"/>
    <n v="9.832274008191802E-2"/>
    <n v="8.8638319818210312E-2"/>
    <n v="0.10290620616092472"/>
    <n v="9.5217811447752196E-2"/>
    <n v="3"/>
    <x v="47"/>
    <n v="139.65714285714284"/>
  </r>
  <r>
    <x v="0"/>
    <x v="4"/>
    <s v="February"/>
    <n v="136.80000000000001"/>
    <n v="153"/>
    <n v="139.1"/>
    <n v="142.5"/>
    <n v="124.1"/>
    <n v="135.80000000000001"/>
    <n v="128.69999999999999"/>
    <n v="121.5"/>
    <n v="108.3"/>
    <n v="139.19999999999999"/>
    <n v="137.4"/>
    <n v="156.19999999999999"/>
    <n v="137.19999999999999"/>
    <n v="162.80000000000001"/>
    <n v="150.5"/>
    <n v="146.1"/>
    <n v="149.9"/>
    <n v="140.85"/>
    <n v="145.30000000000001"/>
    <n v="150.1"/>
    <n v="149.9"/>
    <n v="129.19999999999999"/>
    <n v="143.4"/>
    <n v="155.5"/>
    <n v="134.9"/>
    <n v="142.19999999999999"/>
    <n v="141"/>
    <x v="135"/>
    <n v="148.83333333333334"/>
    <n v="145.47499999999999"/>
    <n v="0.10158606912730865"/>
    <n v="0.10393121353117563"/>
    <n v="9.5897368965783839E-2"/>
    <n v="9.9299116892272152E-2"/>
    <n v="9.4201482902725134E-2"/>
    <n v="0.10858658703761125"/>
    <n v="0.10013708412343057"/>
    <n v="9.0221138554722649E-2"/>
    <n v="0.10467607329220532"/>
    <n v="0.10146386557276474"/>
    <n v="2"/>
    <x v="48"/>
    <n v="148.32142857142858"/>
  </r>
  <r>
    <x v="1"/>
    <x v="4"/>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x v="136"/>
    <n v="138.5"/>
    <n v="142.55000000000001"/>
    <n v="0.10581654294803819"/>
    <n v="0.1028101802757158"/>
    <n v="0.10176564156945918"/>
    <n v="9.8282078472958653E-2"/>
    <n v="9.8727465535524916E-2"/>
    <n v="0.10882290562036055"/>
    <n v="9.8133616118769876E-2"/>
    <n v="8.8483563096500531E-2"/>
    <n v="0.1028101802757158"/>
    <n v="9.4347826086956521E-2"/>
    <n v="2"/>
    <x v="48"/>
    <n v="139.18571428571428"/>
  </r>
  <r>
    <x v="2"/>
    <x v="4"/>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x v="137"/>
    <n v="144.63333333333333"/>
    <n v="146.1"/>
    <n v="0.10475281633517076"/>
    <n v="0.10370122520609307"/>
    <n v="9.835620600943358E-2"/>
    <n v="9.8514968955869017E-2"/>
    <n v="9.6148888915444208E-2"/>
    <n v="0.10776419093207507"/>
    <n v="9.8299870770375844E-2"/>
    <n v="8.883555060867665E-2"/>
    <n v="0.10439431935934883"/>
    <n v="9.9231962907512905E-2"/>
    <n v="2"/>
    <x v="48"/>
    <n v="144.97142857142856"/>
  </r>
  <r>
    <x v="2"/>
    <x v="4"/>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x v="138"/>
    <n v="144.33333333333334"/>
    <n v="145.64999999999998"/>
    <n v="0.10467999472946588"/>
    <n v="0.10373369428506404"/>
    <n v="9.8391289244516858E-2"/>
    <n v="9.8391289244516858E-2"/>
    <n v="9.5444581531569317E-2"/>
    <n v="0.10795012158163937"/>
    <n v="9.8247547404860872E-2"/>
    <n v="8.8616844147910365E-2"/>
    <n v="0.10428470467041194"/>
    <n v="0.10025993316004457"/>
    <n v="1"/>
    <x v="49"/>
    <n v="144.85714285714286"/>
  </r>
  <r>
    <x v="0"/>
    <x v="4"/>
    <s v="January"/>
    <n v="136.6"/>
    <n v="152.5"/>
    <n v="138.19999999999999"/>
    <n v="142.4"/>
    <n v="123.9"/>
    <n v="135.5"/>
    <n v="131.69999999999999"/>
    <n v="121.3"/>
    <n v="108.4"/>
    <n v="138.9"/>
    <n v="137"/>
    <n v="155.80000000000001"/>
    <n v="137.4"/>
    <n v="162.69999999999999"/>
    <n v="150.6"/>
    <n v="145.1"/>
    <n v="149.9"/>
    <n v="140.85"/>
    <n v="146.19999999999999"/>
    <n v="150.1"/>
    <n v="149.6"/>
    <n v="128.6"/>
    <n v="142.9"/>
    <n v="155.19999999999999"/>
    <n v="133.5"/>
    <n v="141.69999999999999"/>
    <n v="141"/>
    <x v="139"/>
    <n v="148.53333333333333"/>
    <n v="145.47499999999999"/>
    <n v="0.10180085690031349"/>
    <n v="0.1039410249980631"/>
    <n v="9.6085133537658726E-2"/>
    <n v="9.9159178022164771E-2"/>
    <n v="9.3420961651086792E-2"/>
    <n v="0.10860624155991512"/>
    <n v="9.9998917003298146E-2"/>
    <n v="8.9992027478125541E-2"/>
    <n v="0.10468745964795942"/>
    <n v="0.10230819920141489"/>
    <n v="1"/>
    <x v="49"/>
    <n v="148.27857142857141"/>
  </r>
  <r>
    <x v="1"/>
    <x v="4"/>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x v="140"/>
    <n v="138.16666666666666"/>
    <n v="142"/>
    <n v="0.10569220954136245"/>
    <n v="0.10283901609130219"/>
    <n v="0.10149216700928618"/>
    <n v="9.8100233926419519E-2"/>
    <n v="9.8025802792939681E-2"/>
    <n v="0.10911604168143475"/>
    <n v="9.8174665059899358E-2"/>
    <n v="8.8275324307081598E-2"/>
    <n v="0.10256610193520949"/>
    <n v="9.5718437655064867E-2"/>
    <n v="1"/>
    <x v="49"/>
    <n v="139.1"/>
  </r>
  <r>
    <x v="2"/>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x v="141"/>
    <n v="144.76666666666668"/>
    <n v="144.85"/>
    <n v="0.10388920670429221"/>
    <n v="0.10382943843441286"/>
    <n v="9.8658629257421929E-2"/>
    <n v="9.8115591833946664E-2"/>
    <n v="9.4816383336606344E-2"/>
    <n v="0.10765460770669147"/>
    <n v="9.8115591833946664E-2"/>
    <n v="8.864829788505707E-2"/>
    <n v="0.10392506766621983"/>
    <n v="0.10234718534140488"/>
    <n v="12"/>
    <x v="50"/>
    <n v="145.25714285714284"/>
  </r>
  <r>
    <x v="1"/>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x v="142"/>
    <n v="137.93333333333334"/>
    <n v="141.35"/>
    <n v="0.10509312284142829"/>
    <n v="0.10255284572994465"/>
    <n v="0.1014977898704016"/>
    <n v="9.7918388950945207E-2"/>
    <n v="9.7249242784993431E-2"/>
    <n v="0.10892212590215242"/>
    <n v="9.7918388950945207E-2"/>
    <n v="8.832729390563622E-2"/>
    <n v="0.10208196509464525"/>
    <n v="9.843883596890772E-2"/>
    <n v="12"/>
    <x v="50"/>
    <n v="139.34285714285716"/>
  </r>
  <r>
    <x v="0"/>
    <x v="5"/>
    <s v="December"/>
    <n v="137.1"/>
    <n v="151.9"/>
    <n v="137.4"/>
    <n v="142.4"/>
    <n v="124.2"/>
    <n v="140.19999999999999"/>
    <n v="136.6"/>
    <n v="120.9"/>
    <n v="109.9"/>
    <n v="140.19999999999999"/>
    <n v="137.80000000000001"/>
    <n v="156"/>
    <n v="138.5"/>
    <n v="162.4"/>
    <n v="151.6"/>
    <n v="145.9"/>
    <n v="150.80000000000001"/>
    <n v="140.85"/>
    <n v="149"/>
    <n v="149.5"/>
    <n v="149.6"/>
    <n v="128.9"/>
    <n v="143.30000000000001"/>
    <n v="155.1"/>
    <n v="133.19999999999999"/>
    <n v="141.6"/>
    <n v="141.9"/>
    <x v="143"/>
    <n v="149.43333333333334"/>
    <n v="145.17500000000001"/>
    <n v="0.10126898684508827"/>
    <n v="0.10423945078388858"/>
    <n v="9.6438349793927708E-2"/>
    <n v="9.8775192266330275E-2"/>
    <n v="9.2915646962395432E-2"/>
    <n v="0.10819231864765413"/>
    <n v="9.9961052625459956E-2"/>
    <n v="8.9916117818714503E-2"/>
    <n v="0.10435571160341109"/>
    <n v="0.10393717265313003"/>
    <n v="12"/>
    <x v="50"/>
    <n v="148.96428571428572"/>
  </r>
  <r>
    <x v="1"/>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x v="144"/>
    <n v="137.70000000000002"/>
    <n v="141.35000000000002"/>
    <n v="0.10461624673553326"/>
    <n v="0.10191480138297085"/>
    <n v="0.10160289281975912"/>
    <n v="9.7844130303767193E-2"/>
    <n v="9.6585922879286093E-2"/>
    <n v="0.10813182630393638"/>
    <n v="9.7178020490806621E-2"/>
    <n v="8.9702788145359952E-2"/>
    <n v="0.10124869157001025"/>
    <n v="0.10117467936857016"/>
    <n v="11"/>
    <x v="51"/>
    <n v="139.80000000000001"/>
  </r>
  <r>
    <x v="0"/>
    <x v="5"/>
    <s v="November"/>
    <n v="137.1"/>
    <n v="150.80000000000001"/>
    <n v="136.69999999999999"/>
    <n v="141.9"/>
    <n v="122.8"/>
    <n v="143.9"/>
    <n v="147.5"/>
    <n v="121"/>
    <n v="111.6"/>
    <n v="140.6"/>
    <n v="137.5"/>
    <n v="156.1"/>
    <n v="140"/>
    <n v="161.9"/>
    <n v="151.69999999999999"/>
    <n v="145.5"/>
    <n v="150.80000000000001"/>
    <n v="140.85"/>
    <n v="150.30000000000001"/>
    <n v="148"/>
    <n v="145.4"/>
    <n v="130.30000000000001"/>
    <n v="143.1"/>
    <n v="150.19999999999999"/>
    <n v="133.1"/>
    <n v="140.1"/>
    <n v="142.4"/>
    <x v="145"/>
    <n v="149.33333333333334"/>
    <n v="144.42500000000001"/>
    <n v="0.10131524334381975"/>
    <n v="0.10475847675963591"/>
    <n v="9.7679930450526545E-2"/>
    <n v="9.828122272784591E-2"/>
    <n v="9.3370669129737974E-2"/>
    <n v="0.10536645006225878"/>
    <n v="0.10038574569846359"/>
    <n v="9.1406447690494816E-2"/>
    <n v="0.10199921330927049"/>
    <n v="0.10543660082794605"/>
    <n v="11"/>
    <x v="51"/>
    <n v="148.19285714285715"/>
  </r>
  <r>
    <x v="2"/>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x v="146"/>
    <n v="144.6"/>
    <n v="144.55000000000001"/>
    <n v="0.1037762940627468"/>
    <n v="0.10381219039414172"/>
    <n v="9.9396941632565169E-2"/>
    <n v="9.7853399382583112E-2"/>
    <n v="9.476631488261901E-2"/>
    <n v="0.10610955560341735"/>
    <n v="9.7996984708162829E-2"/>
    <n v="9.0099791801277918E-2"/>
    <n v="0.10201737382439516"/>
    <n v="0.10417115370809103"/>
    <n v="11"/>
    <x v="51"/>
    <n v="145.11428571428573"/>
  </r>
  <r>
    <x v="2"/>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x v="147"/>
    <n v="144.66666666666666"/>
    <n v="144.55000000000001"/>
    <n v="0.10375377043296963"/>
    <n v="0.10383751036067984"/>
    <n v="9.9401003170154434E-2"/>
    <n v="9.7832161259175099E-2"/>
    <n v="9.4745746780712486E-2"/>
    <n v="0.10608652556204021"/>
    <n v="9.7975715420964046E-2"/>
    <n v="9.0080236522571341E-2"/>
    <n v="0.10199523195105488"/>
    <n v="0.10429209853967822"/>
    <n v="10"/>
    <x v="52"/>
    <n v="145.17142857142858"/>
  </r>
  <r>
    <x v="1"/>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x v="148"/>
    <n v="137"/>
    <n v="140.69999999999999"/>
    <n v="0.10447705779706055"/>
    <n v="0.1017296156232928"/>
    <n v="0.10173491956571319"/>
    <n v="9.8388131898440118E-2"/>
    <n v="9.6828772826842199E-2"/>
    <n v="0.10804130710357009"/>
    <n v="9.7051538408499033E-2"/>
    <n v="9.1556654060963513E-2"/>
    <n v="0.10113557407220787"/>
    <n v="9.905642864341066E-2"/>
    <n v="10"/>
    <x v="52"/>
    <n v="138.75714285714284"/>
  </r>
  <r>
    <x v="0"/>
    <x v="5"/>
    <s v="October"/>
    <n v="139.30000000000001"/>
    <n v="147.6"/>
    <n v="134.6"/>
    <n v="141.9"/>
    <n v="123.5"/>
    <n v="144.5"/>
    <n v="147.6"/>
    <n v="121.4"/>
    <n v="112.3"/>
    <n v="139.5"/>
    <n v="134.6"/>
    <n v="155.19999999999999"/>
    <n v="140.19999999999999"/>
    <n v="159.6"/>
    <n v="150.69999999999999"/>
    <n v="144.5"/>
    <n v="149.80000000000001"/>
    <n v="140.85"/>
    <n v="149.69999999999999"/>
    <n v="147.5"/>
    <n v="144.80000000000001"/>
    <n v="130.80000000000001"/>
    <n v="140.1"/>
    <n v="148"/>
    <n v="134.4"/>
    <n v="139.80000000000001"/>
    <n v="142.19999999999999"/>
    <x v="149"/>
    <n v="148.33333333333334"/>
    <n v="144.17500000000001"/>
    <n v="0.10161696729062535"/>
    <n v="0.10454783063251438"/>
    <n v="9.7758095115031973E-2"/>
    <n v="9.853339363432928E-2"/>
    <n v="9.4727382721415274E-2"/>
    <n v="0.10431289168727277"/>
    <n v="9.8744838685046715E-2"/>
    <n v="9.2190042112805945E-2"/>
    <n v="0.10205747781295336"/>
    <n v="0.10551108030800495"/>
    <n v="10"/>
    <x v="52"/>
    <n v="147.29285714285714"/>
  </r>
  <r>
    <x v="0"/>
    <x v="5"/>
    <s v="September"/>
    <n v="139.4"/>
    <n v="147.19999999999999"/>
    <n v="136.6"/>
    <n v="143.69999999999999"/>
    <n v="124.6"/>
    <n v="150.1"/>
    <n v="149.4"/>
    <n v="125.4"/>
    <n v="114.4"/>
    <n v="138.69999999999999"/>
    <n v="133.1"/>
    <n v="155.9"/>
    <n v="141.30000000000001"/>
    <n v="157.69999999999999"/>
    <n v="152.1"/>
    <n v="146.1"/>
    <n v="151.30000000000001"/>
    <n v="140.85"/>
    <n v="149"/>
    <n v="144"/>
    <n v="140"/>
    <n v="129.9"/>
    <n v="140"/>
    <n v="147.6"/>
    <n v="132"/>
    <n v="137.4"/>
    <n v="142.1"/>
    <x v="150"/>
    <n v="149.83333333333334"/>
    <n v="142.42500000000001"/>
    <n v="0.10115557329270325"/>
    <n v="0.10641724930096567"/>
    <n v="9.9306419278550911E-2"/>
    <n v="9.7586629948516232E-2"/>
    <n v="9.3751347548792885E-2"/>
    <n v="0.10483105225910477"/>
    <n v="9.9433247400234875E-2"/>
    <n v="9.2259848837789371E-2"/>
    <n v="9.9433247400234875E-2"/>
    <n v="0.10582538473310713"/>
    <n v="9"/>
    <x v="53"/>
    <n v="147.27857142857144"/>
  </r>
  <r>
    <x v="2"/>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x v="151"/>
    <n v="144.43333333333331"/>
    <n v="142.5"/>
    <n v="0.10337983842689914"/>
    <n v="0.10478241869093659"/>
    <n v="0.10046240238507738"/>
    <n v="9.7721152534058345E-2"/>
    <n v="9.4964356842674374E-2"/>
    <n v="0.1060640868632467"/>
    <n v="9.7576058023985515E-2"/>
    <n v="9.1409541345889772E-2"/>
    <n v="0.10040540097040591"/>
    <n v="0.10323474391682631"/>
    <n v="9"/>
    <x v="53"/>
    <n v="143.82857142857142"/>
  </r>
  <r>
    <x v="1"/>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x v="152"/>
    <n v="136.4"/>
    <n v="140.10000000000002"/>
    <n v="0.10462641424890781"/>
    <n v="0.10186326126731637"/>
    <n v="0.1019752809827863"/>
    <n v="9.8502669803218687E-2"/>
    <n v="9.6560994735073374E-2"/>
    <n v="0.10843508457488515"/>
    <n v="9.7233113027892892E-2"/>
    <n v="9.1482767633770196E-2"/>
    <n v="0.10134050259512338"/>
    <n v="9.7979911131025707E-2"/>
    <n v="9"/>
    <x v="53"/>
    <n v="137.97142857142856"/>
  </r>
  <r>
    <x v="2"/>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x v="153"/>
    <n v="144.06666666666669"/>
    <n v="142"/>
    <n v="0.10347412105986367"/>
    <n v="0.10498008244618096"/>
    <n v="0.10183977126042723"/>
    <n v="9.7571724013491179E-2"/>
    <n v="9.4802698238649744E-2"/>
    <n v="0.10638888503338097"/>
    <n v="9.7353116715477375E-2"/>
    <n v="9.0576290477049681E-2"/>
    <n v="0.10034074978833259"/>
    <n v="0.10267256096714643"/>
    <n v="8"/>
    <x v="54"/>
    <n v="143.29999999999998"/>
  </r>
  <r>
    <x v="1"/>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x v="154"/>
    <n v="135.76666666666668"/>
    <n v="139.5"/>
    <n v="0.10465882722808621"/>
    <n v="0.10185792193548272"/>
    <n v="0.10341020937124318"/>
    <n v="9.8281766070819315E-2"/>
    <n v="9.6256111350275717E-2"/>
    <n v="0.10901023366480952"/>
    <n v="9.7381475083911054E-2"/>
    <n v="9.0554268433190005E-2"/>
    <n v="0.10120771177827119"/>
    <n v="9.7381475083911054E-2"/>
    <n v="8"/>
    <x v="54"/>
    <n v="137.34285714285716"/>
  </r>
  <r>
    <x v="0"/>
    <x v="5"/>
    <s v="August"/>
    <n v="139.19999999999999"/>
    <n v="148.80000000000001"/>
    <n v="139.1"/>
    <n v="143.5"/>
    <n v="125"/>
    <n v="154.4"/>
    <n v="156.30000000000001"/>
    <n v="126.8"/>
    <n v="115.4"/>
    <n v="138.6"/>
    <n v="133.80000000000001"/>
    <n v="155.19999999999999"/>
    <n v="142.69999999999999"/>
    <n v="156.4"/>
    <n v="152.1"/>
    <n v="145.80000000000001"/>
    <n v="151.30000000000001"/>
    <n v="140.85"/>
    <n v="147.69999999999999"/>
    <n v="143.80000000000001"/>
    <n v="139.4"/>
    <n v="128.30000000000001"/>
    <n v="138.6"/>
    <n v="146.9"/>
    <n v="131.30000000000001"/>
    <n v="136.6"/>
    <n v="142.5"/>
    <x v="155"/>
    <n v="149.73333333333332"/>
    <n v="142.32499999999999"/>
    <n v="0.10151974341751631"/>
    <n v="0.10680407223642678"/>
    <n v="0.10063576683058303"/>
    <n v="9.7436128233498884E-2"/>
    <n v="9.3655663521657426E-2"/>
    <n v="0.10478306908858702"/>
    <n v="9.8862718690797546E-2"/>
    <n v="9.1515777835709425E-2"/>
    <n v="9.9433354873717017E-2"/>
    <n v="0.10535370527150648"/>
    <n v="8"/>
    <x v="54"/>
    <n v="146.92142857142855"/>
  </r>
  <r>
    <x v="2"/>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x v="156"/>
    <n v="143.60000000000002"/>
    <n v="141.1"/>
    <n v="0.10332562688956072"/>
    <n v="0.10515634317038215"/>
    <n v="0.10214350723394462"/>
    <n v="9.7540563442165037E-2"/>
    <n v="9.5270475253946482E-2"/>
    <n v="0.10596185833394356"/>
    <n v="9.7467334790932184E-2"/>
    <n v="9.051061292381081E-2"/>
    <n v="0.1003232521890136"/>
    <n v="0.10230042577230072"/>
    <n v="7"/>
    <x v="55"/>
    <n v="142.48571428571427"/>
  </r>
  <r>
    <x v="1"/>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x v="157"/>
    <n v="135.46666666666667"/>
    <n v="138.6"/>
    <n v="0.10457990719099147"/>
    <n v="0.10221566686488441"/>
    <n v="0.10415412834806793"/>
    <n v="9.8241730997598045E-2"/>
    <n v="9.6732641427742475E-2"/>
    <n v="0.10865444902960153"/>
    <n v="9.7336277255684708E-2"/>
    <n v="9.0620828669827388E-2"/>
    <n v="0.10080718326635253"/>
    <n v="9.6657186949249699E-2"/>
    <n v="7"/>
    <x v="55"/>
    <n v="136.52857142857144"/>
  </r>
  <r>
    <x v="0"/>
    <x v="5"/>
    <s v="July"/>
    <n v="138.4"/>
    <n v="149.30000000000001"/>
    <n v="139.30000000000001"/>
    <n v="143.4"/>
    <n v="124.1"/>
    <n v="153.30000000000001"/>
    <n v="154.19999999999999"/>
    <n v="126.4"/>
    <n v="114.3"/>
    <n v="138.19999999999999"/>
    <n v="132.80000000000001"/>
    <n v="154.80000000000001"/>
    <n v="142"/>
    <n v="156.1"/>
    <n v="151.5"/>
    <n v="145.1"/>
    <n v="150.6"/>
    <n v="140.85"/>
    <n v="146.80000000000001"/>
    <n v="143.1"/>
    <n v="139"/>
    <n v="127.5"/>
    <n v="138.4"/>
    <n v="145.80000000000001"/>
    <n v="131.4"/>
    <n v="136"/>
    <n v="141.80000000000001"/>
    <x v="158"/>
    <n v="149.06666666666669"/>
    <n v="141.97499999999999"/>
    <n v="0.10167120351717451"/>
    <n v="0.10674969117304796"/>
    <n v="0.10059446524130276"/>
    <n v="9.7392383717807604E-2"/>
    <n v="9.4098229562646477E-2"/>
    <n v="0.10441036430923786"/>
    <n v="9.9111072842239509E-2"/>
    <n v="9.1305359735444624E-2"/>
    <n v="9.9540745123347485E-2"/>
    <n v="0.10512648477775116"/>
    <n v="7"/>
    <x v="55"/>
    <n v="146.25"/>
  </r>
  <r>
    <x v="1"/>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x v="159"/>
    <n v="135"/>
    <n v="137.80000000000001"/>
    <n v="0.10471067786214795"/>
    <n v="0.10258302983592142"/>
    <n v="0.10357629409306289"/>
    <n v="9.8403721212976469E-2"/>
    <n v="9.7415884629371299E-2"/>
    <n v="0.10729425046542299"/>
    <n v="9.7643846917895571E-2"/>
    <n v="9.1488865127740293E-2"/>
    <n v="0.10075933152772726"/>
    <n v="9.6124098327733776E-2"/>
    <n v="6"/>
    <x v="56"/>
    <n v="135.47142857142856"/>
  </r>
  <r>
    <x v="0"/>
    <x v="5"/>
    <s v="June"/>
    <n v="137.6"/>
    <n v="148.1"/>
    <n v="136.69999999999999"/>
    <n v="143.19999999999999"/>
    <n v="124"/>
    <n v="154.1"/>
    <n v="143.5"/>
    <n v="126"/>
    <n v="112.4"/>
    <n v="137.6"/>
    <n v="132.80000000000001"/>
    <n v="154.30000000000001"/>
    <n v="140"/>
    <n v="157.30000000000001"/>
    <n v="151.30000000000001"/>
    <n v="144.69999999999999"/>
    <n v="150.30000000000001"/>
    <n v="140.85"/>
    <n v="145.1"/>
    <n v="142.19999999999999"/>
    <n v="138.4"/>
    <n v="127.4"/>
    <n v="137.80000000000001"/>
    <n v="145.1"/>
    <n v="131.4"/>
    <n v="135.6"/>
    <n v="140.5"/>
    <x v="160"/>
    <n v="148.76666666666668"/>
    <n v="141.52499999999998"/>
    <n v="0.10180146312682344"/>
    <n v="0.10701052344933477"/>
    <n v="0.10006739323481532"/>
    <n v="9.7539504681132372E-2"/>
    <n v="9.4518369580389353E-2"/>
    <n v="0.10437302455186068"/>
    <n v="9.9122004019616836E-2"/>
    <n v="9.1641098055872172E-2"/>
    <n v="9.9553594748294408E-2"/>
    <n v="0.10437302455186068"/>
    <n v="6"/>
    <x v="56"/>
    <n v="145.65"/>
  </r>
  <r>
    <x v="2"/>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x v="161"/>
    <n v="143.23333333333332"/>
    <n v="140.19999999999999"/>
    <n v="0.10327337523852283"/>
    <n v="0.10550777303850038"/>
    <n v="0.10167386912111349"/>
    <n v="9.7675103827590079E-2"/>
    <n v="9.5833567179256923E-2"/>
    <n v="0.10518857335278932"/>
    <n v="9.7675103827590079E-2"/>
    <n v="9.1119233359524085E-2"/>
    <n v="0.10032691660118979"/>
    <n v="0.10172648445392299"/>
    <n v="6"/>
    <x v="56"/>
    <n v="141.57142857142858"/>
  </r>
  <r>
    <x v="2"/>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x v="162"/>
    <n v="142.69999999999999"/>
    <n v="140.30000000000001"/>
    <n v="0.10379686633022432"/>
    <n v="0.10557243638861731"/>
    <n v="0.10133960419584113"/>
    <n v="9.7730335297381551E-2"/>
    <n v="9.6102729410521309E-2"/>
    <n v="0.10512854387401906"/>
    <n v="9.7508389040082438E-2"/>
    <n v="9.0923983406875047E-2"/>
    <n v="0.10061563664227019"/>
    <n v="0.10128147541416756"/>
    <n v="5"/>
    <x v="57"/>
    <n v="141.1"/>
  </r>
  <r>
    <x v="1"/>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x v="163"/>
    <n v="134.5"/>
    <n v="137.85"/>
    <n v="0.10532836317791591"/>
    <n v="0.10276869675320777"/>
    <n v="0.10277961217506153"/>
    <n v="9.8489851386531463E-2"/>
    <n v="9.7878587762720556E-2"/>
    <n v="0.10727676597881317"/>
    <n v="9.7802179809744191E-2"/>
    <n v="9.1536727665682452E-2"/>
    <n v="0.1008584979287987"/>
    <n v="9.5280717361524228E-2"/>
    <n v="5"/>
    <x v="57"/>
    <n v="134.9"/>
  </r>
  <r>
    <x v="0"/>
    <x v="5"/>
    <s v="May"/>
    <n v="137.4"/>
    <n v="145.69999999999999"/>
    <n v="135.5"/>
    <n v="142.9"/>
    <n v="123.6"/>
    <n v="157.5"/>
    <n v="137.80000000000001"/>
    <n v="127.2"/>
    <n v="111.8"/>
    <n v="137.4"/>
    <n v="132.19999999999999"/>
    <n v="154.30000000000001"/>
    <n v="139.1"/>
    <n v="157"/>
    <n v="150.80000000000001"/>
    <n v="144.1"/>
    <n v="149.80000000000001"/>
    <n v="140.85"/>
    <n v="144.30000000000001"/>
    <n v="141.80000000000001"/>
    <n v="138.4"/>
    <n v="126.4"/>
    <n v="136.80000000000001"/>
    <n v="144.4"/>
    <n v="131.19999999999999"/>
    <n v="135.1"/>
    <n v="139.80000000000001"/>
    <x v="164"/>
    <n v="148.23333333333332"/>
    <n v="141.32499999999999"/>
    <n v="0.10206278366176982"/>
    <n v="0.10705187780975067"/>
    <n v="0.10004324512073813"/>
    <n v="9.7567182541695413E-2"/>
    <n v="9.4750661358034324E-2"/>
    <n v="0.10428350228734877"/>
    <n v="9.8794896903804094E-2"/>
    <n v="9.1284173747374547E-2"/>
    <n v="9.9950392774024024E-2"/>
    <n v="0.10421128379546003"/>
    <n v="5"/>
    <x v="57"/>
    <n v="145.15000000000003"/>
  </r>
  <r>
    <x v="0"/>
    <x v="5"/>
    <s v="April"/>
    <n v="137.1"/>
    <n v="144.5"/>
    <n v="135.9"/>
    <n v="142.4"/>
    <n v="123.5"/>
    <n v="156.4"/>
    <n v="135.1"/>
    <n v="128.4"/>
    <n v="115.2"/>
    <n v="137.19999999999999"/>
    <n v="131.9"/>
    <n v="153.80000000000001"/>
    <n v="138.6"/>
    <n v="156.1"/>
    <n v="150.1"/>
    <n v="143.30000000000001"/>
    <n v="149.1"/>
    <n v="140.85"/>
    <n v="143.80000000000001"/>
    <n v="140.9"/>
    <n v="137.6"/>
    <n v="125.3"/>
    <n v="136"/>
    <n v="143.69999999999999"/>
    <n v="130.4"/>
    <n v="134.19999999999999"/>
    <n v="139.1"/>
    <x v="165"/>
    <n v="147.5"/>
    <n v="140.875"/>
    <n v="0.1022561419790692"/>
    <n v="0.10706499337648771"/>
    <n v="0.10038185650180041"/>
    <n v="9.7410997363556948E-2"/>
    <n v="9.4652712788433888E-2"/>
    <n v="0.10430670880136463"/>
    <n v="9.8717553214931045E-2"/>
    <n v="9.0950804542873964E-2"/>
    <n v="9.9878936193930221E-2"/>
    <n v="0.1043792952375521"/>
    <n v="4"/>
    <x v="58"/>
    <n v="144.53571428571431"/>
  </r>
  <r>
    <x v="2"/>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x v="166"/>
    <n v="142"/>
    <n v="139.75"/>
    <n v="0.10388293325262692"/>
    <n v="0.1055554670617032"/>
    <n v="0.10162634001815893"/>
    <n v="9.7601639614096E-2"/>
    <n v="9.6040608058958116E-2"/>
    <n v="0.10510945804594954"/>
    <n v="9.7601639614096E-2"/>
    <n v="9.0614165033955085E-2"/>
    <n v="0.10050069821649488"/>
    <n v="0.10146705108396117"/>
    <n v="4"/>
    <x v="58"/>
    <n v="140.48571428571427"/>
  </r>
  <r>
    <x v="1"/>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x v="167"/>
    <n v="133.80000000000001"/>
    <n v="137.35000000000002"/>
    <n v="0.10538805978329381"/>
    <n v="0.10266416016748971"/>
    <n v="0.10299300116738559"/>
    <n v="9.8367304435517028E-2"/>
    <n v="9.7906927035662811E-2"/>
    <n v="0.10719120459938945"/>
    <n v="9.7906927035662811E-2"/>
    <n v="9.1231454737776718E-2"/>
    <n v="0.10074592100143048"/>
    <n v="9.5605040036391753E-2"/>
    <n v="4"/>
    <x v="58"/>
    <n v="134.34285714285716"/>
  </r>
  <r>
    <x v="2"/>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x v="168"/>
    <n v="141.20000000000002"/>
    <n v="138.80000000000001"/>
    <n v="0.10380730048666352"/>
    <n v="0.10560223939997759"/>
    <n v="0.10215659773602646"/>
    <n v="9.7450225168676199E-2"/>
    <n v="9.5879653619526384E-2"/>
    <n v="0.10455519170054438"/>
    <n v="9.7525014290064285E-2"/>
    <n v="9.0494836879584192E-2"/>
    <n v="0.10044179002419965"/>
    <n v="0.10208715069473753"/>
    <n v="3"/>
    <x v="59"/>
    <n v="139.64285714285714"/>
  </r>
  <r>
    <x v="1"/>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x v="169"/>
    <n v="132.86666666666665"/>
    <n v="136.4"/>
    <n v="0.10522178345118928"/>
    <n v="0.10249609697860224"/>
    <n v="0.10332629258885113"/>
    <n v="9.8047570943153639E-2"/>
    <n v="9.7739002663238123E-2"/>
    <n v="0.10630177243089357"/>
    <n v="9.7816144733217009E-2"/>
    <n v="9.0873358435117998E-2"/>
    <n v="0.10067040132243549"/>
    <n v="9.7507576453301492E-2"/>
    <n v="3"/>
    <x v="59"/>
    <n v="133.65714285714287"/>
  </r>
  <r>
    <x v="0"/>
    <x v="5"/>
    <s v="March"/>
    <n v="136.80000000000001"/>
    <n v="143.80000000000001"/>
    <n v="140"/>
    <n v="142"/>
    <n v="123.2"/>
    <n v="152.9"/>
    <n v="138"/>
    <n v="129.30000000000001"/>
    <n v="117.1"/>
    <n v="136.30000000000001"/>
    <n v="131.19999999999999"/>
    <n v="152.80000000000001"/>
    <n v="138.6"/>
    <n v="155.1"/>
    <n v="149.19999999999999"/>
    <n v="143"/>
    <n v="148.30000000000001"/>
    <n v="140.85"/>
    <n v="142.6"/>
    <n v="139.9"/>
    <n v="136.69999999999999"/>
    <n v="124.6"/>
    <n v="135.1"/>
    <n v="142.69999999999999"/>
    <n v="129.30000000000001"/>
    <n v="133.30000000000001"/>
    <n v="138.69999999999999"/>
    <x v="170"/>
    <n v="146.83333333333334"/>
    <n v="140.375"/>
    <n v="0.10247303146886268"/>
    <n v="0.10718758174421848"/>
    <n v="0.10100522033244314"/>
    <n v="9.7308317683343873E-2"/>
    <n v="9.4388338157962201E-2"/>
    <n v="0.10417026956799076"/>
    <n v="9.8622308469765607E-2"/>
    <n v="9.0957362215638743E-2"/>
    <n v="9.9790300279918268E-2"/>
    <n v="0.10409727007985622"/>
    <n v="3"/>
    <x v="59"/>
    <n v="143.79285714285717"/>
  </r>
  <r>
    <x v="2"/>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x v="171"/>
    <n v="140.66666666666666"/>
    <n v="138.25"/>
    <n v="0.10374270593994661"/>
    <n v="0.10555617096240498"/>
    <n v="0.10265998692161185"/>
    <n v="9.7251751825078336E-2"/>
    <n v="9.5825993117766239E-2"/>
    <n v="0.10430550542967508"/>
    <n v="9.7476871620969727E-2"/>
    <n v="9.0197998220481621E-2"/>
    <n v="0.10040342896755775"/>
    <n v="0.10257958699450778"/>
    <n v="2"/>
    <x v="60"/>
    <n v="139.17142857142858"/>
  </r>
  <r>
    <x v="1"/>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x v="172"/>
    <n v="132.36666666666665"/>
    <n v="135.60000000000002"/>
    <n v="0.10481834578716827"/>
    <n v="0.10231898995104352"/>
    <n v="0.10419994846688999"/>
    <n v="9.7784076269002831E-2"/>
    <n v="9.7552177273898477E-2"/>
    <n v="0.10605514042772479"/>
    <n v="9.7784076269002831E-2"/>
    <n v="9.0749806750837408E-2"/>
    <n v="0.10033496521515074"/>
    <n v="9.84024735892811E-2"/>
    <n v="2"/>
    <x v="60"/>
    <n v="133.2571428571429"/>
  </r>
  <r>
    <x v="0"/>
    <x v="5"/>
    <s v="February"/>
    <n v="136.4"/>
    <n v="143.69999999999999"/>
    <n v="140.6"/>
    <n v="141.5"/>
    <n v="122.9"/>
    <n v="149.4"/>
    <n v="142.4"/>
    <n v="130.19999999999999"/>
    <n v="117.9"/>
    <n v="135.6"/>
    <n v="130.5"/>
    <n v="151.69999999999999"/>
    <n v="138.69999999999999"/>
    <n v="153.30000000000001"/>
    <n v="148.69999999999999"/>
    <n v="142.4"/>
    <n v="147.80000000000001"/>
    <n v="140.85"/>
    <n v="142.4"/>
    <n v="139.9"/>
    <n v="136.19999999999999"/>
    <n v="123.3"/>
    <n v="134.30000000000001"/>
    <n v="141.5"/>
    <n v="128.80000000000001"/>
    <n v="132.5"/>
    <n v="138.5"/>
    <x v="173"/>
    <n v="146.30000000000001"/>
    <n v="140.375"/>
    <n v="0.10292365502703693"/>
    <n v="0.10726789478507928"/>
    <n v="0.1013289341031986"/>
    <n v="9.7149665475208508E-2"/>
    <n v="9.4436806892127217E-2"/>
    <n v="0.10374851067729814"/>
    <n v="9.8469434515626439E-2"/>
    <n v="9.0404179268627982E-2"/>
    <n v="9.9862524058289798E-2"/>
    <n v="0.10440839519750711"/>
    <n v="2"/>
    <x v="60"/>
    <n v="143.3642857142857"/>
  </r>
  <r>
    <x v="2"/>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x v="174"/>
    <n v="140.43333333333334"/>
    <n v="137.65"/>
    <n v="0.10345197811892157"/>
    <n v="0.10554381494491259"/>
    <n v="0.1038545985516401"/>
    <n v="9.7026156012733539E-2"/>
    <n v="9.567335135879923E-2"/>
    <n v="0.10446658160937229"/>
    <n v="9.7477090897378313E-2"/>
    <n v="8.9660886230202269E-2"/>
    <n v="0.10018270020524697"/>
    <n v="0.10266284207079319"/>
    <n v="1"/>
    <x v="61"/>
    <n v="138.8857142857143"/>
  </r>
  <r>
    <x v="1"/>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x v="175"/>
    <n v="132.1"/>
    <n v="134.94999999999999"/>
    <n v="0.10458055409482162"/>
    <n v="0.10237192438626111"/>
    <n v="0.10550496803299109"/>
    <n v="9.7489690293653647E-2"/>
    <n v="9.7257202955910435E-2"/>
    <n v="0.10624671334864798"/>
    <n v="9.7799673410644605E-2"/>
    <n v="9.0127591265118601E-2"/>
    <n v="9.9969555229581245E-2"/>
    <n v="9.8652126982369706E-2"/>
    <n v="1"/>
    <x v="61"/>
    <n v="132.94285714285715"/>
  </r>
  <r>
    <x v="0"/>
    <x v="5"/>
    <s v="January"/>
    <n v="136.6"/>
    <n v="144.4"/>
    <n v="143.80000000000001"/>
    <n v="142"/>
    <n v="123.2"/>
    <n v="147.9"/>
    <n v="152.1"/>
    <n v="131.80000000000001"/>
    <n v="119.5"/>
    <n v="136"/>
    <n v="131.19999999999999"/>
    <n v="151.80000000000001"/>
    <n v="140.4"/>
    <n v="153.6"/>
    <n v="148.30000000000001"/>
    <n v="142.30000000000001"/>
    <n v="147.5"/>
    <n v="140.85"/>
    <n v="142.30000000000001"/>
    <n v="139.80000000000001"/>
    <n v="136"/>
    <n v="122.7"/>
    <n v="134.30000000000001"/>
    <n v="141.6"/>
    <n v="128.6"/>
    <n v="132.30000000000001"/>
    <n v="139.30000000000001"/>
    <x v="176"/>
    <n v="146.03333333333333"/>
    <n v="140.32499999999999"/>
    <n v="0.10289633547524291"/>
    <n v="0.10708209411889999"/>
    <n v="0.1023594759203213"/>
    <n v="9.70118309878827E-2"/>
    <n v="9.4298726115205692E-2"/>
    <n v="0.10383125674893566"/>
    <n v="9.8478374162302693E-2"/>
    <n v="8.9972423750666719E-2"/>
    <n v="9.972493586055968E-2"/>
    <n v="0.10434454685998268"/>
    <n v="1"/>
    <x v="61"/>
    <n v="143.23571428571427"/>
  </r>
  <r>
    <x v="1"/>
    <x v="6"/>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x v="177"/>
    <n v="131.73333333333332"/>
    <n v="134.19999999999999"/>
    <n v="0.10437913084058495"/>
    <n v="0.10246058745205955"/>
    <n v="0.10691805264142312"/>
    <n v="9.7301261312646631E-2"/>
    <n v="9.6912367382540138E-2"/>
    <n v="0.10632360049111746"/>
    <n v="9.7690155242753138E-2"/>
    <n v="8.9678940282559211E-2"/>
    <n v="9.9712403679306935E-2"/>
    <n v="9.8623500675008746E-2"/>
    <n v="12"/>
    <x v="62"/>
    <n v="132.44285714285715"/>
  </r>
  <r>
    <x v="2"/>
    <x v="6"/>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x v="178"/>
    <n v="140.06666666666666"/>
    <n v="136.89999999999998"/>
    <n v="0.10316540411742964"/>
    <n v="0.10555174777244689"/>
    <n v="0.10492017411337466"/>
    <n v="9.6910671800594983E-2"/>
    <n v="9.5328149166215126E-2"/>
    <n v="0.10437113564838574"/>
    <n v="9.7212104683334008E-2"/>
    <n v="8.9299491511434723E-2"/>
    <n v="0.10030179173140895"/>
    <n v="0.10293932945537539"/>
    <n v="12"/>
    <x v="62"/>
    <n v="138.44285714285715"/>
  </r>
  <r>
    <x v="0"/>
    <x v="6"/>
    <s v="December"/>
    <n v="136.4"/>
    <n v="143.69999999999999"/>
    <n v="144.80000000000001"/>
    <n v="141.9"/>
    <n v="123.1"/>
    <n v="147.19999999999999"/>
    <n v="161"/>
    <n v="133.80000000000001"/>
    <n v="121.9"/>
    <n v="135.80000000000001"/>
    <n v="131.1"/>
    <n v="151.4"/>
    <n v="141.5"/>
    <n v="153.19999999999999"/>
    <n v="148"/>
    <n v="141.9"/>
    <n v="147.19999999999999"/>
    <n v="140.85"/>
    <n v="142.6"/>
    <n v="139.5"/>
    <n v="136.1"/>
    <n v="122"/>
    <n v="133.4"/>
    <n v="141.1"/>
    <n v="127.8"/>
    <n v="131.9"/>
    <n v="139.80000000000001"/>
    <x v="179"/>
    <n v="145.69999999999999"/>
    <n v="140.17500000000001"/>
    <n v="0.10297439610864931"/>
    <n v="0.10703313367597789"/>
    <n v="0.10320265090396771"/>
    <n v="9.6895472421835868E-2"/>
    <n v="9.3883558570967571E-2"/>
    <n v="0.10365391325793055"/>
    <n v="9.799739212337305E-2"/>
    <n v="8.9622802391690487E-2"/>
    <n v="9.9980847586139954E-2"/>
    <n v="0.10475583295946773"/>
    <n v="12"/>
    <x v="62"/>
    <n v="143.02142857142857"/>
  </r>
  <r>
    <x v="0"/>
    <x v="6"/>
    <s v="November"/>
    <n v="136.30000000000001"/>
    <n v="142.5"/>
    <n v="140.5"/>
    <n v="141.5"/>
    <n v="121.6"/>
    <n v="147.30000000000001"/>
    <n v="168"/>
    <n v="135.80000000000001"/>
    <n v="122.5"/>
    <n v="136"/>
    <n v="131.9"/>
    <n v="151.4"/>
    <n v="142.4"/>
    <n v="152.1"/>
    <n v="148.19999999999999"/>
    <n v="141.5"/>
    <n v="147.30000000000001"/>
    <n v="140.85"/>
    <n v="141.1"/>
    <n v="139.4"/>
    <n v="135.80000000000001"/>
    <n v="121.6"/>
    <n v="133.69999999999999"/>
    <n v="141.5"/>
    <n v="128.1"/>
    <n v="131.69999999999999"/>
    <n v="140"/>
    <x v="180"/>
    <n v="145.66666666666666"/>
    <n v="140.125"/>
    <n v="0.10303371956936014"/>
    <n v="0.10710849943933481"/>
    <n v="0.10345651627767331"/>
    <n v="9.6838828669293331E-2"/>
    <n v="9.4191753625941357E-2"/>
    <n v="0.10404475517619596"/>
    <n v="9.8309425915599991E-2"/>
    <n v="8.9412312575444713E-2"/>
    <n v="9.9853553024221997E-2"/>
    <n v="0.10375063572693462"/>
    <n v="11"/>
    <x v="63"/>
    <n v="142.83571428571432"/>
  </r>
  <r>
    <x v="1"/>
    <x v="6"/>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x v="181"/>
    <n v="131.29999999999998"/>
    <n v="133.69999999999999"/>
    <n v="0.10409587631732611"/>
    <n v="0.10222728915830157"/>
    <n v="0.10860606734699552"/>
    <n v="9.7244390067569436E-2"/>
    <n v="9.7244390067569436E-2"/>
    <n v="0.10635375246781412"/>
    <n v="9.7400105664154801E-2"/>
    <n v="8.9770041431471215E-2"/>
    <n v="9.9190835024886681E-2"/>
    <n v="9.7867252453910952E-2"/>
    <n v="11"/>
    <x v="63"/>
    <n v="131.94285714285712"/>
  </r>
  <r>
    <x v="2"/>
    <x v="6"/>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x v="182"/>
    <n v="139.86666666666667"/>
    <n v="136.5"/>
    <n v="0.10299036744548679"/>
    <n v="0.10553054500641333"/>
    <n v="0.10570659691657655"/>
    <n v="9.6878851135534835E-2"/>
    <n v="9.5671638037272716E-2"/>
    <n v="0.10457483463695581"/>
    <n v="9.7256105228741743E-2"/>
    <n v="8.9258318452755211E-2"/>
    <n v="0.10004778551847288"/>
    <n v="0.10208495762179021"/>
    <n v="11"/>
    <x v="63"/>
    <n v="138.07142857142858"/>
  </r>
  <r>
    <x v="2"/>
    <x v="6"/>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x v="183"/>
    <n v="138.96666666666667"/>
    <n v="135.44999999999999"/>
    <n v="0.10309265272985589"/>
    <n v="0.10576923076923078"/>
    <n v="0.1049954333265679"/>
    <n v="9.7194032880048728E-2"/>
    <n v="9.6052364522021524E-2"/>
    <n v="0.10495737771463366"/>
    <n v="9.7726811447128081E-2"/>
    <n v="8.9659021717069215E-2"/>
    <n v="9.9934036939314005E-2"/>
    <n v="0.1006190379541303"/>
    <n v="10"/>
    <x v="64"/>
    <n v="136.84285714285713"/>
  </r>
  <r>
    <x v="0"/>
    <x v="6"/>
    <s v="October"/>
    <n v="135.9"/>
    <n v="141.9"/>
    <n v="131"/>
    <n v="141.5"/>
    <n v="121.4"/>
    <n v="146.69999999999999"/>
    <n v="157.1"/>
    <n v="136.4"/>
    <n v="121.4"/>
    <n v="135.6"/>
    <n v="131.30000000000001"/>
    <n v="150.30000000000001"/>
    <n v="140.4"/>
    <n v="150.5"/>
    <n v="147.19999999999999"/>
    <n v="140.6"/>
    <n v="146.19999999999999"/>
    <n v="140.85"/>
    <n v="138.1"/>
    <n v="138.4"/>
    <n v="134.19999999999999"/>
    <n v="121"/>
    <n v="133"/>
    <n v="140.1"/>
    <n v="127.4"/>
    <n v="130.69999999999999"/>
    <n v="138.30000000000001"/>
    <x v="184"/>
    <n v="144.66666666666666"/>
    <n v="139.625"/>
    <n v="0.1036206486793083"/>
    <n v="0.10736224775128571"/>
    <n v="0.10291296961044077"/>
    <n v="9.6997090652716875E-2"/>
    <n v="9.4548043987422586E-2"/>
    <n v="0.10397316297204005"/>
    <n v="9.8704001964891708E-2"/>
    <n v="8.979837772745787E-2"/>
    <n v="9.9594564388635079E-2"/>
    <n v="0.10248889226580109"/>
    <n v="10"/>
    <x v="64"/>
    <n v="141.6357142857143"/>
  </r>
  <r>
    <x v="1"/>
    <x v="6"/>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x v="185"/>
    <n v="130.5"/>
    <n v="132.80000000000001"/>
    <n v="0.1041679506502093"/>
    <n v="0.10236383704708067"/>
    <n v="0.10759128422633221"/>
    <n v="9.7657453734571215E-2"/>
    <n v="9.7735893456446357E-2"/>
    <n v="0.10691334091583982"/>
    <n v="9.7892772900196684E-2"/>
    <n v="9.0205680156431239E-2"/>
    <n v="9.9304687893949514E-2"/>
    <n v="9.6167099018943214E-2"/>
    <n v="10"/>
    <x v="64"/>
    <n v="130.85714285714286"/>
  </r>
  <r>
    <x v="1"/>
    <x v="6"/>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x v="186"/>
    <n v="129.96666666666667"/>
    <n v="131.89999999999998"/>
    <n v="0.10389780887739429"/>
    <n v="0.10237491958881992"/>
    <n v="0.10708799936983893"/>
    <n v="9.8068818841816452E-2"/>
    <n v="9.7990048706200553E-2"/>
    <n v="0.10704861430203098"/>
    <n v="9.8068818841816452E-2"/>
    <n v="9.1137046907615774E-2"/>
    <n v="9.9329141011671118E-2"/>
    <n v="9.4996783552795699E-2"/>
    <n v="9"/>
    <x v="65"/>
    <n v="130.02857142857144"/>
  </r>
  <r>
    <x v="2"/>
    <x v="6"/>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x v="187"/>
    <n v="138.16666666666666"/>
    <n v="134.5"/>
    <n v="0.10280778638401959"/>
    <n v="0.10561047696697923"/>
    <n v="0.10487158581328986"/>
    <n v="9.7457195271096628E-2"/>
    <n v="9.6081328984916448E-2"/>
    <n v="0.10502445984508767"/>
    <n v="9.7762943334692237E-2"/>
    <n v="9.0424989808397901E-2"/>
    <n v="9.9826742763962514E-2"/>
    <n v="0.10013249082755811"/>
    <n v="9"/>
    <x v="65"/>
    <n v="135.98571428571429"/>
  </r>
  <r>
    <x v="0"/>
    <x v="6"/>
    <s v="September"/>
    <n v="135.19999999999999"/>
    <n v="142"/>
    <n v="130.5"/>
    <n v="140.19999999999999"/>
    <n v="120.7"/>
    <n v="147.80000000000001"/>
    <n v="154.5"/>
    <n v="137.1"/>
    <n v="121"/>
    <n v="134.69999999999999"/>
    <n v="131.69999999999999"/>
    <n v="149.30000000000001"/>
    <n v="139.6"/>
    <n v="149.80000000000001"/>
    <n v="146.1"/>
    <n v="139.69999999999999"/>
    <n v="145.19999999999999"/>
    <n v="140.85"/>
    <n v="137.4"/>
    <n v="137.9"/>
    <n v="133.4"/>
    <n v="121.2"/>
    <n v="132.30000000000001"/>
    <n v="139.6"/>
    <n v="126.7"/>
    <n v="130.30000000000001"/>
    <n v="137.6"/>
    <x v="188"/>
    <n v="143.66666666666666"/>
    <n v="139.375"/>
    <n v="0.10384909128164369"/>
    <n v="0.10704683609539832"/>
    <n v="0.10293633693674673"/>
    <n v="9.7087258073529498E-2"/>
    <n v="9.4404877957913941E-2"/>
    <n v="0.10401674003886965"/>
    <n v="9.8577469248871466E-2"/>
    <n v="9.0306797225723517E-2"/>
    <n v="9.9397085395309545E-2"/>
    <n v="0.1023775077459935"/>
    <n v="9"/>
    <x v="65"/>
    <n v="140.96428571428572"/>
  </r>
  <r>
    <x v="0"/>
    <x v="6"/>
    <s v="August"/>
    <n v="134.80000000000001"/>
    <n v="143.1"/>
    <n v="130"/>
    <n v="139.4"/>
    <n v="120.5"/>
    <n v="148"/>
    <n v="162.9"/>
    <n v="137.4"/>
    <n v="120.8"/>
    <n v="134.69999999999999"/>
    <n v="131.6"/>
    <n v="148.69999999999999"/>
    <n v="140.6"/>
    <n v="149"/>
    <n v="145.30000000000001"/>
    <n v="139.19999999999999"/>
    <n v="144.5"/>
    <n v="140.85"/>
    <n v="136.4"/>
    <n v="137.30000000000001"/>
    <n v="133"/>
    <n v="120.3"/>
    <n v="131.5"/>
    <n v="140.19999999999999"/>
    <n v="125.4"/>
    <n v="129.69999999999999"/>
    <n v="137.80000000000001"/>
    <x v="189"/>
    <n v="143"/>
    <n v="139.07499999999999"/>
    <n v="0.10400047004655062"/>
    <n v="0.10693559026896812"/>
    <n v="0.10370402023336743"/>
    <n v="9.6989832572623516E-2"/>
    <n v="9.3774286851248972E-2"/>
    <n v="0.10484174654342188"/>
    <n v="9.8335874967617531E-2"/>
    <n v="8.9960500065432616E-2"/>
    <n v="9.9457576963445871E-2"/>
    <n v="0.10200010148732344"/>
    <n v="8"/>
    <x v="66"/>
    <n v="140.53571428571428"/>
  </r>
  <r>
    <x v="1"/>
    <x v="6"/>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x v="190"/>
    <n v="129.46666666666667"/>
    <n v="131.05000000000001"/>
    <n v="0.10366864306540198"/>
    <n v="0.10241612861910754"/>
    <n v="0.10877664182983883"/>
    <n v="9.7933445337632694E-2"/>
    <n v="9.753791445985549E-2"/>
    <n v="0.10734708022872985"/>
    <n v="9.8170763864299002E-2"/>
    <n v="9.0655677186532363E-2"/>
    <n v="9.9436462673186024E-2"/>
    <n v="9.4057242735416213E-2"/>
    <n v="8"/>
    <x v="66"/>
    <n v="129.29999999999998"/>
  </r>
  <r>
    <x v="2"/>
    <x v="6"/>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x v="191"/>
    <n v="137.53333333333333"/>
    <n v="133.60000000000002"/>
    <n v="0.10255248065444099"/>
    <n v="0.10557174031442701"/>
    <n v="0.10601768423515133"/>
    <n v="9.7332743615143075E-2"/>
    <n v="9.556724432243939E-2"/>
    <n v="0.10562291420696915"/>
    <n v="9.7716547809209103E-2"/>
    <n v="9.004046392788867E-2"/>
    <n v="9.9942612134792025E-2"/>
    <n v="9.9635568779539219E-2"/>
    <n v="8"/>
    <x v="66"/>
    <n v="135.31428571428572"/>
  </r>
  <r>
    <x v="2"/>
    <x v="6"/>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x v="192"/>
    <n v="136.56666666666666"/>
    <n v="132.25"/>
    <n v="0.1022429201218558"/>
    <n v="0.10558014965072293"/>
    <n v="0.10589307244162607"/>
    <n v="9.7333713749275214E-2"/>
    <n v="9.5555576008025528E-2"/>
    <n v="0.10576054043606711"/>
    <n v="9.7874886105307701E-2"/>
    <n v="8.9679990428244025E-2"/>
    <n v="0.10003957552943775"/>
    <n v="0.10003957552943775"/>
    <n v="7"/>
    <x v="67"/>
    <n v="134.34285714285716"/>
  </r>
  <r>
    <x v="0"/>
    <x v="6"/>
    <s v="July"/>
    <n v="134"/>
    <n v="144.19999999999999"/>
    <n v="129.80000000000001"/>
    <n v="139"/>
    <n v="120.9"/>
    <n v="143.9"/>
    <n v="151.5"/>
    <n v="138.1"/>
    <n v="120"/>
    <n v="133.9"/>
    <n v="131.4"/>
    <n v="147.69999999999999"/>
    <n v="138.5"/>
    <n v="147.4"/>
    <n v="144.30000000000001"/>
    <n v="138.1"/>
    <n v="143.5"/>
    <n v="140.85"/>
    <n v="135.30000000000001"/>
    <n v="136.1"/>
    <n v="132.1"/>
    <n v="119.1"/>
    <n v="130.6"/>
    <n v="138.6"/>
    <n v="124.4"/>
    <n v="128.6"/>
    <n v="136.19999999999999"/>
    <x v="193"/>
    <n v="141.96666666666667"/>
    <n v="138.47499999999999"/>
    <n v="0.1044065283364016"/>
    <n v="0.10703915368230954"/>
    <n v="0.10341828404528514"/>
    <n v="9.6961036606327822E-2"/>
    <n v="9.3794346452777469E-2"/>
    <n v="0.10450077506716202"/>
    <n v="9.8468984298494655E-2"/>
    <n v="8.9798285068535336E-2"/>
    <n v="9.9599945067619794E-2"/>
    <n v="0.10201266137508674"/>
    <n v="7"/>
    <x v="67"/>
    <n v="139.53571428571428"/>
  </r>
  <r>
    <x v="1"/>
    <x v="6"/>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x v="194"/>
    <n v="128.56666666666669"/>
    <n v="129.9"/>
    <n v="0.10327477852653894"/>
    <n v="0.10221473461043386"/>
    <n v="0.10895358521995908"/>
    <n v="9.7789051260695065E-2"/>
    <n v="9.7312031498447776E-2"/>
    <n v="0.10772696297418033"/>
    <n v="9.8186567729234481E-2"/>
    <n v="8.9997728477322611E-2"/>
    <n v="9.9379117134852701E-2"/>
    <n v="9.5165442568334951E-2"/>
    <n v="7"/>
    <x v="67"/>
    <n v="128.67142857142858"/>
  </r>
  <r>
    <x v="1"/>
    <x v="6"/>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x v="195"/>
    <n v="128.29999999999998"/>
    <n v="129.1"/>
    <n v="0.1032174796980115"/>
    <n v="0.10257786712048701"/>
    <n v="0.10734069649241033"/>
    <n v="9.8100579077815733E-2"/>
    <n v="9.7940675933434612E-2"/>
    <n v="0.10737496145192058"/>
    <n v="9.8260482222196854E-2"/>
    <n v="9.1064840725046559E-2"/>
    <n v="9.8980046371911878E-2"/>
    <n v="9.5142370906765056E-2"/>
    <n v="6"/>
    <x v="68"/>
    <n v="128.05714285714288"/>
  </r>
  <r>
    <x v="2"/>
    <x v="6"/>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x v="196"/>
    <n v="135.9"/>
    <n v="131.30000000000001"/>
    <n v="0.10213357039671074"/>
    <n v="0.10571174574952773"/>
    <n v="0.10452272474719412"/>
    <n v="9.7621957995332811E-2"/>
    <n v="9.5988443160351142E-2"/>
    <n v="0.10532281364596066"/>
    <n v="9.7933103678186459E-2"/>
    <n v="9.0621180131125675E-2"/>
    <n v="9.9955550616735181E-2"/>
    <n v="0.10018890987887544"/>
    <n v="6"/>
    <x v="68"/>
    <n v="133.5"/>
  </r>
  <r>
    <x v="0"/>
    <x v="6"/>
    <s v="June"/>
    <n v="133.5"/>
    <n v="143.69999999999999"/>
    <n v="128"/>
    <n v="138.6"/>
    <n v="120.9"/>
    <n v="140.9"/>
    <n v="128.80000000000001"/>
    <n v="140.19999999999999"/>
    <n v="118.9"/>
    <n v="133.5"/>
    <n v="130.4"/>
    <n v="146.5"/>
    <n v="134.9"/>
    <n v="145.80000000000001"/>
    <n v="143.1"/>
    <n v="137.69999999999999"/>
    <n v="142.30000000000001"/>
    <n v="140.85"/>
    <n v="134.80000000000001"/>
    <n v="135.19999999999999"/>
    <n v="131.30000000000001"/>
    <n v="119.4"/>
    <n v="129.80000000000001"/>
    <n v="136.9"/>
    <n v="124.1"/>
    <n v="128.1"/>
    <n v="133.9"/>
    <x v="197"/>
    <n v="141.03333333333333"/>
    <n v="138.02499999999998"/>
    <n v="0.10471729554607601"/>
    <n v="0.10699966852754879"/>
    <n v="0.1021296427594043"/>
    <n v="9.7187361416064752E-2"/>
    <n v="9.4152627257873822E-2"/>
    <n v="0.10386377656408483"/>
    <n v="9.8477123433295913E-2"/>
    <n v="9.0586814621999467E-2"/>
    <n v="9.961514874261751E-2"/>
    <n v="0.10227054113103458"/>
    <n v="6"/>
    <x v="68"/>
    <n v="138.69285714285715"/>
  </r>
  <r>
    <x v="0"/>
    <x v="6"/>
    <s v="May"/>
    <n v="133.1"/>
    <n v="140.30000000000001"/>
    <n v="126.8"/>
    <n v="138.19999999999999"/>
    <n v="120.8"/>
    <n v="140.19999999999999"/>
    <n v="123.8"/>
    <n v="141.80000000000001"/>
    <n v="118.6"/>
    <n v="134"/>
    <n v="130.30000000000001"/>
    <n v="145.80000000000001"/>
    <n v="133.80000000000001"/>
    <n v="145.5"/>
    <n v="142.5"/>
    <n v="137.30000000000001"/>
    <n v="141.80000000000001"/>
    <n v="140.85"/>
    <n v="135"/>
    <n v="134.9"/>
    <n v="131.4"/>
    <n v="119.4"/>
    <n v="129.4"/>
    <n v="136.30000000000001"/>
    <n v="123.7"/>
    <n v="127.9"/>
    <n v="133.30000000000001"/>
    <x v="198"/>
    <n v="140.53333333333333"/>
    <n v="137.875"/>
    <n v="0.10482446890836468"/>
    <n v="0.1068455632318321"/>
    <n v="0.1017154411425292"/>
    <n v="9.7240613406200133E-2"/>
    <n v="9.4047411089499267E-2"/>
    <n v="0.10362701803960186"/>
    <n v="9.838104280502187E-2"/>
    <n v="9.0778180146210294E-2"/>
    <n v="9.9901615336784183E-2"/>
    <n v="0.10263864589395635"/>
    <n v="5"/>
    <x v="69"/>
    <n v="138.37857142857143"/>
  </r>
  <r>
    <x v="1"/>
    <x v="6"/>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x v="199"/>
    <n v="128.29999999999998"/>
    <n v="129.30000000000001"/>
    <n v="0.10348080100153778"/>
    <n v="0.1026804854485483"/>
    <n v="0.10620759042136617"/>
    <n v="9.8118686796508356E-2"/>
    <n v="9.7638497464714688E-2"/>
    <n v="0.10708222098999037"/>
    <n v="9.827874990710625E-2"/>
    <n v="9.1476067706695807E-2"/>
    <n v="9.8919002349497825E-2"/>
    <n v="9.6117897914034703E-2"/>
    <n v="5"/>
    <x v="69"/>
    <n v="128.20000000000002"/>
  </r>
  <r>
    <x v="2"/>
    <x v="6"/>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x v="200"/>
    <n v="135.6"/>
    <n v="131.5"/>
    <n v="0.10244054442057934"/>
    <n v="0.10563450816297003"/>
    <n v="0.10382051481798857"/>
    <n v="9.7610648029647085E-2"/>
    <n v="9.581891227172061E-2"/>
    <n v="0.1050112957254304"/>
    <n v="9.7922254248416912E-2"/>
    <n v="9.0911114326095888E-2"/>
    <n v="0.10002559622511323"/>
    <n v="0.10080461177203778"/>
    <n v="5"/>
    <x v="69"/>
    <n v="133.42857142857142"/>
  </r>
  <r>
    <x v="2"/>
    <x v="6"/>
    <s v="April"/>
    <n v="133"/>
    <n v="139.4"/>
    <n v="126.1"/>
    <n v="137.19999999999999"/>
    <n v="118.4"/>
    <n v="139.9"/>
    <n v="123.4"/>
    <n v="140.9"/>
    <n v="118.5"/>
    <n v="136.5"/>
    <n v="127.4"/>
    <n v="144.19999999999999"/>
    <n v="133.5"/>
    <n v="145.4"/>
    <n v="138"/>
    <n v="131.1"/>
    <n v="137"/>
    <n v="131.69999999999999"/>
    <n v="129.80000000000001"/>
    <n v="130.4"/>
    <n v="128.1"/>
    <n v="116.6"/>
    <n v="125.1"/>
    <n v="134.5"/>
    <n v="123.1"/>
    <n v="125.1"/>
    <n v="131.1"/>
    <x v="201"/>
    <n v="135.36666666666667"/>
    <n v="131.05000000000001"/>
    <n v="0.10223543069421873"/>
    <n v="0.10560297190619922"/>
    <n v="0.10385697701416299"/>
    <n v="9.759368469932668E-2"/>
    <n v="9.603343394474112E-2"/>
    <n v="0.1049268632458788"/>
    <n v="9.759368469932668E-2"/>
    <n v="9.0962618992338054E-2"/>
    <n v="9.9934060831205013E-2"/>
    <n v="0.10126027397260275"/>
    <n v="4"/>
    <x v="70"/>
    <n v="133.21428571428572"/>
  </r>
  <r>
    <x v="0"/>
    <x v="6"/>
    <s v="April"/>
    <n v="133.19999999999999"/>
    <n v="138.69999999999999"/>
    <n v="127.1"/>
    <n v="137.69999999999999"/>
    <n v="121.3"/>
    <n v="141.80000000000001"/>
    <n v="121.5"/>
    <n v="144.5"/>
    <n v="117.4"/>
    <n v="134.1"/>
    <n v="130"/>
    <n v="145.5"/>
    <n v="133.5"/>
    <n v="144.4"/>
    <n v="142.4"/>
    <n v="136.80000000000001"/>
    <n v="141.6"/>
    <n v="140.85"/>
    <n v="135"/>
    <n v="134.30000000000001"/>
    <n v="131"/>
    <n v="119.2"/>
    <n v="128.30000000000001"/>
    <n v="135.69999999999999"/>
    <n v="123.7"/>
    <n v="127.5"/>
    <n v="132.9"/>
    <x v="202"/>
    <n v="140.26666666666668"/>
    <n v="137.57499999999999"/>
    <n v="0.10486993688547275"/>
    <n v="0.10692172618912578"/>
    <n v="0.1018562295535702"/>
    <n v="9.7190019646721984E-2"/>
    <n v="9.4293375923917719E-2"/>
    <n v="0.10344067189066801"/>
    <n v="9.7799839377838677E-2"/>
    <n v="9.0863139936386353E-2"/>
    <n v="9.9857980970357488E-2"/>
    <n v="0.10290707962594092"/>
    <n v="4"/>
    <x v="70"/>
    <n v="138.09285714285713"/>
  </r>
  <r>
    <x v="1"/>
    <x v="6"/>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x v="203"/>
    <n v="128.06666666666666"/>
    <n v="128.85"/>
    <n v="0.10312164150094895"/>
    <n v="0.10249472167808714"/>
    <n v="0.10610570363651607"/>
    <n v="9.8039589319877732E-2"/>
    <n v="9.779949236644131E-2"/>
    <n v="0.10692317659702584"/>
    <n v="9.8119621637689877E-2"/>
    <n v="9.1476939259281839E-2"/>
    <n v="9.875988018018704E-2"/>
    <n v="9.7159233823944147E-2"/>
    <n v="4"/>
    <x v="70"/>
    <n v="128.12857142857143"/>
  </r>
  <r>
    <x v="1"/>
    <x v="6"/>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x v="204"/>
    <n v="127.73333333333335"/>
    <n v="128.35"/>
    <n v="0.1028895026253457"/>
    <n v="0.10239516272180881"/>
    <n v="0.10611320956385478"/>
    <n v="9.8280117038312298E-2"/>
    <n v="9.7558647989907071E-2"/>
    <n v="0.10645676625357157"/>
    <n v="9.8119790583111141E-2"/>
    <n v="9.2668691106271628E-2"/>
    <n v="9.8680933176315197E-2"/>
    <n v="9.6837178941501845E-2"/>
    <n v="3"/>
    <x v="71"/>
    <n v="127.64285714285714"/>
  </r>
  <r>
    <x v="2"/>
    <x v="6"/>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x v="205"/>
    <n v="134.76666666666665"/>
    <n v="130.6"/>
    <n v="0.10207036178297486"/>
    <n v="0.10532681793990999"/>
    <n v="0.10405773045475014"/>
    <n v="9.7771839655820481E-2"/>
    <n v="9.581796596165941E-2"/>
    <n v="0.10457132011150105"/>
    <n v="9.7693684708054049E-2"/>
    <n v="9.1910218573337241E-2"/>
    <n v="9.9882023245514456E-2"/>
    <n v="0.10089803756647822"/>
    <n v="3"/>
    <x v="71"/>
    <n v="132.62857142857143"/>
  </r>
  <r>
    <x v="0"/>
    <x v="6"/>
    <s v="March"/>
    <n v="133.6"/>
    <n v="138.80000000000001"/>
    <n v="128.80000000000001"/>
    <n v="137.19999999999999"/>
    <n v="121.6"/>
    <n v="139.69999999999999"/>
    <n v="119.7"/>
    <n v="148"/>
    <n v="116.9"/>
    <n v="135.6"/>
    <n v="129.80000000000001"/>
    <n v="145.4"/>
    <n v="133.4"/>
    <n v="144.19999999999999"/>
    <n v="141.6"/>
    <n v="136.19999999999999"/>
    <n v="140.80000000000001"/>
    <n v="140.85"/>
    <n v="134.19999999999999"/>
    <n v="134.1"/>
    <n v="130.6"/>
    <n v="119.8"/>
    <n v="128.30000000000001"/>
    <n v="135.19999999999999"/>
    <n v="123.3"/>
    <n v="127.4"/>
    <n v="132.80000000000001"/>
    <x v="206"/>
    <n v="139.53333333333333"/>
    <n v="137.47499999999999"/>
    <n v="0.10497699631195566"/>
    <n v="0.106548755910007"/>
    <n v="0.10214346556173819"/>
    <n v="9.7283646700441179E-2"/>
    <n v="9.4152854302703273E-2"/>
    <n v="0.10323978833516205"/>
    <n v="9.7970893812139748E-2"/>
    <n v="9.1480226646097743E-2"/>
    <n v="9.9727191986480515E-2"/>
    <n v="0.10247618043327476"/>
    <n v="3"/>
    <x v="71"/>
    <n v="137.56428571428572"/>
  </r>
  <r>
    <x v="0"/>
    <x v="6"/>
    <s v="February"/>
    <n v="133.30000000000001"/>
    <n v="138.30000000000001"/>
    <n v="129.30000000000001"/>
    <n v="137.19999999999999"/>
    <n v="122.1"/>
    <n v="138.69999999999999"/>
    <n v="119.1"/>
    <n v="156.9"/>
    <n v="116.2"/>
    <n v="136"/>
    <n v="129.4"/>
    <n v="144.4"/>
    <n v="133.6"/>
    <n v="143.69999999999999"/>
    <n v="140.9"/>
    <n v="135.80000000000001"/>
    <n v="140.19999999999999"/>
    <n v="140.85"/>
    <n v="133.19999999999999"/>
    <n v="133.6"/>
    <n v="130.1"/>
    <n v="119.5"/>
    <n v="127.7"/>
    <n v="134.9"/>
    <n v="123.2"/>
    <n v="127"/>
    <n v="132.6"/>
    <x v="207"/>
    <n v="138.96666666666667"/>
    <n v="137.22499999999999"/>
    <n v="0.1050768598273286"/>
    <n v="0.10641050066682041"/>
    <n v="0.10272771940123811"/>
    <n v="9.7247303319881448E-2"/>
    <n v="9.4337541488262955E-2"/>
    <n v="0.10329654502245676"/>
    <n v="9.77833120783375E-2"/>
    <n v="9.1504352336423886E-2"/>
    <n v="9.9621056393043916E-2"/>
    <n v="0.10199480946620637"/>
    <n v="2"/>
    <x v="72"/>
    <n v="137.06428571428572"/>
  </r>
  <r>
    <x v="1"/>
    <x v="6"/>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x v="208"/>
    <n v="127.43333333333334"/>
    <n v="127.9"/>
    <n v="0.10282255749051554"/>
    <n v="0.10244739048377401"/>
    <n v="0.10632539229835729"/>
    <n v="9.8400946339633324E-2"/>
    <n v="9.7838195829521038E-2"/>
    <n v="0.10644023934123735"/>
    <n v="9.8240160479601241E-2"/>
    <n v="9.2853834168526536E-2"/>
    <n v="9.8802910989713513E-2"/>
    <n v="9.5828372579120025E-2"/>
    <n v="2"/>
    <x v="72"/>
    <n v="127.10000000000001"/>
  </r>
  <r>
    <x v="2"/>
    <x v="6"/>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x v="209"/>
    <n v="134.33333333333334"/>
    <n v="130.1"/>
    <n v="0.10196971252087744"/>
    <n v="0.10528771239024755"/>
    <n v="0.10450579903520478"/>
    <n v="9.7815681188358997E-2"/>
    <n v="9.6091366295615488E-2"/>
    <n v="0.10455618485999273"/>
    <n v="9.7658925289018678E-2"/>
    <n v="9.2015712912767209E-2"/>
    <n v="9.9853507879783157E-2"/>
    <n v="0.10024539762813395"/>
    <n v="2"/>
    <x v="72"/>
    <n v="132.07142857142858"/>
  </r>
  <r>
    <x v="2"/>
    <x v="6"/>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x v="210"/>
    <n v="134.13333333333333"/>
    <n v="129.5"/>
    <n v="0.10182552059444087"/>
    <n v="0.10546869880875935"/>
    <n v="0.10508865503820092"/>
    <n v="9.7815403567169473E-2"/>
    <n v="9.569240043508459E-2"/>
    <n v="0.10481345092848626"/>
    <n v="9.7658144075903924E-2"/>
    <n v="9.1996802390344273E-2"/>
    <n v="9.9938406699254329E-2"/>
    <n v="9.9702517462356005E-2"/>
    <n v="1"/>
    <x v="73"/>
    <n v="131.64285714285717"/>
  </r>
  <r>
    <x v="0"/>
    <x v="6"/>
    <s v="January"/>
    <n v="133.1"/>
    <n v="137.80000000000001"/>
    <n v="131.9"/>
    <n v="136.69999999999999"/>
    <n v="122"/>
    <n v="136"/>
    <n v="119.8"/>
    <n v="161.69999999999999"/>
    <n v="114.8"/>
    <n v="136.9"/>
    <n v="129"/>
    <n v="143.9"/>
    <n v="133.69999999999999"/>
    <n v="143.1"/>
    <n v="140.69999999999999"/>
    <n v="135.80000000000001"/>
    <n v="140"/>
    <n v="140.85"/>
    <n v="132.1"/>
    <n v="133.19999999999999"/>
    <n v="129.9"/>
    <n v="119.1"/>
    <n v="127"/>
    <n v="134.6"/>
    <n v="122.3"/>
    <n v="126.6"/>
    <n v="132.4"/>
    <x v="211"/>
    <n v="138.83333333333334"/>
    <n v="137.02499999999998"/>
    <n v="0.10526031811934093"/>
    <n v="0.1066494496058031"/>
    <n v="0.10317799264555931"/>
    <n v="9.725200710752463E-2"/>
    <n v="9.3948818872434933E-2"/>
    <n v="0.10339747359141245"/>
    <n v="9.7559280431719034E-2"/>
    <n v="9.149063227887981E-2"/>
    <n v="9.9787012032128364E-2"/>
    <n v="0.10147701531519751"/>
    <n v="1"/>
    <x v="73"/>
    <n v="136.75"/>
  </r>
  <r>
    <x v="1"/>
    <x v="6"/>
    <s v="January"/>
    <n v="132.19999999999999"/>
    <n v="138.9"/>
    <n v="132.6"/>
    <n v="133.1"/>
    <n v="114"/>
    <n v="129.6"/>
    <n v="118.7"/>
    <n v="155.1"/>
    <n v="117.3"/>
    <n v="144.9"/>
    <n v="123.2"/>
    <n v="141.6"/>
    <n v="132"/>
    <n v="145.6"/>
    <n v="130.19999999999999"/>
    <n v="122.3"/>
    <n v="129"/>
    <n v="129.6"/>
    <n v="118"/>
    <n v="125.1"/>
    <n v="122.6"/>
    <n v="115.2"/>
    <n v="122"/>
    <n v="132.4"/>
    <n v="120.9"/>
    <n v="122.1"/>
    <n v="127.8"/>
    <x v="212"/>
    <n v="127.16666666666667"/>
    <n v="127.35"/>
    <n v="0.10266120286753486"/>
    <n v="0.10251341157954338"/>
    <n v="0.10703160238385429"/>
    <n v="9.842899780232435E-2"/>
    <n v="9.7461636644561964E-2"/>
    <n v="0.10673218107311831"/>
    <n v="9.8348384372510825E-2"/>
    <n v="9.2866671145190552E-2"/>
    <n v="9.8832064951392018E-2"/>
    <n v="9.5123847179969481E-2"/>
    <n v="1"/>
    <x v="73"/>
    <n v="126.65714285714284"/>
  </r>
  <r>
    <x v="1"/>
    <x v="7"/>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x v="213"/>
    <n v="127"/>
    <n v="126.75"/>
    <n v="0.10247688567287092"/>
    <n v="0.10267900970772866"/>
    <n v="0.1082691830146511"/>
    <n v="9.8151431326915423E-2"/>
    <n v="9.6938687117769026E-2"/>
    <n v="0.10696403924671261"/>
    <n v="9.8474829782687789E-2"/>
    <n v="9.192601105329723E-2"/>
    <n v="9.8879077852403255E-2"/>
    <n v="9.5240845224964052E-2"/>
    <n v="12"/>
    <x v="74"/>
    <n v="126.37142857142859"/>
  </r>
  <r>
    <x v="2"/>
    <x v="7"/>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x v="214"/>
    <n v="133.83333333333334"/>
    <n v="128.85"/>
    <n v="0.10153340450321482"/>
    <n v="0.10546025587386046"/>
    <n v="0.10603061555693558"/>
    <n v="9.7632819696921364E-2"/>
    <n v="9.5426428291341209E-2"/>
    <n v="0.10488239145811326"/>
    <n v="9.7869218776090672E-2"/>
    <n v="9.1407643945463107E-2"/>
    <n v="9.9996810488614377E-2"/>
    <n v="9.9760411409445068E-2"/>
    <n v="12"/>
    <x v="74"/>
    <n v="131.27142857142854"/>
  </r>
  <r>
    <x v="0"/>
    <x v="7"/>
    <s v="December"/>
    <n v="132.6"/>
    <n v="137.30000000000001"/>
    <n v="131.6"/>
    <n v="136.30000000000001"/>
    <n v="121.6"/>
    <n v="135.6"/>
    <n v="127.5"/>
    <n v="167.9"/>
    <n v="113.8"/>
    <n v="137.5"/>
    <n v="129.1"/>
    <n v="143.6"/>
    <n v="134.69999999999999"/>
    <n v="142.4"/>
    <n v="140.4"/>
    <n v="135.19999999999999"/>
    <n v="139.69999999999999"/>
    <n v="140.85"/>
    <n v="132"/>
    <n v="132.9"/>
    <n v="129.69999999999999"/>
    <n v="118.6"/>
    <n v="127.3"/>
    <n v="134.19999999999999"/>
    <n v="121.9"/>
    <n v="126.3"/>
    <n v="132.80000000000001"/>
    <x v="215"/>
    <n v="138.43333333333334"/>
    <n v="136.875"/>
    <n v="0.10525482240565974"/>
    <n v="0.10645315737003468"/>
    <n v="0.10389536677380583"/>
    <n v="9.7122805989660818E-2"/>
    <n v="9.3739271972602178E-2"/>
    <n v="0.10319778752028885"/>
    <n v="9.7891790993537786E-2"/>
    <n v="9.1201621459808174E-2"/>
    <n v="9.9737355002842504E-2"/>
    <n v="0.10150602051175953"/>
    <n v="12"/>
    <x v="74"/>
    <n v="136.46428571428572"/>
  </r>
  <r>
    <x v="0"/>
    <x v="7"/>
    <s v="November"/>
    <n v="132"/>
    <n v="137.4"/>
    <n v="130.6"/>
    <n v="136.19999999999999"/>
    <n v="121.1"/>
    <n v="136.9"/>
    <n v="141.80000000000001"/>
    <n v="170"/>
    <n v="113.4"/>
    <n v="136.80000000000001"/>
    <n v="128.69999999999999"/>
    <n v="143.1"/>
    <n v="136.6"/>
    <n v="141.19999999999999"/>
    <n v="139.9"/>
    <n v="134.5"/>
    <n v="139.19999999999999"/>
    <n v="140.85"/>
    <n v="130.30000000000001"/>
    <n v="132.1"/>
    <n v="129.1"/>
    <n v="118.2"/>
    <n v="126.9"/>
    <n v="133.69999999999999"/>
    <n v="123.5"/>
    <n v="126.1"/>
    <n v="133.6"/>
    <x v="216"/>
    <n v="137.86666666666665"/>
    <n v="136.47499999999999"/>
    <n v="0.10512064129285581"/>
    <n v="0.1061925804206513"/>
    <n v="0.10485380272468774"/>
    <n v="9.7129238813182764E-2"/>
    <n v="9.5126574095385177E-2"/>
    <n v="0.10298318183443723"/>
    <n v="9.7745443341735877E-2"/>
    <n v="9.1044219093720874E-2"/>
    <n v="9.94400057952569E-2"/>
    <n v="0.10036431258808656"/>
    <n v="11"/>
    <x v="75"/>
    <n v="135.79285714285712"/>
  </r>
  <r>
    <x v="1"/>
    <x v="7"/>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x v="217"/>
    <n v="126.73333333333333"/>
    <n v="126.9"/>
    <n v="0.10255275507828358"/>
    <n v="0.10241806535530186"/>
    <n v="0.10964705520162087"/>
    <n v="9.8027180386097701E-2"/>
    <n v="9.8027180386097701E-2"/>
    <n v="0.10675507443531332"/>
    <n v="9.8350435721253834E-2"/>
    <n v="9.1642887516764054E-2"/>
    <n v="9.8673691056409968E-2"/>
    <n v="9.3905674862856989E-2"/>
    <n v="11"/>
    <x v="75"/>
    <n v="126.04285714285716"/>
  </r>
  <r>
    <x v="2"/>
    <x v="7"/>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x v="218"/>
    <n v="133.36666666666667"/>
    <n v="128.85"/>
    <n v="0.10158791539878093"/>
    <n v="0.10514894567598565"/>
    <n v="0.10710122374045211"/>
    <n v="9.7606394461537294E-2"/>
    <n v="9.6660290476449681E-2"/>
    <n v="0.1047021743496943"/>
    <n v="9.7764078459051884E-2"/>
    <n v="9.1220192562196004E-2"/>
    <n v="9.9656286429227095E-2"/>
    <n v="9.8552498446624892E-2"/>
    <n v="11"/>
    <x v="75"/>
    <n v="130.79999999999998"/>
  </r>
  <r>
    <x v="2"/>
    <x v="7"/>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x v="219"/>
    <n v="133.03333333333333"/>
    <n v="128.55000000000001"/>
    <n v="0.10162763075915321"/>
    <n v="0.10517201461423062"/>
    <n v="0.1077771273361781"/>
    <n v="9.7556200977670204E-2"/>
    <n v="9.6528461421179337E-2"/>
    <n v="0.10467132098414535"/>
    <n v="9.7635257866631034E-2"/>
    <n v="9.107353608288174E-2"/>
    <n v="9.969073697961274E-2"/>
    <n v="9.8267712978317712E-2"/>
    <n v="10"/>
    <x v="76"/>
    <n v="130.41428571428571"/>
  </r>
  <r>
    <x v="0"/>
    <x v="7"/>
    <s v="October"/>
    <n v="131.30000000000001"/>
    <n v="137.6"/>
    <n v="130.1"/>
    <n v="136"/>
    <n v="120.8"/>
    <n v="138.4"/>
    <n v="149.19999999999999"/>
    <n v="170.2"/>
    <n v="113.4"/>
    <n v="136.30000000000001"/>
    <n v="128.69999999999999"/>
    <n v="142.4"/>
    <n v="137.4"/>
    <n v="140.9"/>
    <n v="139.6"/>
    <n v="134.30000000000001"/>
    <n v="138.80000000000001"/>
    <n v="140.85"/>
    <n v="129.80000000000001"/>
    <n v="131.80000000000001"/>
    <n v="128.69999999999999"/>
    <n v="117.8"/>
    <n v="126.5"/>
    <n v="133"/>
    <n v="123"/>
    <n v="125.7"/>
    <n v="133.80000000000001"/>
    <x v="220"/>
    <n v="137.56666666666666"/>
    <n v="136.32499999999999"/>
    <n v="0.10526920577195853"/>
    <n v="0.1062280120351789"/>
    <n v="0.10549810582904569"/>
    <n v="9.70646555329924E-2"/>
    <n v="9.4979734531090418E-2"/>
    <n v="0.10270166416776444"/>
    <n v="9.7682409903926321E-2"/>
    <n v="9.096433112001992E-2"/>
    <n v="9.9381234423994602E-2"/>
    <n v="0.10023064668402876"/>
    <n v="10"/>
    <x v="76"/>
    <n v="135.44999999999999"/>
  </r>
  <r>
    <x v="1"/>
    <x v="7"/>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x v="221"/>
    <n v="126.33333333333333"/>
    <n v="126.6"/>
    <n v="0.10261299162453201"/>
    <n v="0.10239685051526495"/>
    <n v="0.11041722953413871"/>
    <n v="9.7992975413948816E-2"/>
    <n v="9.7911922497973675E-2"/>
    <n v="0.10690879617121464"/>
    <n v="9.8236134161874253E-2"/>
    <n v="9.1427689219962166E-2"/>
    <n v="9.8722451657725113E-2"/>
    <n v="9.3372959203365621E-2"/>
    <n v="10"/>
    <x v="76"/>
    <n v="125.61428571428571"/>
  </r>
  <r>
    <x v="1"/>
    <x v="7"/>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x v="222"/>
    <n v="126"/>
    <n v="126.1"/>
    <n v="0.10252568368846222"/>
    <n v="0.10244437862606059"/>
    <n v="0.11036000720130551"/>
    <n v="9.7972600193970652E-2"/>
    <n v="9.8541735630782099E-2"/>
    <n v="0.10699746212055217"/>
    <n v="9.8216515381175554E-2"/>
    <n v="9.0899059765028364E-2"/>
    <n v="9.8704345755585371E-2"/>
    <n v="9.3338211637077423E-2"/>
    <n v="9"/>
    <x v="77"/>
    <n v="125.22857142857144"/>
  </r>
  <r>
    <x v="2"/>
    <x v="7"/>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x v="223"/>
    <n v="132.33333333333334"/>
    <n v="127.9"/>
    <n v="0.10153345417499109"/>
    <n v="0.10505285719956076"/>
    <n v="0.10800333417128644"/>
    <n v="9.7484817612892141E-2"/>
    <n v="9.6929122398486403E-2"/>
    <n v="0.10462947036953735"/>
    <n v="9.7564202643521544E-2"/>
    <n v="9.0737090009393909E-2"/>
    <n v="9.9548828409256315E-2"/>
    <n v="9.8516823011074214E-2"/>
    <n v="9"/>
    <x v="77"/>
    <n v="129.81428571428572"/>
  </r>
  <r>
    <x v="0"/>
    <x v="7"/>
    <s v="September"/>
    <n v="130.80000000000001"/>
    <n v="138.19999999999999"/>
    <n v="130.5"/>
    <n v="135.5"/>
    <n v="120.2"/>
    <n v="139.19999999999999"/>
    <n v="149.5"/>
    <n v="170.4"/>
    <n v="113.1"/>
    <n v="135.80000000000001"/>
    <n v="128.80000000000001"/>
    <n v="141.5"/>
    <n v="137.19999999999999"/>
    <n v="139.9"/>
    <n v="138.5"/>
    <n v="133.5"/>
    <n v="137.80000000000001"/>
    <n v="140.85"/>
    <n v="129.69999999999999"/>
    <n v="131.1"/>
    <n v="127.8"/>
    <n v="117"/>
    <n v="125.7"/>
    <n v="132.19999999999999"/>
    <n v="122.8"/>
    <n v="124.9"/>
    <n v="133.4"/>
    <x v="224"/>
    <n v="136.6"/>
    <n v="135.97499999999999"/>
    <n v="0.10547676895841933"/>
    <n v="0.1059615858776987"/>
    <n v="0.10586185211144697"/>
    <n v="9.6885813148788941E-2"/>
    <n v="9.5256828300010254E-2"/>
    <n v="0.10254847476597194"/>
    <n v="9.7506378805466531E-2"/>
    <n v="9.0757727289097714E-2"/>
    <n v="9.9135363654245204E-2"/>
    <n v="0.10060920708885447"/>
    <n v="9"/>
    <x v="77"/>
    <n v="134.80714285714285"/>
  </r>
  <r>
    <x v="0"/>
    <x v="7"/>
    <s v="August"/>
    <n v="130.1"/>
    <n v="138.80000000000001"/>
    <n v="130.30000000000001"/>
    <n v="135.30000000000001"/>
    <n v="119.9"/>
    <n v="140.19999999999999"/>
    <n v="156.9"/>
    <n v="172.2"/>
    <n v="112.1"/>
    <n v="134.9"/>
    <n v="128.1"/>
    <n v="140.69999999999999"/>
    <n v="138"/>
    <n v="138.9"/>
    <n v="137.80000000000001"/>
    <n v="133"/>
    <n v="137.1"/>
    <n v="140.85"/>
    <n v="129.1"/>
    <n v="130.6"/>
    <n v="127"/>
    <n v="116"/>
    <n v="125.5"/>
    <n v="131.9"/>
    <n v="122"/>
    <n v="124.2"/>
    <n v="133.5"/>
    <x v="225"/>
    <n v="135.96666666666667"/>
    <n v="135.72499999999999"/>
    <n v="0.10568199830736758"/>
    <n v="0.10587017157137653"/>
    <n v="0.10658578615174551"/>
    <n v="9.6708080234113494E-2"/>
    <n v="9.4995054658307931E-2"/>
    <n v="0.10270366974943293"/>
    <n v="9.7720322619816766E-2"/>
    <n v="9.0323166724292789E-2"/>
    <n v="9.8888294603320562E-2"/>
    <n v="0.10052345538022585"/>
    <n v="8"/>
    <x v="78"/>
    <n v="134.33571428571432"/>
  </r>
  <r>
    <x v="1"/>
    <x v="7"/>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x v="226"/>
    <n v="125.66666666666667"/>
    <n v="125.6"/>
    <n v="0.10226744005707372"/>
    <n v="0.10232172213778343"/>
    <n v="0.11210800583144635"/>
    <n v="9.7626322156394427E-2"/>
    <n v="9.8440553367039926E-2"/>
    <n v="0.10707140419988212"/>
    <n v="9.8196284003846265E-2"/>
    <n v="8.9891125655262263E-2"/>
    <n v="9.868482273023356E-2"/>
    <n v="9.3392319861037867E-2"/>
    <n v="8"/>
    <x v="78"/>
    <n v="124.91428571428573"/>
  </r>
  <r>
    <x v="2"/>
    <x v="7"/>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x v="227"/>
    <n v="131.83333333333331"/>
    <n v="127.35"/>
    <n v="0.10141830523900719"/>
    <n v="0.10498871802650789"/>
    <n v="0.10910900851362371"/>
    <n v="9.7237338591933856E-2"/>
    <n v="9.6759513832268343E-2"/>
    <n v="0.10488253474658223"/>
    <n v="9.7715163351599396E-2"/>
    <n v="9.0069967196951026E-2"/>
    <n v="9.9387550010428719E-2"/>
    <n v="9.8431900491097665E-2"/>
    <n v="8"/>
    <x v="78"/>
    <n v="129.35714285714286"/>
  </r>
  <r>
    <x v="2"/>
    <x v="7"/>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x v="228"/>
    <n v="131.26666666666668"/>
    <n v="126.65"/>
    <n v="0.10110488731593924"/>
    <n v="0.10479037932627154"/>
    <n v="0.10964101141000955"/>
    <n v="9.7312955103142459E-2"/>
    <n v="9.6195332977265513E-2"/>
    <n v="0.10441783861764589"/>
    <n v="9.7712105862384227E-2"/>
    <n v="9.092654295527422E-2"/>
    <n v="9.938853905119964E-2"/>
    <n v="9.8510407380867762E-2"/>
    <n v="7"/>
    <x v="79"/>
    <n v="128.75714285714287"/>
  </r>
  <r>
    <x v="0"/>
    <x v="7"/>
    <s v="July"/>
    <n v="129.30000000000001"/>
    <n v="139.5"/>
    <n v="129.6"/>
    <n v="134.5"/>
    <n v="119.5"/>
    <n v="138.5"/>
    <n v="158.19999999999999"/>
    <n v="171.8"/>
    <n v="110.3"/>
    <n v="134.30000000000001"/>
    <n v="127.3"/>
    <n v="139.9"/>
    <n v="137.6"/>
    <n v="138"/>
    <n v="137.19999999999999"/>
    <n v="132.19999999999999"/>
    <n v="136.5"/>
    <n v="140.85"/>
    <n v="128.19999999999999"/>
    <n v="130"/>
    <n v="126.7"/>
    <n v="116.4"/>
    <n v="125.2"/>
    <n v="130.80000000000001"/>
    <n v="120.9"/>
    <n v="123.8"/>
    <n v="133"/>
    <x v="229"/>
    <n v="135.29999999999998"/>
    <n v="135.42500000000001"/>
    <n v="0.10588084181956781"/>
    <n v="0.10578311167205109"/>
    <n v="0.10657053743204262"/>
    <n v="9.6791938100516839E-2"/>
    <n v="9.4524598678129942E-2"/>
    <n v="0.10226482636145075"/>
    <n v="9.7886515752703615E-2"/>
    <n v="9.1006313367529568E-2"/>
    <n v="9.9059277522903749E-2"/>
    <n v="0.10023203929310386"/>
    <n v="7"/>
    <x v="79"/>
    <n v="133.67857142857142"/>
  </r>
  <r>
    <x v="1"/>
    <x v="7"/>
    <s v="July"/>
    <n v="126.8"/>
    <n v="144.19999999999999"/>
    <n v="136.6"/>
    <n v="131.80000000000001"/>
    <n v="111"/>
    <n v="137"/>
    <n v="179.5"/>
    <n v="188.4"/>
    <n v="113.3"/>
    <n v="143.9"/>
    <n v="121.7"/>
    <n v="137.5"/>
    <n v="139.80000000000001"/>
    <n v="142.9"/>
    <n v="127.9"/>
    <n v="121.1"/>
    <n v="126.9"/>
    <n v="126.4"/>
    <n v="115.5"/>
    <n v="123.5"/>
    <n v="120.9"/>
    <n v="111.7"/>
    <n v="120.3"/>
    <n v="130.80000000000001"/>
    <n v="120"/>
    <n v="119.9"/>
    <n v="129"/>
    <x v="230"/>
    <n v="125.3"/>
    <n v="124.95"/>
    <n v="0.10167215916025876"/>
    <n v="0.10195695512429309"/>
    <n v="0.11359290451198178"/>
    <n v="9.7562960250620445E-2"/>
    <n v="9.7644330526058823E-2"/>
    <n v="0.10643232027340413"/>
    <n v="9.788844135237397E-2"/>
    <n v="9.0890597664673098E-2"/>
    <n v="9.8376663005004278E-2"/>
    <n v="9.3982668131331618E-2"/>
    <n v="7"/>
    <x v="79"/>
    <n v="124.58571428571429"/>
  </r>
  <r>
    <x v="1"/>
    <x v="7"/>
    <s v="June"/>
    <n v="125.9"/>
    <n v="143.9"/>
    <n v="130.9"/>
    <n v="131"/>
    <n v="110.2"/>
    <n v="135.5"/>
    <n v="173.7"/>
    <n v="184.4"/>
    <n v="112"/>
    <n v="142.80000000000001"/>
    <n v="121.6"/>
    <n v="136.9"/>
    <n v="138.19999999999999"/>
    <n v="142.69999999999999"/>
    <n v="127.6"/>
    <n v="121.1"/>
    <n v="126.6"/>
    <n v="125.5"/>
    <n v="115.5"/>
    <n v="123.2"/>
    <n v="120.6"/>
    <n v="112.3"/>
    <n v="119.9"/>
    <n v="129.30000000000001"/>
    <n v="118.8"/>
    <n v="119.6"/>
    <n v="128.1"/>
    <x v="231"/>
    <n v="125.09999999999998"/>
    <n v="124.35"/>
    <n v="0.1016524582506131"/>
    <n v="0.10226556113511619"/>
    <n v="0.11267663202148782"/>
    <n v="9.7769473315426833E-2"/>
    <n v="9.71154969052902E-2"/>
    <n v="0.10569893728833354"/>
    <n v="9.801471446922809E-2"/>
    <n v="9.180193857293005E-2"/>
    <n v="9.8586943828097628E-2"/>
    <n v="9.4417844213476584E-2"/>
    <n v="6"/>
    <x v="80"/>
    <n v="124.11428571428573"/>
  </r>
  <r>
    <x v="2"/>
    <x v="7"/>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x v="232"/>
    <n v="130.70000000000002"/>
    <n v="125.95"/>
    <n v="0.10106608586003325"/>
    <n v="0.10487762939187256"/>
    <n v="0.10886112225597525"/>
    <n v="9.7495271393362767E-2"/>
    <n v="9.5810167937181195E-2"/>
    <n v="0.10407519917464321"/>
    <n v="9.7655757436808641E-2"/>
    <n v="9.1637530807588713E-2"/>
    <n v="9.9581589958159009E-2"/>
    <n v="9.8939645784375543E-2"/>
    <n v="6"/>
    <x v="80"/>
    <n v="128.14285714285717"/>
  </r>
  <r>
    <x v="0"/>
    <x v="7"/>
    <s v="June"/>
    <n v="128.6"/>
    <n v="138.6"/>
    <n v="126.6"/>
    <n v="133.6"/>
    <n v="118.6"/>
    <n v="137.4"/>
    <n v="152.5"/>
    <n v="169.2"/>
    <n v="108.8"/>
    <n v="133.1"/>
    <n v="126.4"/>
    <n v="139.19999999999999"/>
    <n v="136"/>
    <n v="137.19999999999999"/>
    <n v="136.30000000000001"/>
    <n v="131.6"/>
    <n v="135.6"/>
    <n v="140.85"/>
    <n v="128"/>
    <n v="129.30000000000001"/>
    <n v="126.2"/>
    <n v="116.3"/>
    <n v="124.1"/>
    <n v="130.19999999999999"/>
    <n v="119.9"/>
    <n v="123.3"/>
    <n v="131.9"/>
    <x v="233"/>
    <n v="134.5"/>
    <n v="135.07499999999999"/>
    <n v="0.10616808473010945"/>
    <n v="0.10571613841347194"/>
    <n v="0.10587333713230238"/>
    <n v="9.6913010158967208E-2"/>
    <n v="9.4240631938849712E-2"/>
    <n v="0.10233636595861743"/>
    <n v="9.754180503428897E-2"/>
    <n v="9.1411054999901764E-2"/>
    <n v="9.9192391582008613E-2"/>
    <n v="0.10060718005148259"/>
    <n v="6"/>
    <x v="80"/>
    <n v="133.12142857142859"/>
  </r>
  <r>
    <x v="0"/>
    <x v="7"/>
    <s v="May"/>
    <n v="127.6"/>
    <n v="137.5"/>
    <n v="124.4"/>
    <n v="132.4"/>
    <n v="118.2"/>
    <n v="138.1"/>
    <n v="141.80000000000001"/>
    <n v="166"/>
    <n v="107.5"/>
    <n v="132.19999999999999"/>
    <n v="126.1"/>
    <n v="138.30000000000001"/>
    <n v="133.6"/>
    <n v="136"/>
    <n v="135.4"/>
    <n v="131.1"/>
    <n v="134.80000000000001"/>
    <n v="140.85"/>
    <n v="127.4"/>
    <n v="128.5"/>
    <n v="125.8"/>
    <n v="115.1"/>
    <n v="123.6"/>
    <n v="129.1"/>
    <n v="119.7"/>
    <n v="122.5"/>
    <n v="130.30000000000001"/>
    <x v="234"/>
    <n v="133.76666666666668"/>
    <n v="134.67500000000001"/>
    <n v="0.10650645241164003"/>
    <n v="0.10578810556968292"/>
    <n v="0.10505187066744114"/>
    <n v="9.6877968594214978E-2"/>
    <n v="9.4663615026347209E-2"/>
    <n v="0.1020975162899033"/>
    <n v="9.7747893210163028E-2"/>
    <n v="9.1025748450564437E-2"/>
    <n v="9.9487742442059129E-2"/>
    <n v="0.10075308733798358"/>
    <n v="5"/>
    <x v="81"/>
    <n v="132.45000000000002"/>
  </r>
  <r>
    <x v="1"/>
    <x v="7"/>
    <s v="May"/>
    <n v="125"/>
    <n v="142.1"/>
    <n v="127"/>
    <n v="130.4"/>
    <n v="109.6"/>
    <n v="133.5"/>
    <n v="151.4"/>
    <n v="182.8"/>
    <n v="111.1"/>
    <n v="141.5"/>
    <n v="121.5"/>
    <n v="136.30000000000001"/>
    <n v="134.6"/>
    <n v="142.19999999999999"/>
    <n v="127.2"/>
    <n v="120.7"/>
    <n v="126.2"/>
    <n v="126"/>
    <n v="115"/>
    <n v="123.2"/>
    <n v="120.3"/>
    <n v="110.7"/>
    <n v="119.8"/>
    <n v="128"/>
    <n v="118.5"/>
    <n v="118.7"/>
    <n v="126.6"/>
    <x v="235"/>
    <n v="124.7"/>
    <n v="124.6"/>
    <n v="0.10253215150588955"/>
    <n v="0.10261444055204196"/>
    <n v="0.11103143441563022"/>
    <n v="9.7677097782898001E-2"/>
    <n v="9.75125196905932E-2"/>
    <n v="0.10532997907507113"/>
    <n v="9.858227729057438E-2"/>
    <n v="9.1093974090706048E-2"/>
    <n v="9.8993722521336383E-2"/>
    <n v="9.4632403075259219E-2"/>
    <n v="5"/>
    <x v="81"/>
    <n v="123.75714285714287"/>
  </r>
  <r>
    <x v="2"/>
    <x v="7"/>
    <s v="May"/>
    <n v="126.8"/>
    <n v="139.1"/>
    <n v="125.4"/>
    <n v="131.69999999999999"/>
    <n v="115"/>
    <n v="136"/>
    <n v="145.1"/>
    <n v="171.7"/>
    <n v="108.7"/>
    <n v="135.30000000000001"/>
    <n v="124.2"/>
    <n v="137.4"/>
    <n v="134"/>
    <n v="137.69999999999999"/>
    <n v="132.19999999999999"/>
    <n v="126.8"/>
    <n v="131.4"/>
    <n v="126"/>
    <n v="122.7"/>
    <n v="126"/>
    <n v="123.7"/>
    <n v="112.8"/>
    <n v="121.5"/>
    <n v="128.5"/>
    <n v="119.2"/>
    <n v="120.7"/>
    <n v="128.6"/>
    <x v="236"/>
    <n v="130.13333333333333"/>
    <n v="126"/>
    <n v="0.10172208649452849"/>
    <n v="0.10505900150122731"/>
    <n v="0.10772507357167159"/>
    <n v="9.7443300316584047E-2"/>
    <n v="9.6232323096411082E-2"/>
    <n v="0.10374038186148342"/>
    <n v="9.8089154834009623E-2"/>
    <n v="9.1065486957006461E-2"/>
    <n v="9.9865254756929964E-2"/>
    <n v="9.9057936610147987E-2"/>
    <n v="5"/>
    <x v="81"/>
    <n v="127.65714285714284"/>
  </r>
  <r>
    <x v="2"/>
    <x v="7"/>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x v="237"/>
    <n v="129.73333333333335"/>
    <n v="125.55"/>
    <n v="0.10198216458019459"/>
    <n v="0.10538021626075067"/>
    <n v="0.10666439743086405"/>
    <n v="9.7473992430293505E-2"/>
    <n v="9.5930654216813863E-2"/>
    <n v="0.10372857361123734"/>
    <n v="9.836750402757119E-2"/>
    <n v="9.105695459529918E-2"/>
    <n v="0.10007329889510135"/>
    <n v="9.9342243951874132E-2"/>
    <n v="4"/>
    <x v="82"/>
    <n v="127.18571428571428"/>
  </r>
  <r>
    <x v="0"/>
    <x v="7"/>
    <s v="April"/>
    <n v="127.4"/>
    <n v="135.4"/>
    <n v="123.4"/>
    <n v="131.30000000000001"/>
    <n v="118.2"/>
    <n v="138.1"/>
    <n v="134.1"/>
    <n v="162.69999999999999"/>
    <n v="105"/>
    <n v="131.4"/>
    <n v="125.4"/>
    <n v="137.4"/>
    <n v="131.80000000000001"/>
    <n v="135.5"/>
    <n v="135"/>
    <n v="130.6"/>
    <n v="134.4"/>
    <n v="140.85"/>
    <n v="127"/>
    <n v="128"/>
    <n v="125.2"/>
    <n v="114.4"/>
    <n v="123.2"/>
    <n v="127.9"/>
    <n v="118.4"/>
    <n v="121.7"/>
    <n v="129"/>
    <x v="238"/>
    <n v="133.33333333333334"/>
    <n v="134.42500000000001"/>
    <n v="0.10695987003822127"/>
    <n v="0.10609124794566613"/>
    <n v="0.10441083835766961"/>
    <n v="9.6834786562406752E-2"/>
    <n v="9.4209028175751525E-2"/>
    <n v="0.10176802959188024"/>
    <n v="9.8028313101795495E-2"/>
    <n v="9.1026290737381541E-2"/>
    <n v="9.9619681820980494E-2"/>
    <n v="0.10105191366824698"/>
    <n v="4"/>
    <x v="82"/>
    <n v="131.96428571428572"/>
  </r>
  <r>
    <x v="1"/>
    <x v="7"/>
    <s v="April"/>
    <n v="124.9"/>
    <n v="139.30000000000001"/>
    <n v="119.9"/>
    <n v="130.19999999999999"/>
    <n v="108.9"/>
    <n v="131.1"/>
    <n v="136.80000000000001"/>
    <n v="176.9"/>
    <n v="109.1"/>
    <n v="140.4"/>
    <n v="121.1"/>
    <n v="135.9"/>
    <n v="131.80000000000001"/>
    <n v="141.5"/>
    <n v="126.8"/>
    <n v="120.5"/>
    <n v="125.8"/>
    <n v="125.6"/>
    <n v="114.6"/>
    <n v="122.8"/>
    <n v="120"/>
    <n v="110"/>
    <n v="119.5"/>
    <n v="127.6"/>
    <n v="117.6"/>
    <n v="118.2"/>
    <n v="125.3"/>
    <x v="239"/>
    <n v="124.36666666666667"/>
    <n v="124.19999999999999"/>
    <n v="0.10281011151361301"/>
    <n v="0.10294807462621852"/>
    <n v="0.10925495977389818"/>
    <n v="9.7843439459815301E-2"/>
    <n v="9.7346772254435512E-2"/>
    <n v="0.10562455901076506"/>
    <n v="9.8919551738138128E-2"/>
    <n v="9.1055654319625062E-2"/>
    <n v="9.9333441075954612E-2"/>
    <n v="9.4863436227536652E-2"/>
    <n v="4"/>
    <x v="82"/>
    <n v="123.38571428571427"/>
  </r>
  <r>
    <x v="1"/>
    <x v="7"/>
    <s v="March"/>
    <n v="124.8"/>
    <n v="136.30000000000001"/>
    <n v="123.7"/>
    <n v="129.69999999999999"/>
    <n v="107.9"/>
    <n v="119.9"/>
    <n v="128.1"/>
    <n v="170.3"/>
    <n v="101.8"/>
    <n v="140.1"/>
    <n v="120.7"/>
    <n v="135.4"/>
    <n v="128.9"/>
    <n v="140.6"/>
    <n v="126.4"/>
    <n v="120.3"/>
    <n v="125.5"/>
    <n v="124.9"/>
    <n v="114.8"/>
    <n v="122.3"/>
    <n v="119.7"/>
    <n v="108.5"/>
    <n v="119.1"/>
    <n v="126.4"/>
    <n v="117.1"/>
    <n v="117.3"/>
    <n v="123.8"/>
    <x v="240"/>
    <n v="124.06666666666666"/>
    <n v="123.6"/>
    <n v="0.10302371180668567"/>
    <n v="0.10341269022235276"/>
    <n v="0.1076557302871296"/>
    <n v="9.7772503195179841E-2"/>
    <n v="9.7605798159893939E-2"/>
    <n v="0.10535758230068827"/>
    <n v="9.9272848512752934E-2"/>
    <n v="9.0437481642600293E-2"/>
    <n v="9.9772963618610641E-2"/>
    <n v="9.5688690254106104E-2"/>
    <n v="3"/>
    <x v="83"/>
    <n v="122.94285714285714"/>
  </r>
  <r>
    <x v="2"/>
    <x v="7"/>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x v="241"/>
    <n v="129.29999999999998"/>
    <n v="125"/>
    <n v="0.10212358704722777"/>
    <n v="0.1056366384416524"/>
    <n v="0.10572417294483576"/>
    <n v="9.7466751477874189E-2"/>
    <n v="9.5832774085118533E-2"/>
    <n v="0.10367586557034564"/>
    <n v="9.8528836783165347E-2"/>
    <n v="9.0604046428300486E-2"/>
    <n v="0.10040791078483435"/>
    <n v="9.9999416436645436E-2"/>
    <n v="3"/>
    <x v="83"/>
    <n v="126.74285714285715"/>
  </r>
  <r>
    <x v="0"/>
    <x v="7"/>
    <s v="March"/>
    <n v="127.3"/>
    <n v="134.4"/>
    <n v="125.1"/>
    <n v="130.5"/>
    <n v="118.3"/>
    <n v="131.69999999999999"/>
    <n v="130.69999999999999"/>
    <n v="161.19999999999999"/>
    <n v="100.4"/>
    <n v="130.80000000000001"/>
    <n v="124.9"/>
    <n v="137"/>
    <n v="130.4"/>
    <n v="135"/>
    <n v="134.4"/>
    <n v="130.19999999999999"/>
    <n v="133.80000000000001"/>
    <n v="140.85"/>
    <n v="127"/>
    <n v="127.7"/>
    <n v="124.8"/>
    <n v="113.6"/>
    <n v="122.5"/>
    <n v="127.5"/>
    <n v="117.4"/>
    <n v="121.1"/>
    <n v="128"/>
    <x v="242"/>
    <n v="132.80000000000001"/>
    <n v="134.27500000000001"/>
    <n v="0.10735037561353065"/>
    <n v="0.10617114043177711"/>
    <n v="0.10380124890428211"/>
    <n v="9.6817207125664204E-2"/>
    <n v="9.3859125652790906E-2"/>
    <n v="0.10193388859225588"/>
    <n v="9.7936481196481143E-2"/>
    <n v="9.0821096032002099E-2"/>
    <n v="9.9775288598537515E-2"/>
    <n v="0.10153414785267841"/>
    <n v="3"/>
    <x v="83"/>
    <n v="131.63571428571427"/>
  </r>
  <r>
    <x v="0"/>
    <x v="7"/>
    <s v="February"/>
    <n v="127.1"/>
    <n v="133.69999999999999"/>
    <n v="127.7"/>
    <n v="130.69999999999999"/>
    <n v="118.5"/>
    <n v="130.4"/>
    <n v="130.9"/>
    <n v="162.80000000000001"/>
    <n v="98.7"/>
    <n v="130.6"/>
    <n v="124.8"/>
    <n v="136.4"/>
    <n v="130.30000000000001"/>
    <n v="134.4"/>
    <n v="133.9"/>
    <n v="129.80000000000001"/>
    <n v="133.4"/>
    <n v="140.85"/>
    <n v="127.5"/>
    <n v="127.1"/>
    <n v="124.3"/>
    <n v="113.9"/>
    <n v="122.3"/>
    <n v="127.1"/>
    <n v="116.8"/>
    <n v="120.9"/>
    <n v="127.9"/>
    <x v="243"/>
    <n v="132.36666666666667"/>
    <n v="133.97499999999999"/>
    <n v="0.10727204963497249"/>
    <n v="0.10598427793754452"/>
    <n v="0.10391774274877776"/>
    <n v="9.6803066250182312E-2"/>
    <n v="9.3520249280573148E-2"/>
    <n v="0.10176732605788395"/>
    <n v="9.7924028142243963E-2"/>
    <n v="9.1198256789873991E-2"/>
    <n v="9.9525402273760624E-2"/>
    <n v="0.10208760088418729"/>
    <n v="2"/>
    <x v="84"/>
    <n v="131.37857142857143"/>
  </r>
  <r>
    <x v="1"/>
    <x v="7"/>
    <s v="February"/>
    <n v="124.8"/>
    <n v="135.1"/>
    <n v="130.30000000000001"/>
    <n v="129.6"/>
    <n v="108.4"/>
    <n v="118.6"/>
    <n v="129.19999999999999"/>
    <n v="176.4"/>
    <n v="99.1"/>
    <n v="139.69999999999999"/>
    <n v="120.6"/>
    <n v="135.19999999999999"/>
    <n v="129.1"/>
    <n v="140"/>
    <n v="126.2"/>
    <n v="120.1"/>
    <n v="125.3"/>
    <n v="124.4"/>
    <n v="116"/>
    <n v="121.8"/>
    <n v="119.5"/>
    <n v="109.1"/>
    <n v="118.8"/>
    <n v="126.3"/>
    <n v="116.2"/>
    <n v="117.2"/>
    <n v="123.8"/>
    <x v="244"/>
    <n v="123.86666666666667"/>
    <n v="123.1"/>
    <n v="0.10260145144678326"/>
    <n v="0.10324045317526311"/>
    <n v="0.10812028314523794"/>
    <n v="9.7683916405873275E-2"/>
    <n v="9.6850435890464798E-2"/>
    <n v="0.10526858909609038"/>
    <n v="9.9017485230526822E-2"/>
    <n v="9.0932724231064618E-2"/>
    <n v="9.9600921591312758E-2"/>
    <n v="9.6683739787383094E-2"/>
    <n v="2"/>
    <x v="84"/>
    <n v="122.87142857142858"/>
  </r>
  <r>
    <x v="2"/>
    <x v="7"/>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x v="245"/>
    <n v="128.96666666666667"/>
    <n v="124.5"/>
    <n v="0.10182898805860864"/>
    <n v="0.10548229044143423"/>
    <n v="0.1059769273312198"/>
    <n v="9.7412309058476212E-2"/>
    <n v="9.5367550262118614E-2"/>
    <n v="0.10354658544754902"/>
    <n v="9.8393793280727865E-2"/>
    <n v="9.1114451965694815E-2"/>
    <n v="0.10019318102152257"/>
    <n v="0.10068392313264839"/>
    <n v="2"/>
    <x v="84"/>
    <n v="126.51428571428569"/>
  </r>
  <r>
    <x v="2"/>
    <x v="7"/>
    <s v="January"/>
    <n v="126.1"/>
    <n v="134.1"/>
    <n v="128.6"/>
    <n v="129.9"/>
    <n v="115.5"/>
    <n v="125.7"/>
    <n v="141.5"/>
    <n v="170.7"/>
    <n v="97.4"/>
    <n v="132.9"/>
    <n v="122.7"/>
    <n v="135.30000000000001"/>
    <n v="131.30000000000001"/>
    <n v="135.19999999999999"/>
    <n v="130.30000000000001"/>
    <n v="125.1"/>
    <n v="129.5"/>
    <n v="123.4"/>
    <n v="122.7"/>
    <n v="124.2"/>
    <n v="122"/>
    <n v="111.1"/>
    <n v="119.8"/>
    <n v="126.3"/>
    <n v="114.5"/>
    <n v="118.5"/>
    <n v="126.3"/>
    <x v="246"/>
    <n v="128.29999999999998"/>
    <n v="123.80000000000001"/>
    <n v="0.10168437479832679"/>
    <n v="0.10538049504543881"/>
    <n v="0.10718162030871407"/>
    <n v="9.7331166507283712E-2"/>
    <n v="9.404572628762857E-2"/>
    <n v="0.10373777493561125"/>
    <n v="9.8398934578671632E-2"/>
    <n v="9.125310210092169E-2"/>
    <n v="0.10020592669948197"/>
    <n v="0.10078087873792162"/>
    <n v="1"/>
    <x v="85"/>
    <n v="125.92857142857143"/>
  </r>
  <r>
    <x v="0"/>
    <x v="7"/>
    <s v="January"/>
    <n v="126.8"/>
    <n v="133.19999999999999"/>
    <n v="126.5"/>
    <n v="130.30000000000001"/>
    <n v="118.9"/>
    <n v="131.6"/>
    <n v="140.1"/>
    <n v="163.80000000000001"/>
    <n v="97.7"/>
    <n v="129.6"/>
    <n v="124.3"/>
    <n v="135.9"/>
    <n v="131.4"/>
    <n v="133.6"/>
    <n v="133.19999999999999"/>
    <n v="128.9"/>
    <n v="132.6"/>
    <n v="140.85"/>
    <n v="126.2"/>
    <n v="126.6"/>
    <n v="123.7"/>
    <n v="113.6"/>
    <n v="121.4"/>
    <n v="126.2"/>
    <n v="114.9"/>
    <n v="120.1"/>
    <n v="128.1"/>
    <x v="247"/>
    <n v="131.56666666666669"/>
    <n v="133.72499999999999"/>
    <n v="0.1076989159062734"/>
    <n v="0.10596064587326259"/>
    <n v="0.10491173941098245"/>
    <n v="9.6725666856185721E-2"/>
    <n v="9.253771125541832E-2"/>
    <n v="0.10163846092631672"/>
    <n v="9.7772655756377572E-2"/>
    <n v="9.1490722355226456E-2"/>
    <n v="9.9625020733640088E-2"/>
    <n v="0.10163846092631672"/>
    <n v="1"/>
    <x v="85"/>
    <n v="130.65"/>
  </r>
  <r>
    <x v="1"/>
    <x v="7"/>
    <s v="January"/>
    <n v="124.7"/>
    <n v="135.9"/>
    <n v="132"/>
    <n v="129.19999999999999"/>
    <n v="109.7"/>
    <n v="119"/>
    <n v="144.1"/>
    <n v="184.2"/>
    <n v="96.7"/>
    <n v="139.5"/>
    <n v="120.5"/>
    <n v="134.69999999999999"/>
    <n v="131.19999999999999"/>
    <n v="139.5"/>
    <n v="125.8"/>
    <n v="119.8"/>
    <n v="124.9"/>
    <n v="123.4"/>
    <n v="116.9"/>
    <n v="121.6"/>
    <n v="119.1"/>
    <n v="108.9"/>
    <n v="118.5"/>
    <n v="126.4"/>
    <n v="114"/>
    <n v="116.8"/>
    <n v="124.2"/>
    <x v="248"/>
    <n v="123.5"/>
    <n v="122.5"/>
    <n v="0.10224583117216052"/>
    <n v="0.10308049101846387"/>
    <n v="0.10975180793284567"/>
    <n v="9.7488270048231407E-2"/>
    <n v="9.5151222478582029E-2"/>
    <n v="0.10550100457274358"/>
    <n v="9.890719178694711E-2"/>
    <n v="9.0894457262434947E-2"/>
    <n v="9.9407987694729111E-2"/>
    <n v="9.7571736032861761E-2"/>
    <n v="1"/>
    <x v="85"/>
    <n v="122.68571428571427"/>
  </r>
  <r>
    <x v="1"/>
    <x v="8"/>
    <s v="December"/>
    <n v="124.3"/>
    <n v="131.69999999999999"/>
    <n v="127.1"/>
    <n v="128.6"/>
    <n v="110"/>
    <n v="120.8"/>
    <n v="149"/>
    <n v="190.1"/>
    <n v="92.7"/>
    <n v="138.6"/>
    <n v="120.2"/>
    <n v="134.19999999999999"/>
    <n v="131.5"/>
    <n v="138.19999999999999"/>
    <n v="125.4"/>
    <n v="119.5"/>
    <n v="124.5"/>
    <n v="122.4"/>
    <n v="116"/>
    <n v="121"/>
    <n v="118.6"/>
    <n v="109.3"/>
    <n v="118.1"/>
    <n v="126.6"/>
    <n v="113.2"/>
    <n v="116.7"/>
    <n v="124"/>
    <x v="249"/>
    <n v="123.13333333333333"/>
    <n v="121.7"/>
    <n v="0.10187957186422436"/>
    <n v="0.10307946821869207"/>
    <n v="0.1098443323832493"/>
    <n v="9.7693886906778826E-2"/>
    <n v="9.4763907436566944E-2"/>
    <n v="0.10598154312252098"/>
    <n v="9.886587869486356E-2"/>
    <n v="9.1499073169759415E-2"/>
    <n v="9.9284447190608111E-2"/>
    <n v="9.7107891012736439E-2"/>
    <n v="12"/>
    <x v="86"/>
    <n v="122.2"/>
  </r>
  <r>
    <x v="2"/>
    <x v="8"/>
    <s v="December"/>
    <n v="125.7"/>
    <n v="131.4"/>
    <n v="124.8"/>
    <n v="129.4"/>
    <n v="115.3"/>
    <n v="126.6"/>
    <n v="146.69999999999999"/>
    <n v="171.5"/>
    <n v="94.5"/>
    <n v="132.1"/>
    <n v="122"/>
    <n v="134.69999999999999"/>
    <n v="131.4"/>
    <n v="134.5"/>
    <n v="129.69999999999999"/>
    <n v="124.8"/>
    <n v="129"/>
    <n v="122.4"/>
    <n v="122"/>
    <n v="123.6"/>
    <n v="121.4"/>
    <n v="111.5"/>
    <n v="119.6"/>
    <n v="126.2"/>
    <n v="113.7"/>
    <n v="118.3"/>
    <n v="126.1"/>
    <x v="250"/>
    <n v="127.83333333333333"/>
    <n v="123"/>
    <n v="0.10135333979462509"/>
    <n v="0.10533605910904803"/>
    <n v="0.10715673079564138"/>
    <n v="9.7480488599220719E-2"/>
    <n v="9.3690038493080274E-2"/>
    <n v="0.10399017465107062"/>
    <n v="9.8551702759651708E-2"/>
    <n v="9.1877214529273971E-2"/>
    <n v="0.10003492236640234"/>
    <n v="0.10052932890198586"/>
    <n v="12"/>
    <x v="86"/>
    <n v="125.38571428571429"/>
  </r>
  <r>
    <x v="0"/>
    <x v="8"/>
    <s v="December"/>
    <n v="126.3"/>
    <n v="131.30000000000001"/>
    <n v="123.3"/>
    <n v="129.80000000000001"/>
    <n v="118.3"/>
    <n v="131.6"/>
    <n v="145.5"/>
    <n v="162.1"/>
    <n v="95.4"/>
    <n v="128.9"/>
    <n v="123.3"/>
    <n v="135.1"/>
    <n v="131.4"/>
    <n v="133.1"/>
    <n v="132.5"/>
    <n v="128.5"/>
    <n v="131.9"/>
    <n v="140.85"/>
    <n v="125.7"/>
    <n v="126"/>
    <n v="123.1"/>
    <n v="114"/>
    <n v="121.6"/>
    <n v="125.6"/>
    <n v="114.1"/>
    <n v="119.8"/>
    <n v="127.9"/>
    <x v="251"/>
    <n v="130.96666666666667"/>
    <n v="133.42500000000001"/>
    <n v="0.10777784936661509"/>
    <n v="0.10579206049876477"/>
    <n v="0.1047457949838877"/>
    <n v="9.677186699734297E-2"/>
    <n v="9.2167529419005287E-2"/>
    <n v="0.1014569824279322"/>
    <n v="9.822586833787067E-2"/>
    <n v="9.208675156675375E-2"/>
    <n v="9.9437536121643744E-2"/>
    <n v="0.10153776028018374"/>
    <n v="12"/>
    <x v="86"/>
    <n v="130.15"/>
  </r>
  <r>
    <x v="0"/>
    <x v="8"/>
    <s v="November"/>
    <n v="126.1"/>
    <n v="130.6"/>
    <n v="121.7"/>
    <n v="129.5"/>
    <n v="117.8"/>
    <n v="132.1"/>
    <n v="155.19999999999999"/>
    <n v="160.80000000000001"/>
    <n v="94.5"/>
    <n v="128.30000000000001"/>
    <n v="123.1"/>
    <n v="134.19999999999999"/>
    <n v="132.4"/>
    <n v="132.19999999999999"/>
    <n v="132.1"/>
    <n v="128.19999999999999"/>
    <n v="131.5"/>
    <n v="140.85"/>
    <n v="125.6"/>
    <n v="125.6"/>
    <n v="122.6"/>
    <n v="114"/>
    <n v="120.9"/>
    <n v="125.8"/>
    <n v="114.2"/>
    <n v="119.6"/>
    <n v="128.30000000000001"/>
    <x v="252"/>
    <n v="130.6"/>
    <n v="133.22499999999999"/>
    <n v="0.10775078929049069"/>
    <n v="0.10562772063304998"/>
    <n v="0.10505579193349453"/>
    <n v="9.6731051973298454E-2"/>
    <n v="9.2363596449420438E-2"/>
    <n v="0.10174553794515841"/>
    <n v="9.7782476451269099E-2"/>
    <n v="9.2201838837424943E-2"/>
    <n v="9.915741615323069E-2"/>
    <n v="0.10158378033316293"/>
    <n v="11"/>
    <x v="87"/>
    <n v="129.94999999999999"/>
  </r>
  <r>
    <x v="1"/>
    <x v="8"/>
    <s v="November"/>
    <n v="124"/>
    <n v="129.80000000000001"/>
    <n v="121.5"/>
    <n v="128.6"/>
    <n v="110"/>
    <n v="123.7"/>
    <n v="164.6"/>
    <n v="191.6"/>
    <n v="90.8"/>
    <n v="137.1"/>
    <n v="119.8"/>
    <n v="133.69999999999999"/>
    <n v="133.30000000000001"/>
    <n v="137.6"/>
    <n v="125"/>
    <n v="119.3"/>
    <n v="124.2"/>
    <n v="122.9"/>
    <n v="115.1"/>
    <n v="121"/>
    <n v="118.1"/>
    <n v="109.3"/>
    <n v="117.9"/>
    <n v="126.6"/>
    <n v="113.3"/>
    <n v="116.6"/>
    <n v="124.6"/>
    <x v="253"/>
    <n v="122.83333333333333"/>
    <n v="121.95"/>
    <n v="0.10217439007361011"/>
    <n v="0.10291448063994894"/>
    <n v="0.11048095912545633"/>
    <n v="9.7691954756727664E-2"/>
    <n v="9.4927088112669325E-2"/>
    <n v="0.10607033852660139"/>
    <n v="9.8781144646811245E-2"/>
    <n v="9.1575734604719836E-2"/>
    <n v="9.8948712322208712E-2"/>
    <n v="9.6435197191246602E-2"/>
    <n v="11"/>
    <x v="87"/>
    <n v="122.01428571428572"/>
  </r>
  <r>
    <x v="2"/>
    <x v="8"/>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x v="254"/>
    <n v="127.46666666666665"/>
    <n v="123.15"/>
    <n v="0.10157339292797977"/>
    <n v="0.105133754109242"/>
    <n v="0.10755904151070857"/>
    <n v="9.7408182742950961E-2"/>
    <n v="9.3861568129956136E-2"/>
    <n v="0.10417149433052249"/>
    <n v="9.8315456248600802E-2"/>
    <n v="9.1964541709051925E-2"/>
    <n v="9.9717606211877821E-2"/>
    <n v="0.10029496207910954"/>
    <n v="11"/>
    <x v="87"/>
    <n v="125.22857142857141"/>
  </r>
  <r>
    <x v="2"/>
    <x v="8"/>
    <s v="October"/>
    <n v="125"/>
    <n v="129.80000000000001"/>
    <n v="118.9"/>
    <n v="129.1"/>
    <n v="113.3"/>
    <n v="129"/>
    <n v="160.4"/>
    <n v="165.3"/>
    <n v="92.3"/>
    <n v="129.69999999999999"/>
    <n v="121.1"/>
    <n v="133"/>
    <n v="132.1"/>
    <n v="132.5"/>
    <n v="128.5"/>
    <n v="123.8"/>
    <n v="127.8"/>
    <n v="122.4"/>
    <n v="120.8"/>
    <n v="123"/>
    <n v="120.4"/>
    <n v="111.4"/>
    <n v="118.7"/>
    <n v="125.9"/>
    <n v="113.9"/>
    <n v="117.9"/>
    <n v="126.1"/>
    <x v="255"/>
    <n v="126.7"/>
    <n v="122.7"/>
    <n v="0.10159026796222152"/>
    <n v="0.10490209413865906"/>
    <n v="0.10713166283243933"/>
    <n v="9.7616076550496478E-2"/>
    <n v="9.4304250374058943E-2"/>
    <n v="0.10423972890337156"/>
    <n v="9.8278441785783988E-2"/>
    <n v="9.2234359013785475E-2"/>
    <n v="9.9685967910769946E-2"/>
    <n v="0.10001715052841369"/>
    <n v="10"/>
    <x v="88"/>
    <n v="124.6"/>
  </r>
  <r>
    <x v="0"/>
    <x v="8"/>
    <s v="October"/>
    <n v="125.6"/>
    <n v="130.4"/>
    <n v="120.8"/>
    <n v="129.4"/>
    <n v="115.8"/>
    <n v="133.19999999999999"/>
    <n v="157.69999999999999"/>
    <n v="154.19999999999999"/>
    <n v="93.7"/>
    <n v="126.6"/>
    <n v="122.3"/>
    <n v="133.1"/>
    <n v="131.80000000000001"/>
    <n v="131.5"/>
    <n v="131.1"/>
    <n v="127.3"/>
    <n v="130.6"/>
    <n v="140.85"/>
    <n v="124.4"/>
    <n v="125.1"/>
    <n v="122"/>
    <n v="113.8"/>
    <n v="120.1"/>
    <n v="125.1"/>
    <n v="114.2"/>
    <n v="119.2"/>
    <n v="127.7"/>
    <x v="256"/>
    <n v="129.66666666666666"/>
    <n v="132.97499999999999"/>
    <n v="0.1080703227722753"/>
    <n v="0.10538160195128179"/>
    <n v="0.10484559931190417"/>
    <n v="9.6875220714083221E-2"/>
    <n v="9.2811662798224032E-2"/>
    <n v="0.10167021905479706"/>
    <n v="9.7606661138937872E-2"/>
    <n v="9.2486578164955285E-2"/>
    <n v="9.9150813146964376E-2"/>
    <n v="0.10110132094657678"/>
    <n v="10"/>
    <x v="88"/>
    <n v="129.20714285714286"/>
  </r>
  <r>
    <x v="1"/>
    <x v="8"/>
    <s v="October"/>
    <n v="123.6"/>
    <n v="128.6"/>
    <n v="115.9"/>
    <n v="128.5"/>
    <n v="109"/>
    <n v="124.1"/>
    <n v="165.8"/>
    <n v="187.2"/>
    <n v="89.4"/>
    <n v="135.80000000000001"/>
    <n v="119.4"/>
    <n v="132.9"/>
    <n v="132.6"/>
    <n v="135.30000000000001"/>
    <n v="124.4"/>
    <n v="118.8"/>
    <n v="123.6"/>
    <n v="122.4"/>
    <n v="114.9"/>
    <n v="120.7"/>
    <n v="117.7"/>
    <n v="109.3"/>
    <n v="117.7"/>
    <n v="126.5"/>
    <n v="113.5"/>
    <n v="116.5"/>
    <n v="124.2"/>
    <x v="257"/>
    <n v="122.26666666666665"/>
    <n v="121.55000000000001"/>
    <n v="0.10210036639413769"/>
    <n v="0.10270235676229178"/>
    <n v="0.10968424505207917"/>
    <n v="9.7858434265051752E-2"/>
    <n v="9.5338474584406641E-2"/>
    <n v="0.10625829986720212"/>
    <n v="9.88664181373098E-2"/>
    <n v="9.1810531031503495E-2"/>
    <n v="9.88664181373098E-2"/>
    <n v="9.6514455768707694E-2"/>
    <n v="10"/>
    <x v="88"/>
    <n v="121.61428571428571"/>
  </r>
  <r>
    <x v="1"/>
    <x v="8"/>
    <s v="September"/>
    <n v="123.4"/>
    <n v="129"/>
    <n v="115.6"/>
    <n v="128.30000000000001"/>
    <n v="107"/>
    <n v="124"/>
    <n v="168.5"/>
    <n v="165.4"/>
    <n v="86.3"/>
    <n v="134.4"/>
    <n v="119.1"/>
    <n v="132.30000000000001"/>
    <n v="131.5"/>
    <n v="134.69999999999999"/>
    <n v="124"/>
    <n v="118.6"/>
    <n v="123.2"/>
    <n v="121.6"/>
    <n v="115.1"/>
    <n v="120.4"/>
    <n v="117.1"/>
    <n v="109.1"/>
    <n v="117.3"/>
    <n v="126.5"/>
    <n v="112.9"/>
    <n v="116.2"/>
    <n v="123.5"/>
    <x v="258"/>
    <n v="121.93333333333334"/>
    <n v="121"/>
    <n v="0.10205208632457867"/>
    <n v="0.10283926495187569"/>
    <n v="0.1084077504965049"/>
    <n v="9.8003739098479675E-2"/>
    <n v="9.522050038053663E-2"/>
    <n v="0.10669081752115042"/>
    <n v="9.8931485337794028E-2"/>
    <n v="9.2015558826541582E-2"/>
    <n v="9.8762804203373231E-2"/>
    <n v="9.7075992859165322E-2"/>
    <n v="9"/>
    <x v="89"/>
    <n v="121.34285714285716"/>
  </r>
  <r>
    <x v="2"/>
    <x v="8"/>
    <s v="September"/>
    <n v="124.6"/>
    <n v="130.4"/>
    <n v="118.7"/>
    <n v="128.9"/>
    <n v="111.9"/>
    <n v="128.4"/>
    <n v="162.19999999999999"/>
    <n v="150"/>
    <n v="90.4"/>
    <n v="128.4"/>
    <n v="120.7"/>
    <n v="132.5"/>
    <n v="131.19999999999999"/>
    <n v="132"/>
    <n v="127.9"/>
    <n v="123.4"/>
    <n v="127.2"/>
    <n v="121.6"/>
    <n v="120.4"/>
    <n v="122.6"/>
    <n v="119.8"/>
    <n v="111.3"/>
    <n v="118.3"/>
    <n v="125.7"/>
    <n v="113.4"/>
    <n v="117.5"/>
    <n v="125.4"/>
    <x v="259"/>
    <n v="126.16666666666667"/>
    <n v="122.1"/>
    <n v="0.10153464180141722"/>
    <n v="0.1049163579629714"/>
    <n v="0.10633992583191605"/>
    <n v="9.7709421880970718E-2"/>
    <n v="9.429998673448578E-2"/>
    <n v="0.10452829217394059"/>
    <n v="9.8374677519309242E-2"/>
    <n v="9.2553690683847153E-2"/>
    <n v="9.9622031841193975E-2"/>
    <n v="0.10012097356994787"/>
    <n v="9"/>
    <x v="89"/>
    <n v="124.11428571428573"/>
  </r>
  <r>
    <x v="0"/>
    <x v="8"/>
    <s v="September"/>
    <n v="125.1"/>
    <n v="131.1"/>
    <n v="120.7"/>
    <n v="129.19999999999999"/>
    <n v="114.7"/>
    <n v="132.30000000000001"/>
    <n v="158.9"/>
    <n v="142.1"/>
    <n v="92.5"/>
    <n v="125.4"/>
    <n v="121.9"/>
    <n v="132.69999999999999"/>
    <n v="131"/>
    <n v="131"/>
    <n v="130.4"/>
    <n v="126.8"/>
    <n v="129.9"/>
    <n v="140.85"/>
    <n v="123.7"/>
    <n v="124.5"/>
    <n v="121.4"/>
    <n v="113.8"/>
    <n v="119.6"/>
    <n v="124.5"/>
    <n v="113.7"/>
    <n v="118.8"/>
    <n v="127"/>
    <x v="260"/>
    <n v="129.03333333333333"/>
    <n v="132.67500000000001"/>
    <n v="0.10830917489414182"/>
    <n v="0.10533630199490558"/>
    <n v="0.10429448448984471"/>
    <n v="9.6982325060667396E-2"/>
    <n v="9.28189424191741E-2"/>
    <n v="0.10163551742468932"/>
    <n v="9.7635404690705557E-2"/>
    <n v="9.2900577372928866E-2"/>
    <n v="9.9104833858291441E-2"/>
    <n v="0.10098243779465116"/>
    <n v="9"/>
    <x v="89"/>
    <n v="128.66428571428568"/>
  </r>
  <r>
    <x v="0"/>
    <x v="8"/>
    <s v="August"/>
    <n v="124.7"/>
    <n v="131.30000000000001"/>
    <n v="121.3"/>
    <n v="128.80000000000001"/>
    <n v="114"/>
    <n v="134.19999999999999"/>
    <n v="153.6"/>
    <n v="137.9"/>
    <n v="93.1"/>
    <n v="123.9"/>
    <n v="121.5"/>
    <n v="132.5"/>
    <n v="129.80000000000001"/>
    <n v="130.1"/>
    <n v="129.5"/>
    <n v="126.3"/>
    <n v="129"/>
    <n v="140.85"/>
    <n v="123.8"/>
    <n v="123.7"/>
    <n v="121.1"/>
    <n v="113.6"/>
    <n v="118.5"/>
    <n v="123.6"/>
    <n v="112.5"/>
    <n v="118.2"/>
    <n v="126.1"/>
    <x v="261"/>
    <n v="128.26666666666668"/>
    <n v="132.27500000000001"/>
    <n v="0.1085334393489029"/>
    <n v="0.10524454724742101"/>
    <n v="0.10412903944228516"/>
    <n v="9.698471011937497E-2"/>
    <n v="9.2307782474024394E-2"/>
    <n v="0.10141548367812812"/>
    <n v="9.7230864205972364E-2"/>
    <n v="9.3210347458214854E-2"/>
    <n v="9.936419962314981E-2"/>
    <n v="0.1015795864025264"/>
    <n v="8"/>
    <x v="90"/>
    <n v="128.10714285714286"/>
  </r>
  <r>
    <x v="1"/>
    <x v="8"/>
    <s v="August"/>
    <n v="123.1"/>
    <n v="131.69999999999999"/>
    <n v="118.1"/>
    <n v="128"/>
    <n v="106.8"/>
    <n v="130.1"/>
    <n v="165.5"/>
    <n v="156"/>
    <n v="85.3"/>
    <n v="132.69999999999999"/>
    <n v="118.8"/>
    <n v="131.69999999999999"/>
    <n v="131.1"/>
    <n v="134.19999999999999"/>
    <n v="123.7"/>
    <n v="118.2"/>
    <n v="122.9"/>
    <n v="120.9"/>
    <n v="115.3"/>
    <n v="120"/>
    <n v="116.6"/>
    <n v="109.9"/>
    <n v="117.2"/>
    <n v="126.2"/>
    <n v="112"/>
    <n v="116.2"/>
    <n v="123.2"/>
    <x v="262"/>
    <n v="121.60000000000001"/>
    <n v="120.45"/>
    <n v="0.10177194104795587"/>
    <n v="0.10274361171798617"/>
    <n v="0.10821755766654192"/>
    <n v="9.8180984223930859E-2"/>
    <n v="9.4632273950776724E-2"/>
    <n v="0.10663029439810735"/>
    <n v="9.9025915241348503E-2"/>
    <n v="9.2857918814199678E-2"/>
    <n v="9.8518956630897908E-2"/>
    <n v="9.7420546308254974E-2"/>
    <n v="8"/>
    <x v="90"/>
    <n v="121.02857142857144"/>
  </r>
  <r>
    <x v="2"/>
    <x v="8"/>
    <s v="August"/>
    <n v="124.2"/>
    <n v="131.4"/>
    <n v="120.1"/>
    <n v="128.5"/>
    <n v="111.4"/>
    <n v="132.30000000000001"/>
    <n v="157.6"/>
    <n v="144"/>
    <n v="90.5"/>
    <n v="126.8"/>
    <n v="120.4"/>
    <n v="132.1"/>
    <n v="130.30000000000001"/>
    <n v="131.19999999999999"/>
    <n v="127.2"/>
    <n v="122.9"/>
    <n v="126.6"/>
    <n v="120.9"/>
    <n v="120.6"/>
    <n v="122"/>
    <n v="119.4"/>
    <n v="111.7"/>
    <n v="117.8"/>
    <n v="125.1"/>
    <n v="112.3"/>
    <n v="117.2"/>
    <n v="124.8"/>
    <x v="263"/>
    <n v="125.56666666666668"/>
    <n v="121.45"/>
    <n v="0.10135050557031391"/>
    <n v="0.1047858801930486"/>
    <n v="0.10614890332271659"/>
    <n v="9.7803863753320633E-2"/>
    <n v="9.3714794364316609E-2"/>
    <n v="0.10439644501314344"/>
    <n v="9.8304566127484394E-2"/>
    <n v="9.3214091990152861E-2"/>
    <n v="9.9639772458587753E-2"/>
    <n v="0.10064117720691526"/>
    <n v="8"/>
    <x v="90"/>
    <n v="123.61428571428573"/>
  </r>
  <r>
    <x v="2"/>
    <x v="8"/>
    <s v="July"/>
    <n v="123.7"/>
    <n v="132.5"/>
    <n v="121"/>
    <n v="128.30000000000001"/>
    <n v="110.9"/>
    <n v="133.1"/>
    <n v="145.1"/>
    <n v="139.1"/>
    <n v="91.3"/>
    <n v="126.1"/>
    <n v="119.9"/>
    <n v="131.4"/>
    <n v="128.19999999999999"/>
    <n v="130.4"/>
    <n v="126.7"/>
    <n v="122.3"/>
    <n v="126.1"/>
    <n v="119.9"/>
    <n v="120.1"/>
    <n v="121.3"/>
    <n v="119"/>
    <n v="112.7"/>
    <n v="117.2"/>
    <n v="124.4"/>
    <n v="112.3"/>
    <n v="117.2"/>
    <n v="123.6"/>
    <x v="264"/>
    <n v="125.03333333333335"/>
    <n v="120.6"/>
    <n v="0.10097804287759114"/>
    <n v="0.10469006048475522"/>
    <n v="0.10532002695299575"/>
    <n v="9.8131232381871325E-2"/>
    <n v="9.40284760792163E-2"/>
    <n v="0.10415977225516035"/>
    <n v="9.8131232381871325E-2"/>
    <n v="9.4363394961065689E-2"/>
    <n v="9.9638367350193588E-2"/>
    <n v="0.10055939427527941"/>
    <n v="7"/>
    <x v="91"/>
    <n v="122.97142857142856"/>
  </r>
  <r>
    <x v="0"/>
    <x v="8"/>
    <s v="July"/>
    <n v="124"/>
    <n v="131.5"/>
    <n v="122"/>
    <n v="128.69999999999999"/>
    <n v="113.5"/>
    <n v="133.30000000000001"/>
    <n v="140.80000000000001"/>
    <n v="133.80000000000001"/>
    <n v="94.1"/>
    <n v="123.4"/>
    <n v="121"/>
    <n v="131.69999999999999"/>
    <n v="127.5"/>
    <n v="129.4"/>
    <n v="128.80000000000001"/>
    <n v="125.5"/>
    <n v="128.30000000000001"/>
    <n v="140.85"/>
    <n v="123"/>
    <n v="123"/>
    <n v="120.8"/>
    <n v="114.1"/>
    <n v="118"/>
    <n v="122.9"/>
    <n v="112.7"/>
    <n v="118.1"/>
    <n v="124.7"/>
    <x v="265"/>
    <n v="127.53333333333335"/>
    <n v="131.92500000000001"/>
    <n v="0.1086344257522123"/>
    <n v="0.10501808172016025"/>
    <n v="0.10320843924708677"/>
    <n v="9.7250147290780908E-2"/>
    <n v="9.2803485179263401E-2"/>
    <n v="0.10120273583435202"/>
    <n v="9.7167801696123171E-2"/>
    <n v="9.3956323504471639E-2"/>
    <n v="9.9473478346539648E-2"/>
    <n v="0.10128508142900974"/>
    <n v="7"/>
    <x v="91"/>
    <n v="127.47857142857141"/>
  </r>
  <r>
    <x v="1"/>
    <x v="8"/>
    <s v="July"/>
    <n v="123.2"/>
    <n v="134.30000000000001"/>
    <n v="119.5"/>
    <n v="127.7"/>
    <n v="106.3"/>
    <n v="132.80000000000001"/>
    <n v="153.5"/>
    <n v="149.5"/>
    <n v="85.7"/>
    <n v="131.5"/>
    <n v="118.3"/>
    <n v="131.1"/>
    <n v="129.5"/>
    <n v="133.1"/>
    <n v="123.5"/>
    <n v="117.9"/>
    <n v="122.7"/>
    <n v="119.9"/>
    <n v="115.3"/>
    <n v="119.5"/>
    <n v="116"/>
    <n v="111.5"/>
    <n v="116.6"/>
    <n v="125.4"/>
    <n v="111.7"/>
    <n v="116.3"/>
    <n v="122.4"/>
    <x v="266"/>
    <n v="121.36666666666667"/>
    <n v="119.7"/>
    <n v="0.10137849261147319"/>
    <n v="0.10279005613989806"/>
    <n v="0.10744014970639479"/>
    <n v="9.8498903013486488E-2"/>
    <n v="9.4602987675033889E-2"/>
    <n v="0.10620603987868621"/>
    <n v="9.8752984448602962E-2"/>
    <n v="9.4433600051622907E-2"/>
    <n v="9.8244821578370015E-2"/>
    <n v="9.7651964896431576E-2"/>
    <n v="7"/>
    <x v="91"/>
    <n v="120.60000000000001"/>
  </r>
  <r>
    <x v="1"/>
    <x v="8"/>
    <s v="June"/>
    <n v="123.6"/>
    <n v="134.4"/>
    <n v="120.9"/>
    <n v="127.3"/>
    <n v="106"/>
    <n v="132.30000000000001"/>
    <n v="146.69999999999999"/>
    <n v="148.1"/>
    <n v="89.8"/>
    <n v="130.5"/>
    <n v="118"/>
    <n v="130.5"/>
    <n v="128.5"/>
    <n v="132.1"/>
    <n v="123.2"/>
    <n v="117.6"/>
    <n v="122.3"/>
    <n v="119"/>
    <n v="115.1"/>
    <n v="119.2"/>
    <n v="115.4"/>
    <n v="111.7"/>
    <n v="116.2"/>
    <n v="123.8"/>
    <n v="112.5"/>
    <n v="116"/>
    <n v="121.7"/>
    <x v="267"/>
    <n v="121.03333333333335"/>
    <n v="119.1"/>
    <n v="0.10117493340560788"/>
    <n v="0.10281729168647138"/>
    <n v="0.10732164130652432"/>
    <n v="9.8541496851809518E-2"/>
    <n v="9.5568262033004919E-2"/>
    <n v="0.1051675630194312"/>
    <n v="9.8711395984312653E-2"/>
    <n v="9.488866550299245E-2"/>
    <n v="9.803179945430017E-2"/>
    <n v="9.7776950755545475E-2"/>
    <n v="6"/>
    <x v="92"/>
    <n v="120.02857142857144"/>
  </r>
  <r>
    <x v="2"/>
    <x v="8"/>
    <s v="June"/>
    <n v="123.9"/>
    <n v="131.80000000000001"/>
    <n v="121.6"/>
    <n v="128.19999999999999"/>
    <n v="111.1"/>
    <n v="132.80000000000001"/>
    <n v="139.1"/>
    <n v="137.4"/>
    <n v="94.1"/>
    <n v="125.5"/>
    <n v="119.8"/>
    <n v="130.9"/>
    <n v="127.3"/>
    <n v="129.19999999999999"/>
    <n v="126.4"/>
    <n v="122"/>
    <n v="125.7"/>
    <n v="119"/>
    <n v="119.8"/>
    <n v="121.1"/>
    <n v="118.5"/>
    <n v="112.9"/>
    <n v="116.9"/>
    <n v="123.1"/>
    <n v="112.8"/>
    <n v="117"/>
    <n v="123"/>
    <x v="268"/>
    <n v="124.7"/>
    <n v="120.05"/>
    <n v="0.10080248542571313"/>
    <n v="0.10470695487368953"/>
    <n v="0.10512079264928149"/>
    <n v="9.8241489336180224E-2"/>
    <n v="9.4714871770266065E-2"/>
    <n v="0.10336348151524602"/>
    <n v="9.815752225127751E-2"/>
    <n v="9.4798838855168779E-2"/>
    <n v="9.9500995609720991E-2"/>
    <n v="0.10059256771345633"/>
    <n v="6"/>
    <x v="92"/>
    <n v="122.44285714285715"/>
  </r>
  <r>
    <x v="0"/>
    <x v="8"/>
    <s v="June"/>
    <n v="124.1"/>
    <n v="130.4"/>
    <n v="122.1"/>
    <n v="128.69999999999999"/>
    <n v="114.1"/>
    <n v="133.19999999999999"/>
    <n v="135.19999999999999"/>
    <n v="131.9"/>
    <n v="96.3"/>
    <n v="123"/>
    <n v="121.1"/>
    <n v="131.19999999999999"/>
    <n v="126.6"/>
    <n v="128.19999999999999"/>
    <n v="128.4"/>
    <n v="125.1"/>
    <n v="128"/>
    <n v="140.85"/>
    <n v="122.6"/>
    <n v="122.8"/>
    <n v="120.4"/>
    <n v="114.2"/>
    <n v="117.9"/>
    <n v="122"/>
    <n v="113"/>
    <n v="117.9"/>
    <n v="124.1"/>
    <x v="269"/>
    <n v="127.16666666666667"/>
    <n v="131.82499999999999"/>
    <n v="0.10879225496370251"/>
    <n v="0.10494783556141984"/>
    <n v="0.10292983467915849"/>
    <n v="9.7300260650260026E-2"/>
    <n v="9.3256399096517242E-2"/>
    <n v="0.10068389990951419"/>
    <n v="9.7300260650260026E-2"/>
    <n v="9.4246732538250166E-2"/>
    <n v="9.9363455320536961E-2"/>
    <n v="0.10117906663038065"/>
    <n v="6"/>
    <x v="92"/>
    <n v="127.10714285714286"/>
  </r>
  <r>
    <x v="0"/>
    <x v="8"/>
    <s v="May"/>
    <n v="123.5"/>
    <n v="127.1"/>
    <n v="117.3"/>
    <n v="127.7"/>
    <n v="112.5"/>
    <n v="134.1"/>
    <n v="128.5"/>
    <n v="124.3"/>
    <n v="97.6"/>
    <n v="120.7"/>
    <n v="120.2"/>
    <n v="129.80000000000001"/>
    <n v="124.4"/>
    <n v="126.7"/>
    <n v="127.3"/>
    <n v="124.1"/>
    <n v="126.8"/>
    <n v="140.85"/>
    <n v="121.9"/>
    <n v="121.5"/>
    <n v="119.4"/>
    <n v="113.3"/>
    <n v="116.7"/>
    <n v="120.5"/>
    <n v="112.3"/>
    <n v="116.9"/>
    <n v="122.4"/>
    <x v="270"/>
    <n v="126.06666666666666"/>
    <n v="131.17500000000001"/>
    <n v="0.1092488798685686"/>
    <n v="0.104994412975777"/>
    <n v="0.10198822709394431"/>
    <n v="9.735996993814118E-2"/>
    <n v="9.352886761380029E-2"/>
    <n v="0.10035822393110361"/>
    <n v="9.7193400271865488E-2"/>
    <n v="9.436171594517874E-2"/>
    <n v="9.9442090766587318E-2"/>
    <n v="0.10152421159503344"/>
    <n v="5"/>
    <x v="93"/>
    <n v="126.13571428571427"/>
  </r>
  <r>
    <x v="1"/>
    <x v="8"/>
    <s v="May"/>
    <n v="123.8"/>
    <n v="129.69999999999999"/>
    <n v="111.3"/>
    <n v="126.6"/>
    <n v="105.2"/>
    <n v="130.80000000000001"/>
    <n v="135.6"/>
    <n v="142.6"/>
    <n v="90.8"/>
    <n v="128.80000000000001"/>
    <n v="117.7"/>
    <n v="129.9"/>
    <n v="126.1"/>
    <n v="131.30000000000001"/>
    <n v="122.4"/>
    <n v="117.4"/>
    <n v="121.6"/>
    <n v="119.6"/>
    <n v="114.9"/>
    <n v="118.7"/>
    <n v="114.9"/>
    <n v="110.8"/>
    <n v="116"/>
    <n v="122"/>
    <n v="112.4"/>
    <n v="115.2"/>
    <n v="120.7"/>
    <x v="271"/>
    <n v="120.46666666666665"/>
    <n v="119.15"/>
    <n v="0.10188965059482967"/>
    <n v="0.10301558182954662"/>
    <n v="0.10568279687019622"/>
    <n v="9.8511856890678789E-2"/>
    <n v="9.6117471480141464E-2"/>
    <n v="0.10432679288769803"/>
    <n v="9.9195967007975172E-2"/>
    <n v="9.4749251245548699E-2"/>
    <n v="9.8255315596692649E-2"/>
    <n v="9.8255315596692649E-2"/>
    <n v="5"/>
    <x v="93"/>
    <n v="119.51428571428572"/>
  </r>
  <r>
    <x v="2"/>
    <x v="8"/>
    <s v="May"/>
    <n v="123.6"/>
    <n v="128"/>
    <n v="115"/>
    <n v="127.3"/>
    <n v="109.8"/>
    <n v="132.6"/>
    <n v="130.9"/>
    <n v="130.5"/>
    <n v="95.3"/>
    <n v="123.4"/>
    <n v="119.2"/>
    <n v="129.80000000000001"/>
    <n v="125"/>
    <n v="127.9"/>
    <n v="125.4"/>
    <n v="121.3"/>
    <n v="124.7"/>
    <n v="119.6"/>
    <n v="119.2"/>
    <n v="120.2"/>
    <n v="117.7"/>
    <n v="112"/>
    <n v="116.3"/>
    <n v="121.4"/>
    <n v="112.3"/>
    <n v="116.1"/>
    <n v="121.6"/>
    <x v="272"/>
    <n v="123.8"/>
    <n v="119.9"/>
    <n v="0.10148668992327738"/>
    <n v="0.10478775823604451"/>
    <n v="0.10388691724959342"/>
    <n v="9.8270264387760653E-2"/>
    <n v="9.505383885224393E-2"/>
    <n v="0.10275633158203397"/>
    <n v="9.8439549942261534E-2"/>
    <n v="9.4799910520492622E-2"/>
    <n v="9.9624548823767686E-2"/>
    <n v="0.10089419048252429"/>
    <n v="5"/>
    <x v="93"/>
    <n v="121.68571428571428"/>
  </r>
  <r>
    <x v="2"/>
    <x v="8"/>
    <s v="April"/>
    <n v="123.5"/>
    <n v="126.4"/>
    <n v="114.4"/>
    <n v="126.6"/>
    <n v="109.2"/>
    <n v="132.5"/>
    <n v="128.6"/>
    <n v="124.8"/>
    <n v="95.7"/>
    <n v="122.4"/>
    <n v="118.5"/>
    <n v="129.1"/>
    <n v="124"/>
    <n v="126.9"/>
    <n v="124.7"/>
    <n v="120.8"/>
    <n v="124.1"/>
    <n v="119.2"/>
    <n v="118.7"/>
    <n v="119.7"/>
    <n v="117.1"/>
    <n v="110.1"/>
    <n v="115.9"/>
    <n v="121"/>
    <n v="111.7"/>
    <n v="115.1"/>
    <n v="120.7"/>
    <x v="273"/>
    <n v="123.2"/>
    <n v="119.45"/>
    <n v="0.10175793015741658"/>
    <n v="0.10495250728667829"/>
    <n v="0.10360165752916192"/>
    <n v="9.8052220687472977E-2"/>
    <n v="9.51558040902757E-2"/>
    <n v="0.10307835537084475"/>
    <n v="9.8733730475048825E-2"/>
    <n v="9.3792784515124017E-2"/>
    <n v="9.9755995156412564E-2"/>
    <n v="0.10111901473156423"/>
    <n v="4"/>
    <x v="94"/>
    <n v="121.17142857142856"/>
  </r>
  <r>
    <x v="0"/>
    <x v="8"/>
    <s v="April"/>
    <n v="123.3"/>
    <n v="125.5"/>
    <n v="117.2"/>
    <n v="126.8"/>
    <n v="111.9"/>
    <n v="134.19999999999999"/>
    <n v="127.5"/>
    <n v="121.5"/>
    <n v="97.8"/>
    <n v="119.8"/>
    <n v="119.4"/>
    <n v="128.69999999999999"/>
    <n v="123.6"/>
    <n v="125.7"/>
    <n v="126.4"/>
    <n v="123.3"/>
    <n v="126"/>
    <n v="140.85"/>
    <n v="121.2"/>
    <n v="120.9"/>
    <n v="118.6"/>
    <n v="111.9"/>
    <n v="116.2"/>
    <n v="119.9"/>
    <n v="111.6"/>
    <n v="116"/>
    <n v="121.5"/>
    <x v="274"/>
    <n v="125.23333333333333"/>
    <n v="130.875"/>
    <n v="0.1096891865329796"/>
    <n v="0.10496078288555348"/>
    <n v="0.1019455400447597"/>
    <n v="9.7222125217387836E-2"/>
    <n v="9.3534389433280019E-2"/>
    <n v="0.10049080011693795"/>
    <n v="9.7389749571210923E-2"/>
    <n v="9.3785825964014649E-2"/>
    <n v="9.9401241817087899E-2"/>
    <n v="0.10158035841678799"/>
    <n v="4"/>
    <x v="94"/>
    <n v="125.50714285714285"/>
  </r>
  <r>
    <x v="1"/>
    <x v="8"/>
    <s v="April"/>
    <n v="123.8"/>
    <n v="128.19999999999999"/>
    <n v="110"/>
    <n v="126.3"/>
    <n v="104.5"/>
    <n v="130.6"/>
    <n v="130.80000000000001"/>
    <n v="131.30000000000001"/>
    <n v="91.6"/>
    <n v="127.7"/>
    <n v="117.2"/>
    <n v="129.5"/>
    <n v="124.6"/>
    <n v="130.1"/>
    <n v="122.1"/>
    <n v="117.2"/>
    <n v="121.3"/>
    <n v="119.2"/>
    <n v="114.7"/>
    <n v="118.4"/>
    <n v="114.6"/>
    <n v="108.4"/>
    <n v="115.6"/>
    <n v="121.7"/>
    <n v="111.8"/>
    <n v="114.2"/>
    <n v="119.7"/>
    <x v="275"/>
    <n v="120.2"/>
    <n v="118.80000000000001"/>
    <n v="0.1022488350075617"/>
    <n v="0.1034537876086609"/>
    <n v="0.10489235346915689"/>
    <n v="9.8289705032521421E-2"/>
    <n v="9.6224072002065633E-2"/>
    <n v="0.10474480825269578"/>
    <n v="9.9494657633620628E-2"/>
    <n v="9.3297758542253265E-2"/>
    <n v="9.8633977204264048E-2"/>
    <n v="9.8720045247199711E-2"/>
    <n v="4"/>
    <x v="94"/>
    <n v="119.22857142857143"/>
  </r>
  <r>
    <x v="1"/>
    <x v="8"/>
    <s v="March"/>
    <n v="124"/>
    <n v="126.7"/>
    <n v="113.5"/>
    <n v="125.9"/>
    <n v="104.8"/>
    <n v="123.8"/>
    <n v="131.4"/>
    <n v="127.2"/>
    <n v="93.2"/>
    <n v="127.4"/>
    <n v="117"/>
    <n v="129.19999999999999"/>
    <n v="123.9"/>
    <n v="128.80000000000001"/>
    <n v="121.7"/>
    <n v="116.9"/>
    <n v="120.9"/>
    <n v="118.6"/>
    <n v="114.4"/>
    <n v="118"/>
    <n v="114.3"/>
    <n v="108.4"/>
    <n v="115.4"/>
    <n v="120.6"/>
    <n v="111.3"/>
    <n v="113.8"/>
    <n v="119.1"/>
    <x v="276"/>
    <n v="119.83333333333333"/>
    <n v="118.3"/>
    <n v="0.10220008063122731"/>
    <n v="0.10352473650866784"/>
    <n v="0.10470540805160398"/>
    <n v="9.8312503599608345E-2"/>
    <n v="9.6152738582042249E-2"/>
    <n v="0.10418706444738809"/>
    <n v="9.9694753210850653E-2"/>
    <n v="9.3647411161665597E-2"/>
    <n v="9.8744456603121561E-2"/>
    <n v="9.8830847203824207E-2"/>
    <n v="3"/>
    <x v="95"/>
    <n v="118.72857142857143"/>
  </r>
  <r>
    <x v="2"/>
    <x v="8"/>
    <s v="March"/>
    <n v="123.5"/>
    <n v="125.4"/>
    <n v="116.8"/>
    <n v="126"/>
    <n v="109.2"/>
    <n v="127.6"/>
    <n v="129.19999999999999"/>
    <n v="122.4"/>
    <n v="97"/>
    <n v="122.1"/>
    <n v="118.1"/>
    <n v="128.4"/>
    <n v="123.4"/>
    <n v="125.8"/>
    <n v="124.3"/>
    <n v="120.4"/>
    <n v="123.7"/>
    <n v="118.6"/>
    <n v="118.3"/>
    <n v="119.2"/>
    <n v="116.7"/>
    <n v="109.9"/>
    <n v="115.4"/>
    <n v="120.1"/>
    <n v="111"/>
    <n v="114.7"/>
    <n v="120.2"/>
    <x v="277"/>
    <n v="122.8"/>
    <n v="118.9"/>
    <n v="0.1017226734131422"/>
    <n v="0.1050592455435985"/>
    <n v="0.10357428761740639"/>
    <n v="9.8129441888035407E-2"/>
    <n v="9.4963976020679422E-2"/>
    <n v="0.10274931099174413"/>
    <n v="9.8728313808886539E-2"/>
    <n v="9.4022891573627643E-2"/>
    <n v="9.9840504519038642E-2"/>
    <n v="0.10120935462384122"/>
    <n v="3"/>
    <x v="95"/>
    <n v="120.65714285714286"/>
  </r>
  <r>
    <x v="0"/>
    <x v="8"/>
    <s v="March"/>
    <n v="123.3"/>
    <n v="124.7"/>
    <n v="118.9"/>
    <n v="126"/>
    <n v="111.8"/>
    <n v="130.9"/>
    <n v="128"/>
    <n v="119.9"/>
    <n v="98.9"/>
    <n v="119.4"/>
    <n v="118.9"/>
    <n v="127.7"/>
    <n v="123.1"/>
    <n v="124.7"/>
    <n v="126"/>
    <n v="122.9"/>
    <n v="125.5"/>
    <n v="140.85"/>
    <n v="120.6"/>
    <n v="120.2"/>
    <n v="118.2"/>
    <n v="111.6"/>
    <n v="115.5"/>
    <n v="119.4"/>
    <n v="110.8"/>
    <n v="115.5"/>
    <n v="121.1"/>
    <x v="278"/>
    <n v="124.8"/>
    <n v="130.52500000000001"/>
    <n v="0.10986193234594771"/>
    <n v="0.10504324195958072"/>
    <n v="0.10197707589963417"/>
    <n v="9.7215500371246585E-2"/>
    <n v="9.3259544944884171E-2"/>
    <n v="0.10049810168248348"/>
    <n v="9.7215500371246585E-2"/>
    <n v="9.3932899060009678E-2"/>
    <n v="9.9488070509795204E-2"/>
    <n v="0.10150813285517175"/>
    <n v="3"/>
    <x v="95"/>
    <n v="125.06428571428572"/>
  </r>
  <r>
    <x v="0"/>
    <x v="8"/>
    <s v="February"/>
    <n v="123.4"/>
    <n v="124.4"/>
    <n v="122.1"/>
    <n v="125.8"/>
    <n v="111.5"/>
    <n v="129.4"/>
    <n v="128.19999999999999"/>
    <n v="118.8"/>
    <n v="100"/>
    <n v="118.6"/>
    <n v="118.8"/>
    <n v="126.8"/>
    <n v="122.8"/>
    <n v="124.2"/>
    <n v="125.4"/>
    <n v="122.7"/>
    <n v="125"/>
    <n v="140.85"/>
    <n v="120"/>
    <n v="119.6"/>
    <n v="117.7"/>
    <n v="110.9"/>
    <n v="114.8"/>
    <n v="118.7"/>
    <n v="110.8"/>
    <n v="115"/>
    <n v="120.6"/>
    <x v="279"/>
    <n v="124.36666666666667"/>
    <n v="130.22499999999999"/>
    <n v="0.11002926026548486"/>
    <n v="0.10507945736239177"/>
    <n v="0.10228318585851066"/>
    <n v="9.7165405494572921E-2"/>
    <n v="9.3616755902597215E-2"/>
    <n v="0.10029159680178962"/>
    <n v="9.6996422180669312E-2"/>
    <n v="9.370124755954902E-2"/>
    <n v="9.9446680232271586E-2"/>
    <n v="0.10138998834216305"/>
    <n v="2"/>
    <x v="96"/>
    <n v="124.60714285714286"/>
  </r>
  <r>
    <x v="1"/>
    <x v="8"/>
    <s v="February"/>
    <n v="124.3"/>
    <n v="126.5"/>
    <n v="119.5"/>
    <n v="125.6"/>
    <n v="104.9"/>
    <n v="121.6"/>
    <n v="131.80000000000001"/>
    <n v="125.1"/>
    <n v="95"/>
    <n v="127.7"/>
    <n v="116.8"/>
    <n v="128.6"/>
    <n v="123.7"/>
    <n v="128.1"/>
    <n v="121.3"/>
    <n v="116.5"/>
    <n v="120.6"/>
    <n v="118.1"/>
    <n v="114"/>
    <n v="117.7"/>
    <n v="114.1"/>
    <n v="106.8"/>
    <n v="114.9"/>
    <n v="120.4"/>
    <n v="111.7"/>
    <n v="113.2"/>
    <n v="118.7"/>
    <x v="280"/>
    <n v="119.46666666666665"/>
    <n v="117.9"/>
    <n v="0.10218071364307943"/>
    <n v="0.10353850090381583"/>
    <n v="0.10518930608404252"/>
    <n v="9.8107351860870148E-2"/>
    <n v="9.6807342781441666E-2"/>
    <n v="0.10434739544212691"/>
    <n v="9.9580695484222451E-2"/>
    <n v="9.2560646455308593E-2"/>
    <n v="9.8887357308527241E-2"/>
    <n v="9.8800690036565345E-2"/>
    <n v="2"/>
    <x v="96"/>
    <n v="118.37142857142858"/>
  </r>
  <r>
    <x v="2"/>
    <x v="8"/>
    <s v="February"/>
    <n v="123.7"/>
    <n v="125.1"/>
    <n v="121.1"/>
    <n v="125.7"/>
    <n v="109.1"/>
    <n v="125.8"/>
    <n v="129.4"/>
    <n v="120.9"/>
    <n v="98.3"/>
    <n v="121.6"/>
    <n v="118"/>
    <n v="127.6"/>
    <n v="123.1"/>
    <n v="125.2"/>
    <n v="123.8"/>
    <n v="120.1"/>
    <n v="123.3"/>
    <n v="118.1"/>
    <n v="117.7"/>
    <n v="118.7"/>
    <n v="116.3"/>
    <n v="108.7"/>
    <n v="114.9"/>
    <n v="119.7"/>
    <n v="111.2"/>
    <n v="114.1"/>
    <n v="119.7"/>
    <x v="281"/>
    <n v="122.39999999999999"/>
    <n v="118.4"/>
    <n v="0.10167952791647752"/>
    <n v="0.10511464710284499"/>
    <n v="0.10394916023604173"/>
    <n v="9.7986774791132464E-2"/>
    <n v="9.5496313381016051E-2"/>
    <n v="0.10279594165204695"/>
    <n v="9.8673798628405973E-2"/>
    <n v="9.3349363889536366E-2"/>
    <n v="9.987609034363458E-2"/>
    <n v="0.10107838205886321"/>
    <n v="2"/>
    <x v="96"/>
    <n v="120.2"/>
  </r>
  <r>
    <x v="2"/>
    <x v="8"/>
    <s v="January"/>
    <n v="123.4"/>
    <n v="123.9"/>
    <n v="123.8"/>
    <n v="125"/>
    <n v="108.5"/>
    <n v="126.2"/>
    <n v="133"/>
    <n v="119.1"/>
    <n v="99"/>
    <n v="120.3"/>
    <n v="117.3"/>
    <n v="126.7"/>
    <n v="123.1"/>
    <n v="124"/>
    <n v="123.1"/>
    <n v="119.3"/>
    <n v="122.5"/>
    <n v="117.3"/>
    <n v="116.5"/>
    <n v="118.1"/>
    <n v="115.5"/>
    <n v="109.4"/>
    <n v="114.3"/>
    <n v="119.7"/>
    <n v="110.7"/>
    <n v="114"/>
    <n v="119.5"/>
    <x v="282"/>
    <n v="121.63333333333333"/>
    <n v="117.69999999999999"/>
    <n v="0.10143199804662252"/>
    <n v="0.10482168248998176"/>
    <n v="0.10423279663329649"/>
    <n v="9.8243396578716807E-2"/>
    <n v="9.5399508783017117E-2"/>
    <n v="0.10315556640765265"/>
    <n v="9.8501931832871328E-2"/>
    <n v="9.4279189348347545E-2"/>
    <n v="9.9536072849489399E-2"/>
    <n v="0.10039785703000446"/>
    <n v="1"/>
    <x v="97"/>
    <n v="119.5"/>
  </r>
  <r>
    <x v="0"/>
    <x v="8"/>
    <s v="January"/>
    <n v="123.1"/>
    <n v="123.1"/>
    <n v="122.1"/>
    <n v="124.9"/>
    <n v="111"/>
    <n v="130.4"/>
    <n v="132.30000000000001"/>
    <n v="117.2"/>
    <n v="100.5"/>
    <n v="117.2"/>
    <n v="117.9"/>
    <n v="125.6"/>
    <n v="122.8"/>
    <n v="122.7"/>
    <n v="124.4"/>
    <n v="121.6"/>
    <n v="124"/>
    <n v="140.85"/>
    <n v="118.4"/>
    <n v="118.9"/>
    <n v="116.6"/>
    <n v="111"/>
    <n v="114"/>
    <n v="118.2"/>
    <n v="110.2"/>
    <n v="114.5"/>
    <n v="120.3"/>
    <x v="283"/>
    <n v="123.33333333333333"/>
    <n v="129.875"/>
    <n v="0.11035536866552899"/>
    <n v="0.10479688522616805"/>
    <n v="0.10262002328594881"/>
    <n v="9.7291162365374939E-2"/>
    <n v="9.3637433123705829E-2"/>
    <n v="0.10043506892215998"/>
    <n v="9.6866310127971547E-2"/>
    <n v="9.4317196703551251E-2"/>
    <n v="9.9075541762469146E-2"/>
    <n v="0.10060500981712134"/>
    <n v="1"/>
    <x v="97"/>
    <n v="123.76428571428572"/>
  </r>
  <r>
    <x v="1"/>
    <x v="8"/>
    <s v="January"/>
    <n v="124"/>
    <n v="125.5"/>
    <n v="126.6"/>
    <n v="125.2"/>
    <n v="104.3"/>
    <n v="121.3"/>
    <n v="134.4"/>
    <n v="122.9"/>
    <n v="96.1"/>
    <n v="126.6"/>
    <n v="116.5"/>
    <n v="128"/>
    <n v="123.5"/>
    <n v="127.4"/>
    <n v="121"/>
    <n v="116.1"/>
    <n v="120.2"/>
    <n v="117.3"/>
    <n v="113.4"/>
    <n v="117.2"/>
    <n v="113.7"/>
    <n v="107.9"/>
    <n v="114.6"/>
    <n v="120.8"/>
    <n v="111.4"/>
    <n v="113.4"/>
    <n v="118.5"/>
    <x v="284"/>
    <n v="119.10000000000001"/>
    <n v="117.25"/>
    <n v="0.10167864222001982"/>
    <n v="0.10328295341922697"/>
    <n v="0.10544474727452924"/>
    <n v="9.8339940535183357E-2"/>
    <n v="9.6605550049554026E-2"/>
    <n v="0.10475718533201189"/>
    <n v="9.9380574826560944E-2"/>
    <n v="9.3570366699702687E-2"/>
    <n v="9.860009910802775E-2"/>
    <n v="9.8339940535183357E-2"/>
    <n v="1"/>
    <x v="97"/>
    <n v="118"/>
  </r>
  <r>
    <x v="1"/>
    <x v="9"/>
    <s v="December"/>
    <n v="124"/>
    <n v="124.7"/>
    <n v="126.3"/>
    <n v="124.9"/>
    <n v="103"/>
    <n v="122.3"/>
    <n v="141"/>
    <n v="120.1"/>
    <n v="97.8"/>
    <n v="125.4"/>
    <n v="116.1"/>
    <n v="127.6"/>
    <n v="124"/>
    <n v="126.4"/>
    <n v="120.7"/>
    <n v="115.8"/>
    <n v="120"/>
    <n v="116.5"/>
    <n v="113"/>
    <n v="116.8"/>
    <n v="113.2"/>
    <n v="108.8"/>
    <n v="114.3"/>
    <n v="120.7"/>
    <n v="110.4"/>
    <n v="113.4"/>
    <n v="118.4"/>
    <x v="285"/>
    <n v="118.83333333333333"/>
    <n v="116.65"/>
    <n v="0.1013493805426897"/>
    <n v="0.10324633280031112"/>
    <n v="0.10572457577155482"/>
    <n v="9.8525672983634918E-2"/>
    <n v="9.5919173698353566E-2"/>
    <n v="0.10486815457781952"/>
    <n v="9.9307622769219311E-2"/>
    <n v="9.452904074620351E-2"/>
    <n v="9.835190636461616E-2"/>
    <n v="9.8178139745597401E-2"/>
    <n v="12"/>
    <x v="98"/>
    <n v="117.64285714285714"/>
  </r>
  <r>
    <x v="2"/>
    <x v="9"/>
    <s v="December"/>
    <n v="122.9"/>
    <n v="123.2"/>
    <n v="123.5"/>
    <n v="124.5"/>
    <n v="107.6"/>
    <n v="125.7"/>
    <n v="140.5"/>
    <n v="117.6"/>
    <n v="100.6"/>
    <n v="119.1"/>
    <n v="116.8"/>
    <n v="126.1"/>
    <n v="123.6"/>
    <n v="123"/>
    <n v="122.6"/>
    <n v="118.6"/>
    <n v="122"/>
    <n v="116.5"/>
    <n v="115.7"/>
    <n v="117.5"/>
    <n v="115.1"/>
    <n v="110.1"/>
    <n v="113.9"/>
    <n v="119.5"/>
    <n v="109.8"/>
    <n v="113.8"/>
    <n v="119.4"/>
    <x v="286"/>
    <n v="121.06666666666666"/>
    <n v="117"/>
    <n v="0.10112213883407038"/>
    <n v="0.10463692542602382"/>
    <n v="0.10462252056294204"/>
    <n v="9.8356405122369317E-2"/>
    <n v="9.4899237982742968E-2"/>
    <n v="0.10328286829633684"/>
    <n v="9.8442834300859983E-2"/>
    <n v="9.5158525518214951E-2"/>
    <n v="9.9479984442747874E-2"/>
    <n v="9.9998559513691826E-2"/>
    <n v="12"/>
    <x v="98"/>
    <n v="118.91428571428573"/>
  </r>
  <r>
    <x v="0"/>
    <x v="9"/>
    <s v="December"/>
    <n v="122.4"/>
    <n v="122.4"/>
    <n v="121.8"/>
    <n v="124.2"/>
    <n v="110.2"/>
    <n v="128.6"/>
    <n v="140.30000000000001"/>
    <n v="116.3"/>
    <n v="102"/>
    <n v="116"/>
    <n v="117.3"/>
    <n v="124.8"/>
    <n v="123.3"/>
    <n v="121.7"/>
    <n v="123.8"/>
    <n v="120.6"/>
    <n v="123.3"/>
    <n v="140.85"/>
    <n v="117.4"/>
    <n v="118.2"/>
    <n v="116.2"/>
    <n v="111.5"/>
    <n v="113.3"/>
    <n v="117.7"/>
    <n v="109.4"/>
    <n v="114.2"/>
    <n v="120.3"/>
    <x v="287"/>
    <n v="122.56666666666666"/>
    <n v="129.52500000000001"/>
    <n v="0.11045977443265517"/>
    <n v="0.1045256618642149"/>
    <n v="0.10302512835246901"/>
    <n v="9.7390513338808882E-2"/>
    <n v="9.3297041674830924E-2"/>
    <n v="0.10037533642712615"/>
    <n v="9.6622987401813007E-2"/>
    <n v="9.5087935527821285E-2"/>
    <n v="9.9096126532133025E-2"/>
    <n v="0.10011949444812752"/>
    <n v="12"/>
    <x v="98"/>
    <n v="123.12142857142855"/>
  </r>
  <r>
    <x v="0"/>
    <x v="9"/>
    <s v="November"/>
    <n v="122.7"/>
    <n v="122.6"/>
    <n v="119.9"/>
    <n v="124"/>
    <n v="110.5"/>
    <n v="128.80000000000001"/>
    <n v="152"/>
    <n v="116.2"/>
    <n v="103.3"/>
    <n v="115.8"/>
    <n v="116.8"/>
    <n v="124.5"/>
    <n v="124.9"/>
    <n v="120.8"/>
    <n v="123.3"/>
    <n v="120.5"/>
    <n v="122.9"/>
    <n v="140.85"/>
    <n v="117.3"/>
    <n v="118.1"/>
    <n v="115.9"/>
    <n v="112"/>
    <n v="113.3"/>
    <n v="117.2"/>
    <n v="108.8"/>
    <n v="114.1"/>
    <n v="121.1"/>
    <x v="288"/>
    <n v="122.23333333333335"/>
    <n v="129.47499999999999"/>
    <n v="0.11047949721005214"/>
    <n v="0.10430026807472775"/>
    <n v="0.10378423184248298"/>
    <n v="9.7360190242648761E-2"/>
    <n v="9.2837762475023539E-2"/>
    <n v="0.10000538384258051"/>
    <n v="9.6677559636214772E-2"/>
    <n v="9.5568284900759526E-2"/>
    <n v="9.8896109107125263E-2"/>
    <n v="0.10009071266838475"/>
    <n v="11"/>
    <x v="99"/>
    <n v="122.87857142857142"/>
  </r>
  <r>
    <x v="1"/>
    <x v="9"/>
    <s v="November"/>
    <n v="124.5"/>
    <n v="125.6"/>
    <n v="122.7"/>
    <n v="124.6"/>
    <n v="103.2"/>
    <n v="122.2"/>
    <n v="153.19999999999999"/>
    <n v="119.3"/>
    <n v="99.8"/>
    <n v="124.6"/>
    <n v="115.8"/>
    <n v="126.9"/>
    <n v="125.4"/>
    <n v="125.8"/>
    <n v="120.3"/>
    <n v="115.4"/>
    <n v="119.5"/>
    <n v="117.1"/>
    <n v="112.6"/>
    <n v="116.4"/>
    <n v="113"/>
    <n v="109.7"/>
    <n v="114"/>
    <n v="120.3"/>
    <n v="109.6"/>
    <n v="113.4"/>
    <n v="119"/>
    <x v="289"/>
    <n v="118.39999999999999"/>
    <n v="116.75"/>
    <n v="0.10150849889144896"/>
    <n v="0.10294309437899404"/>
    <n v="0.10642090162152763"/>
    <n v="9.859583532582708E-2"/>
    <n v="9.5291918445420162E-2"/>
    <n v="0.10459505281919751"/>
    <n v="9.911750641220711E-2"/>
    <n v="9.5378863626483512E-2"/>
    <n v="9.8248054601573723E-2"/>
    <n v="9.7900273877320351E-2"/>
    <n v="11"/>
    <x v="99"/>
    <n v="117.37142857142855"/>
  </r>
  <r>
    <x v="2"/>
    <x v="9"/>
    <s v="November"/>
    <n v="123.3"/>
    <n v="123.7"/>
    <n v="121"/>
    <n v="124.2"/>
    <n v="107.8"/>
    <n v="125.7"/>
    <n v="152.4"/>
    <n v="117.2"/>
    <n v="102.1"/>
    <n v="118.7"/>
    <n v="116.4"/>
    <n v="125.6"/>
    <n v="125.1"/>
    <n v="122.1"/>
    <n v="122.1"/>
    <n v="118.4"/>
    <n v="121.6"/>
    <n v="117.1"/>
    <n v="115.5"/>
    <n v="117.3"/>
    <n v="114.8"/>
    <n v="110.8"/>
    <n v="113.7"/>
    <n v="119"/>
    <n v="109.1"/>
    <n v="113.8"/>
    <n v="120.1"/>
    <x v="290"/>
    <n v="120.7"/>
    <n v="117.19999999999999"/>
    <n v="0.10134838817272709"/>
    <n v="0.1043750038604792"/>
    <n v="0.1053324027004824"/>
    <n v="9.8408247218910783E-2"/>
    <n v="9.4343934723929407E-2"/>
    <n v="0.10290493338357104"/>
    <n v="9.832177248497502E-2"/>
    <n v="9.5814005200837563E-2"/>
    <n v="9.9272994558268532E-2"/>
    <n v="9.9878317695818952E-2"/>
    <n v="11"/>
    <x v="99"/>
    <n v="118.71428571428571"/>
  </r>
  <r>
    <x v="2"/>
    <x v="9"/>
    <s v="October"/>
    <n v="123.2"/>
    <n v="123.8"/>
    <n v="118.1"/>
    <n v="123.2"/>
    <n v="107.9"/>
    <n v="126.4"/>
    <n v="156.80000000000001"/>
    <n v="116.1"/>
    <n v="103.1"/>
    <n v="118.1"/>
    <n v="116.1"/>
    <n v="124.5"/>
    <n v="125.4"/>
    <n v="121.1"/>
    <n v="121.5"/>
    <n v="118.1"/>
    <n v="121"/>
    <n v="116.7"/>
    <n v="114.7"/>
    <n v="116.7"/>
    <n v="114.3"/>
    <n v="111.8"/>
    <n v="113.3"/>
    <n v="118.8"/>
    <n v="109.6"/>
    <n v="113.9"/>
    <n v="120.1"/>
    <x v="291"/>
    <n v="120.2"/>
    <n v="116.7"/>
    <n v="0.10103896103896104"/>
    <n v="0.10406926406926408"/>
    <n v="0.10536796536796537"/>
    <n v="9.8614718614718613E-2"/>
    <n v="9.4891774891774888E-2"/>
    <n v="0.10285714285714286"/>
    <n v="9.8095238095238096E-2"/>
    <n v="9.6796536796536797E-2"/>
    <n v="9.8961038961038958E-2"/>
    <n v="9.9307359307359316E-2"/>
    <n v="10"/>
    <x v="100"/>
    <n v="118.21428571428571"/>
  </r>
  <r>
    <x v="0"/>
    <x v="9"/>
    <s v="October"/>
    <n v="122.6"/>
    <n v="122.5"/>
    <n v="118.3"/>
    <n v="123.2"/>
    <n v="110.5"/>
    <n v="128.9"/>
    <n v="155.30000000000001"/>
    <n v="115.5"/>
    <n v="104"/>
    <n v="115.3"/>
    <n v="116.8"/>
    <n v="123.2"/>
    <n v="125.1"/>
    <n v="120"/>
    <n v="122.7"/>
    <n v="120.3"/>
    <n v="122.3"/>
    <n v="140.85"/>
    <n v="116.4"/>
    <n v="117.5"/>
    <n v="115.3"/>
    <n v="112.6"/>
    <n v="113"/>
    <n v="116.9"/>
    <n v="109.3"/>
    <n v="114"/>
    <n v="121"/>
    <x v="292"/>
    <n v="121.76666666666667"/>
    <n v="129.17500000000001"/>
    <n v="0.11041013957586927"/>
    <n v="0.10407799235420952"/>
    <n v="0.10386227401723508"/>
    <n v="9.743956579561909E-2"/>
    <n v="9.3422320539133033E-2"/>
    <n v="9.9918291592174316E-2"/>
    <n v="9.6584832762324185E-2"/>
    <n v="9.6242939549006215E-2"/>
    <n v="9.8550718738902462E-2"/>
    <n v="9.949092507552687E-2"/>
    <n v="10"/>
    <x v="100"/>
    <n v="122.42142857142856"/>
  </r>
  <r>
    <x v="1"/>
    <x v="9"/>
    <s v="October"/>
    <n v="124.6"/>
    <n v="126.1"/>
    <n v="117.8"/>
    <n v="123.1"/>
    <n v="103.5"/>
    <n v="123.5"/>
    <n v="159.6"/>
    <n v="117.4"/>
    <n v="101.2"/>
    <n v="123.8"/>
    <n v="115.2"/>
    <n v="125.9"/>
    <n v="125.8"/>
    <n v="124.3"/>
    <n v="119.6"/>
    <n v="114.9"/>
    <n v="118.9"/>
    <n v="116.7"/>
    <n v="112"/>
    <n v="115.8"/>
    <n v="112.6"/>
    <n v="111"/>
    <n v="113.6"/>
    <n v="120.2"/>
    <n v="110.1"/>
    <n v="113.7"/>
    <n v="119.1"/>
    <x v="293"/>
    <n v="117.8"/>
    <n v="116.25"/>
    <n v="0.10112904127804739"/>
    <n v="0.10247742849508802"/>
    <n v="0.10636724599678128"/>
    <n v="9.891072682420636E-2"/>
    <n v="9.5778988771724888E-2"/>
    <n v="0.10456525386340901"/>
    <n v="9.8823734100526306E-2"/>
    <n v="9.6561923284845252E-2"/>
    <n v="9.7953806863725901E-2"/>
    <n v="9.7431850521645658E-2"/>
    <n v="10"/>
    <x v="100"/>
    <n v="116.87142857142858"/>
  </r>
  <r>
    <x v="1"/>
    <x v="9"/>
    <s v="September"/>
    <n v="124.2"/>
    <n v="125.4"/>
    <n v="116.4"/>
    <n v="122.7"/>
    <n v="103.5"/>
    <n v="124.5"/>
    <n v="168.6"/>
    <n v="116.9"/>
    <n v="101.9"/>
    <n v="122.9"/>
    <n v="114.8"/>
    <n v="125.2"/>
    <n v="126.7"/>
    <n v="124.3"/>
    <n v="119.2"/>
    <n v="114.5"/>
    <n v="118.4"/>
    <n v="116.1"/>
    <n v="111.8"/>
    <n v="115.5"/>
    <n v="112.3"/>
    <n v="111.2"/>
    <n v="113.4"/>
    <n v="120"/>
    <n v="110"/>
    <n v="113.6"/>
    <n v="119.2"/>
    <x v="294"/>
    <n v="117.36666666666667"/>
    <n v="115.8"/>
    <n v="0.10085518293947361"/>
    <n v="0.10221966008344462"/>
    <n v="0.10687713069949155"/>
    <n v="9.8939108652195171E-2"/>
    <n v="9.5803714363921391E-2"/>
    <n v="0.1045131429424597"/>
    <n v="9.8764920080624416E-2"/>
    <n v="9.6848845793345989E-2"/>
    <n v="9.7806882936985196E-2"/>
    <n v="9.7371411508058281E-2"/>
    <n v="9"/>
    <x v="101"/>
    <n v="116.5"/>
  </r>
  <r>
    <x v="2"/>
    <x v="9"/>
    <s v="September"/>
    <n v="122.9"/>
    <n v="123.5"/>
    <n v="117.3"/>
    <n v="122.7"/>
    <n v="107.9"/>
    <n v="127.3"/>
    <n v="162.1"/>
    <n v="115.6"/>
    <n v="103.8"/>
    <n v="117.6"/>
    <n v="115.8"/>
    <n v="123.8"/>
    <n v="125.8"/>
    <n v="120.8"/>
    <n v="120.7"/>
    <n v="117.2"/>
    <n v="120.1"/>
    <n v="116.1"/>
    <n v="114.3"/>
    <n v="116.1"/>
    <n v="113.7"/>
    <n v="112"/>
    <n v="113.1"/>
    <n v="118.6"/>
    <n v="109.5"/>
    <n v="113.7"/>
    <n v="120.1"/>
    <x v="295"/>
    <n v="119.33333333333333"/>
    <n v="116.1"/>
    <n v="0.10075896740758802"/>
    <n v="0.10356505981026848"/>
    <n v="0.10581117353759811"/>
    <n v="9.8676094696320063E-2"/>
    <n v="9.5031067451601114E-2"/>
    <n v="0.10292862648182549"/>
    <n v="9.8155376518503062E-2"/>
    <n v="9.7200726525838582E-2"/>
    <n v="9.8676094696320063E-2"/>
    <n v="9.919681287413705E-2"/>
    <n v="9"/>
    <x v="101"/>
    <n v="117.5857142857143"/>
  </r>
  <r>
    <x v="0"/>
    <x v="9"/>
    <s v="September"/>
    <n v="122.3"/>
    <n v="122.4"/>
    <n v="117.8"/>
    <n v="122.7"/>
    <n v="110.4"/>
    <n v="129.80000000000001"/>
    <n v="158.80000000000001"/>
    <n v="115"/>
    <n v="104.7"/>
    <n v="114.9"/>
    <n v="116.5"/>
    <n v="122.6"/>
    <n v="125.3"/>
    <n v="119.5"/>
    <n v="121.7"/>
    <n v="119.2"/>
    <n v="121.3"/>
    <n v="140.85"/>
    <n v="115.8"/>
    <n v="116.7"/>
    <n v="114.5"/>
    <n v="112.8"/>
    <n v="112.6"/>
    <n v="116.6"/>
    <n v="109.1"/>
    <n v="113.7"/>
    <n v="120.9"/>
    <x v="296"/>
    <n v="120.73333333333333"/>
    <n v="128.77500000000001"/>
    <n v="0.11041992256283731"/>
    <n v="0.10352448314828104"/>
    <n v="0.1042859928156769"/>
    <n v="9.7493653235446329E-2"/>
    <n v="9.3549318979658694E-2"/>
    <n v="9.9980298744529822E-2"/>
    <n v="9.6550442869931891E-2"/>
    <n v="9.6721935663661787E-2"/>
    <n v="9.8179624410365915E-2"/>
    <n v="9.929432756961025E-2"/>
    <n v="9"/>
    <x v="101"/>
    <n v="121.73571428571429"/>
  </r>
  <r>
    <x v="0"/>
    <x v="9"/>
    <s v="August"/>
    <n v="121.8"/>
    <n v="122.8"/>
    <n v="117.8"/>
    <n v="121.9"/>
    <n v="110.6"/>
    <n v="129.69999999999999"/>
    <n v="161.1"/>
    <n v="114.1"/>
    <n v="105.1"/>
    <n v="114.6"/>
    <n v="115.8"/>
    <n v="121.7"/>
    <n v="125.3"/>
    <n v="118.8"/>
    <n v="120.9"/>
    <n v="118.8"/>
    <n v="120.7"/>
    <n v="140.85"/>
    <n v="115.4"/>
    <n v="115.9"/>
    <n v="114"/>
    <n v="113.2"/>
    <n v="112.2"/>
    <n v="116.2"/>
    <n v="109.4"/>
    <n v="113.5"/>
    <n v="120.7"/>
    <x v="297"/>
    <n v="120.13333333333333"/>
    <n v="128.375"/>
    <n v="0.11029580981273183"/>
    <n v="0.10321482598249541"/>
    <n v="0.10439516042422484"/>
    <n v="9.7515672161597372E-2"/>
    <n v="9.3993079598931745E-2"/>
    <n v="9.9835428239450352E-2"/>
    <n v="9.6398752568557053E-2"/>
    <n v="9.7257921486280374E-2"/>
    <n v="9.794525662045904E-2"/>
    <n v="9.9148093105271701E-2"/>
    <n v="8"/>
    <x v="102"/>
    <n v="121.25"/>
  </r>
  <r>
    <x v="1"/>
    <x v="9"/>
    <s v="August"/>
    <n v="124.8"/>
    <n v="127.3"/>
    <n v="116.5"/>
    <n v="122.2"/>
    <n v="103.6"/>
    <n v="132.69999999999999"/>
    <n v="181.9"/>
    <n v="115.2"/>
    <n v="102.7"/>
    <n v="122.1"/>
    <n v="114.4"/>
    <n v="124.7"/>
    <n v="128.9"/>
    <n v="123"/>
    <n v="118.6"/>
    <n v="114.1"/>
    <n v="117.9"/>
    <n v="115.5"/>
    <n v="111.8"/>
    <n v="115.3"/>
    <n v="112.2"/>
    <n v="112.5"/>
    <n v="112.9"/>
    <n v="119.2"/>
    <n v="110.5"/>
    <n v="113.9"/>
    <n v="119.9"/>
    <x v="298"/>
    <n v="116.86666666666667"/>
    <n v="115.4"/>
    <n v="0.10038690007704863"/>
    <n v="0.10166275900350448"/>
    <n v="0.10811661681979737"/>
    <n v="9.9082044356809701E-2"/>
    <n v="9.6124371390934785E-2"/>
    <n v="0.1036925345683206"/>
    <n v="9.8212140543317075E-2"/>
    <n v="9.7864179017920022E-2"/>
    <n v="9.7603207873872236E-2"/>
    <n v="9.7255246348475183E-2"/>
    <n v="8"/>
    <x v="102"/>
    <n v="116.05714285714286"/>
  </r>
  <r>
    <x v="2"/>
    <x v="9"/>
    <s v="August"/>
    <n v="122.7"/>
    <n v="124.4"/>
    <n v="117.3"/>
    <n v="122"/>
    <n v="108"/>
    <n v="131.1"/>
    <n v="168.2"/>
    <n v="114.5"/>
    <n v="104.3"/>
    <n v="117.1"/>
    <n v="115.2"/>
    <n v="123.1"/>
    <n v="126.6"/>
    <n v="119.9"/>
    <n v="120"/>
    <n v="116.8"/>
    <n v="119.6"/>
    <n v="115.5"/>
    <n v="114"/>
    <n v="115.6"/>
    <n v="113.3"/>
    <n v="112.8"/>
    <n v="112.6"/>
    <n v="118"/>
    <n v="109.9"/>
    <n v="113.7"/>
    <n v="120.3"/>
    <x v="299"/>
    <n v="118.8"/>
    <n v="115.55"/>
    <n v="0.10038162017933046"/>
    <n v="0.10320498898575904"/>
    <n v="0.10638205454376221"/>
    <n v="9.8774471781824955E-2"/>
    <n v="9.5473302100462287E-2"/>
    <n v="0.10251000589494585"/>
    <n v="9.7818870031956801E-2"/>
    <n v="9.7992615804660108E-2"/>
    <n v="9.8426980236418354E-2"/>
    <n v="9.9035090440879894E-2"/>
    <n v="8"/>
    <x v="102"/>
    <n v="117.07142857142857"/>
  </r>
  <r>
    <x v="2"/>
    <x v="9"/>
    <s v="July"/>
    <n v="122.4"/>
    <n v="123.9"/>
    <n v="117.8"/>
    <n v="121"/>
    <n v="107.9"/>
    <n v="131.19999999999999"/>
    <n v="157.69999999999999"/>
    <n v="113.2"/>
    <n v="104.1"/>
    <n v="115.5"/>
    <n v="114.8"/>
    <n v="122.1"/>
    <n v="124.7"/>
    <n v="118.8"/>
    <n v="119.6"/>
    <n v="116.3"/>
    <n v="119.1"/>
    <n v="114.8"/>
    <n v="113.9"/>
    <n v="115.2"/>
    <n v="112.7"/>
    <n v="113.1"/>
    <n v="112.1"/>
    <n v="116.8"/>
    <n v="109.2"/>
    <n v="113.3"/>
    <n v="119.2"/>
    <x v="300"/>
    <n v="118.33333333333333"/>
    <n v="115"/>
    <n v="0.10039179821872109"/>
    <n v="0.10330170541346663"/>
    <n v="0.10569822183885348"/>
    <n v="9.8907745549400863E-2"/>
    <n v="9.5328559699863855E-2"/>
    <n v="0.10196314810388368"/>
    <n v="9.7860178959292471E-2"/>
    <n v="9.8733151117716134E-2"/>
    <n v="9.8383962254346674E-2"/>
    <n v="9.9431528844455067E-2"/>
    <n v="7"/>
    <x v="103"/>
    <n v="116.52857142857142"/>
  </r>
  <r>
    <x v="0"/>
    <x v="9"/>
    <s v="July"/>
    <n v="121.7"/>
    <n v="122.5"/>
    <n v="117.7"/>
    <n v="120.6"/>
    <n v="110.4"/>
    <n v="129.1"/>
    <n v="150.1"/>
    <n v="113.2"/>
    <n v="104.8"/>
    <n v="113.3"/>
    <n v="115.6"/>
    <n v="120.9"/>
    <n v="123.3"/>
    <n v="118"/>
    <n v="120.7"/>
    <n v="118.3"/>
    <n v="120.3"/>
    <n v="140.85"/>
    <n v="115.3"/>
    <n v="115.4"/>
    <n v="113.4"/>
    <n v="113.2"/>
    <n v="111.8"/>
    <n v="115.5"/>
    <n v="108.8"/>
    <n v="113.1"/>
    <n v="119.5"/>
    <x v="301"/>
    <n v="119.76666666666667"/>
    <n v="128.125"/>
    <n v="0.11054050584157145"/>
    <n v="0.10332931056618308"/>
    <n v="0.10360457054820901"/>
    <n v="9.7577609449223252E-2"/>
    <n v="9.386776222878418E-2"/>
    <n v="9.9648221851328794E-2"/>
    <n v="9.6456027731416094E-2"/>
    <n v="9.7663884965977665E-2"/>
    <n v="9.7836435999486465E-2"/>
    <n v="9.9475670817819994E-2"/>
    <n v="7"/>
    <x v="103"/>
    <n v="120.90714285714284"/>
  </r>
  <r>
    <x v="1"/>
    <x v="9"/>
    <s v="July"/>
    <n v="123.8"/>
    <n v="126.4"/>
    <n v="118"/>
    <n v="121.6"/>
    <n v="103.5"/>
    <n v="133.69999999999999"/>
    <n v="172.4"/>
    <n v="113.1"/>
    <n v="102.7"/>
    <n v="120"/>
    <n v="113.8"/>
    <n v="123.4"/>
    <n v="127.1"/>
    <n v="121"/>
    <n v="118"/>
    <n v="113.6"/>
    <n v="117.4"/>
    <n v="114.8"/>
    <n v="111.6"/>
    <n v="114.9"/>
    <n v="111.5"/>
    <n v="113"/>
    <n v="112.4"/>
    <n v="117.8"/>
    <n v="109.7"/>
    <n v="113.5"/>
    <n v="118.9"/>
    <x v="302"/>
    <n v="116.33333333333333"/>
    <n v="114.85"/>
    <n v="0.10043056243779956"/>
    <n v="0.10172766301202162"/>
    <n v="0.10746363746143053"/>
    <n v="9.9250055173619942E-2"/>
    <n v="9.5927145837410646E-2"/>
    <n v="0.10301018942248837"/>
    <n v="9.8288160365769886E-2"/>
    <n v="9.8812830260960827E-2"/>
    <n v="9.7501155522983468E-2"/>
    <n v="9.7588600505515294E-2"/>
    <n v="7"/>
    <x v="103"/>
    <n v="115.44285714285715"/>
  </r>
  <r>
    <x v="1"/>
    <x v="9"/>
    <s v="June"/>
    <n v="123.1"/>
    <n v="125.9"/>
    <n v="115.4"/>
    <n v="120.4"/>
    <n v="103.4"/>
    <n v="131.19999999999999"/>
    <n v="137.5"/>
    <n v="112.8"/>
    <n v="101.4"/>
    <n v="118.3"/>
    <n v="113.2"/>
    <n v="122.4"/>
    <n v="122"/>
    <n v="119"/>
    <n v="117.4"/>
    <n v="113.2"/>
    <n v="116.7"/>
    <n v="113.9"/>
    <n v="111.2"/>
    <n v="114.3"/>
    <n v="111.4"/>
    <n v="111.5"/>
    <n v="111.8"/>
    <n v="115.1"/>
    <n v="108.7"/>
    <n v="112.2"/>
    <n v="116.4"/>
    <x v="303"/>
    <n v="115.76666666666667"/>
    <n v="114.1"/>
    <n v="0.10090499071426466"/>
    <n v="0.10237891695899537"/>
    <n v="0.10523833387377296"/>
    <n v="9.9224714795271646E-2"/>
    <n v="9.6129469681337149E-2"/>
    <n v="0.10178934646110309"/>
    <n v="9.8870972496536272E-2"/>
    <n v="9.8605665772484752E-2"/>
    <n v="9.8517230197800912E-2"/>
    <n v="9.8340359048433218E-2"/>
    <n v="6"/>
    <x v="104"/>
    <n v="114.54285714285716"/>
  </r>
  <r>
    <x v="2"/>
    <x v="9"/>
    <s v="June"/>
    <n v="121.5"/>
    <n v="123.1"/>
    <n v="115.8"/>
    <n v="119.7"/>
    <n v="107.8"/>
    <n v="128.30000000000001"/>
    <n v="132.1"/>
    <n v="112.4"/>
    <n v="102.9"/>
    <n v="114.3"/>
    <n v="114.2"/>
    <n v="121.2"/>
    <n v="120.4"/>
    <n v="117.8"/>
    <n v="118.8"/>
    <n v="115.6"/>
    <n v="118.3"/>
    <n v="113.9"/>
    <n v="113.2"/>
    <n v="114.6"/>
    <n v="112.3"/>
    <n v="111.8"/>
    <n v="111.6"/>
    <n v="114.8"/>
    <n v="108.3"/>
    <n v="112.3"/>
    <n v="116.7"/>
    <x v="304"/>
    <n v="117.56666666666666"/>
    <n v="114.25"/>
    <n v="0.10074236742988869"/>
    <n v="0.10366690880385628"/>
    <n v="0.10401751785586821"/>
    <n v="9.9022913456249445E-2"/>
    <n v="9.5495828382117676E-2"/>
    <n v="0.1012273416275818"/>
    <n v="9.8405673568276383E-2"/>
    <n v="9.8582027821982984E-2"/>
    <n v="9.9022913456249445E-2"/>
    <n v="9.9816507597929108E-2"/>
    <n v="6"/>
    <x v="104"/>
    <n v="115.6"/>
  </r>
  <r>
    <x v="0"/>
    <x v="9"/>
    <s v="June"/>
    <n v="120.7"/>
    <n v="121.6"/>
    <n v="116.1"/>
    <n v="119.3"/>
    <n v="110.3"/>
    <n v="125.8"/>
    <n v="129.30000000000001"/>
    <n v="112.2"/>
    <n v="103.6"/>
    <n v="112.3"/>
    <n v="114.9"/>
    <n v="120.1"/>
    <n v="119.5"/>
    <n v="117.3"/>
    <n v="119.7"/>
    <n v="117.3"/>
    <n v="119.3"/>
    <n v="140.85"/>
    <n v="114.4"/>
    <n v="114.9"/>
    <n v="112.8"/>
    <n v="112.2"/>
    <n v="111.4"/>
    <n v="114.3"/>
    <n v="108"/>
    <n v="112.3"/>
    <n v="117"/>
    <x v="305"/>
    <n v="118.76666666666667"/>
    <n v="127.875"/>
    <n v="0.1112538128110451"/>
    <n v="0.10332938026608111"/>
    <n v="0.10210306630277731"/>
    <n v="9.7703250664167074E-2"/>
    <n v="9.3962164485574748E-2"/>
    <n v="9.9443290747233279E-2"/>
    <n v="9.6920232626787298E-2"/>
    <n v="9.7616248660013769E-2"/>
    <n v="9.8138260684933629E-2"/>
    <n v="9.9530292751386584E-2"/>
    <n v="6"/>
    <x v="104"/>
    <n v="120.10714285714286"/>
  </r>
  <r>
    <x v="0"/>
    <x v="9"/>
    <s v="May"/>
    <n v="120.3"/>
    <n v="120.2"/>
    <n v="116.9"/>
    <n v="118"/>
    <n v="110.1"/>
    <n v="126.3"/>
    <n v="123.9"/>
    <n v="111.5"/>
    <n v="103.5"/>
    <n v="111.6"/>
    <n v="114.2"/>
    <n v="119.2"/>
    <n v="118.2"/>
    <n v="116.3"/>
    <n v="118.7"/>
    <n v="116.8"/>
    <n v="118.5"/>
    <n v="140.85"/>
    <n v="113.4"/>
    <n v="114.1"/>
    <n v="112.1"/>
    <n v="111.4"/>
    <n v="110.9"/>
    <n v="113.1"/>
    <n v="108.9"/>
    <n v="111.8"/>
    <n v="116"/>
    <x v="306"/>
    <n v="118"/>
    <n v="127.47499999999999"/>
    <n v="0.11147617783468931"/>
    <n v="0.1031903430829052"/>
    <n v="0.10182863032309446"/>
    <n v="9.776847759888814E-2"/>
    <n v="9.5232443743460821E-2"/>
    <n v="9.890532036166591E-2"/>
    <n v="9.6981432609272777E-2"/>
    <n v="9.741867982572576E-2"/>
    <n v="9.8030825928759932E-2"/>
    <n v="9.9167668691537716E-2"/>
    <n v="5"/>
    <x v="105"/>
    <n v="119.35000000000001"/>
  </r>
  <r>
    <x v="1"/>
    <x v="9"/>
    <s v="May"/>
    <n v="122.7"/>
    <n v="124.1"/>
    <n v="114.2"/>
    <n v="119.1"/>
    <n v="103.5"/>
    <n v="129.19999999999999"/>
    <n v="127"/>
    <n v="112.6"/>
    <n v="101.3"/>
    <n v="117"/>
    <n v="112.9"/>
    <n v="121.7"/>
    <n v="120"/>
    <n v="118.3"/>
    <n v="116.8"/>
    <n v="112.9"/>
    <n v="116.2"/>
    <n v="114.3"/>
    <n v="111.1"/>
    <n v="114.1"/>
    <n v="111.2"/>
    <n v="111.3"/>
    <n v="111.5"/>
    <n v="112.9"/>
    <n v="109.3"/>
    <n v="111.7"/>
    <n v="115.6"/>
    <x v="307"/>
    <n v="115.3"/>
    <n v="114.19999999999999"/>
    <n v="0.1014299671374012"/>
    <n v="0.10240696331823432"/>
    <n v="0.10427213784527935"/>
    <n v="9.9209521271871409E-2"/>
    <n v="9.707789324096279E-2"/>
    <n v="0.10027533528732571"/>
    <n v="9.9031885602629016E-2"/>
    <n v="9.8854249933386637E-2"/>
    <n v="9.876543209876544E-2"/>
    <n v="9.8676614264144244E-2"/>
    <n v="5"/>
    <x v="105"/>
    <n v="114.04285714285713"/>
  </r>
  <r>
    <x v="2"/>
    <x v="9"/>
    <s v="May"/>
    <n v="121.1"/>
    <n v="121.6"/>
    <n v="115.9"/>
    <n v="118.4"/>
    <n v="107.7"/>
    <n v="127.7"/>
    <n v="125"/>
    <n v="111.9"/>
    <n v="102.8"/>
    <n v="113.4"/>
    <n v="113.7"/>
    <n v="120.4"/>
    <n v="118.9"/>
    <n v="116.8"/>
    <n v="118"/>
    <n v="115.2"/>
    <n v="117.6"/>
    <n v="114.3"/>
    <n v="112.5"/>
    <n v="114.1"/>
    <n v="111.8"/>
    <n v="111.3"/>
    <n v="111.2"/>
    <n v="113"/>
    <n v="109.1"/>
    <n v="111.8"/>
    <n v="115.8"/>
    <x v="308"/>
    <n v="116.93333333333332"/>
    <n v="114.19999999999999"/>
    <n v="0.10118368285484643"/>
    <n v="0.10360547561436113"/>
    <n v="0.10349366810891319"/>
    <n v="9.9057230675760347E-2"/>
    <n v="9.6664971974288486E-2"/>
    <n v="0.10012045676530339"/>
    <n v="9.8525617630988827E-2"/>
    <n v="9.8614219805117406E-2"/>
    <n v="9.9057230675760347E-2"/>
    <n v="9.9677445894660446E-2"/>
    <n v="5"/>
    <x v="105"/>
    <n v="114.95714285714287"/>
  </r>
  <r>
    <x v="2"/>
    <x v="9"/>
    <s v="April"/>
    <n v="120.9"/>
    <n v="119.9"/>
    <n v="116.2"/>
    <n v="117"/>
    <n v="107.3"/>
    <n v="126.1"/>
    <n v="120.7"/>
    <n v="111"/>
    <n v="101.8"/>
    <n v="112.6"/>
    <n v="113.2"/>
    <n v="119.8"/>
    <n v="117.6"/>
    <n v="116"/>
    <n v="117.4"/>
    <n v="114.6"/>
    <n v="117"/>
    <n v="113.9"/>
    <n v="112.5"/>
    <n v="113.6"/>
    <n v="111.5"/>
    <n v="111.2"/>
    <n v="110.9"/>
    <n v="112.7"/>
    <n v="109"/>
    <n v="111.5"/>
    <n v="115.1"/>
    <x v="309"/>
    <n v="116.33333333333333"/>
    <n v="113.75"/>
    <n v="0.10110169634996952"/>
    <n v="0.10339777883117761"/>
    <n v="0.10285391413286381"/>
    <n v="9.9101882576014086E-2"/>
    <n v="9.6879867271619138E-2"/>
    <n v="0.10016844992212365"/>
    <n v="9.8568598902959298E-2"/>
    <n v="9.8835240739486685E-2"/>
    <n v="9.9101882576014086E-2"/>
    <n v="9.9990688697772057E-2"/>
    <n v="4"/>
    <x v="106"/>
    <n v="114.52857142857144"/>
  </r>
  <r>
    <x v="0"/>
    <x v="9"/>
    <s v="April"/>
    <n v="120.2"/>
    <n v="118.9"/>
    <n v="118.1"/>
    <n v="117"/>
    <n v="109.7"/>
    <n v="125.5"/>
    <n v="120.5"/>
    <n v="111"/>
    <n v="102.6"/>
    <n v="111.2"/>
    <n v="113.5"/>
    <n v="118.7"/>
    <n v="117.2"/>
    <n v="115.4"/>
    <n v="118.1"/>
    <n v="116.1"/>
    <n v="117.8"/>
    <n v="140.85"/>
    <n v="113.4"/>
    <n v="113.7"/>
    <n v="111.8"/>
    <n v="111.2"/>
    <n v="110.5"/>
    <n v="113"/>
    <n v="108.9"/>
    <n v="111.5"/>
    <n v="115.4"/>
    <x v="310"/>
    <n v="117.33333333333333"/>
    <n v="127.27500000000001"/>
    <n v="0.11158728849913317"/>
    <n v="0.10287101565296895"/>
    <n v="0.10142021703529824"/>
    <n v="9.7756689590676474E-2"/>
    <n v="9.547716140291182E-2"/>
    <n v="9.9071802006694534E-2"/>
    <n v="9.6879947979997758E-2"/>
    <n v="9.7493667107472856E-2"/>
    <n v="9.8019712073880078E-2"/>
    <n v="9.9422498650966029E-2"/>
    <n v="4"/>
    <x v="106"/>
    <n v="118.99285714285715"/>
  </r>
  <r>
    <x v="1"/>
    <x v="9"/>
    <s v="April"/>
    <n v="122.5"/>
    <n v="121.7"/>
    <n v="113.3"/>
    <n v="117"/>
    <n v="103.1"/>
    <n v="126.7"/>
    <n v="121.2"/>
    <n v="111"/>
    <n v="100.3"/>
    <n v="115.3"/>
    <n v="112.7"/>
    <n v="121"/>
    <n v="118.2"/>
    <n v="117.6"/>
    <n v="116.3"/>
    <n v="112.5"/>
    <n v="115.7"/>
    <n v="113.9"/>
    <n v="110.9"/>
    <n v="113.4"/>
    <n v="111"/>
    <n v="111.2"/>
    <n v="111.2"/>
    <n v="112.5"/>
    <n v="109.1"/>
    <n v="111.4"/>
    <n v="114.7"/>
    <x v="311"/>
    <n v="114.83333333333333"/>
    <n v="113.65"/>
    <n v="0.10132738384595298"/>
    <n v="0.10238241306622907"/>
    <n v="0.10326974146477114"/>
    <n v="9.9321342370780136E-2"/>
    <n v="9.7270722196158996E-2"/>
    <n v="0.10030207375864242"/>
    <n v="9.9143027572986986E-2"/>
    <n v="9.9143027572986986E-2"/>
    <n v="9.896471277519385E-2"/>
    <n v="9.8875555376297275E-2"/>
    <n v="4"/>
    <x v="106"/>
    <n v="113.60000000000001"/>
  </r>
  <r>
    <x v="1"/>
    <x v="9"/>
    <s v="March"/>
    <n v="122.1"/>
    <n v="121.4"/>
    <n v="121.5"/>
    <n v="116.2"/>
    <n v="102.8"/>
    <n v="117.7"/>
    <n v="113.3"/>
    <n v="108.9"/>
    <n v="96.3"/>
    <n v="114.1"/>
    <n v="112.2"/>
    <n v="120.5"/>
    <n v="116"/>
    <n v="116.7"/>
    <n v="115.8"/>
    <n v="112.1"/>
    <n v="115.2"/>
    <n v="113.2"/>
    <n v="110.9"/>
    <n v="113"/>
    <n v="110.8"/>
    <n v="111.6"/>
    <n v="110.9"/>
    <n v="111.8"/>
    <n v="109.2"/>
    <n v="111.4"/>
    <n v="113.7"/>
    <x v="312"/>
    <n v="114.36666666666666"/>
    <n v="113.1"/>
    <n v="0.10113285316766694"/>
    <n v="0.10226549343302839"/>
    <n v="0.1021739454416552"/>
    <n v="9.9612730706260824E-2"/>
    <n v="9.7645513403264647E-2"/>
    <n v="9.997040657953285E-2"/>
    <n v="9.9165635864670781E-2"/>
    <n v="9.979156864289683E-2"/>
    <n v="9.9076216896352778E-2"/>
    <n v="9.9165635864670781E-2"/>
    <n v="3"/>
    <x v="107"/>
    <n v="113.14285714285714"/>
  </r>
  <r>
    <x v="2"/>
    <x v="9"/>
    <s v="March"/>
    <n v="120.7"/>
    <n v="119.3"/>
    <n v="121"/>
    <n v="116.1"/>
    <n v="106.9"/>
    <n v="118.7"/>
    <n v="116.3"/>
    <n v="109.8"/>
    <n v="99.6"/>
    <n v="111.8"/>
    <n v="112.7"/>
    <n v="119.3"/>
    <n v="116.1"/>
    <n v="115.2"/>
    <n v="116.8"/>
    <n v="113.7"/>
    <n v="116.4"/>
    <n v="113.2"/>
    <n v="112.5"/>
    <n v="113.2"/>
    <n v="111.2"/>
    <n v="111.4"/>
    <n v="110.6"/>
    <n v="112"/>
    <n v="109"/>
    <n v="111.3"/>
    <n v="114.2"/>
    <x v="313"/>
    <n v="115.63333333333333"/>
    <n v="113.2"/>
    <n v="0.1009480333351027"/>
    <n v="0.10311799989383724"/>
    <n v="0.10213917936196186"/>
    <n v="9.9253675885131898E-2"/>
    <n v="9.7202611603588299E-2"/>
    <n v="9.9877912840384303E-2"/>
    <n v="9.8629438929879493E-2"/>
    <n v="9.9342852593025111E-2"/>
    <n v="9.9164499177238699E-2"/>
    <n v="0.1003237963798503"/>
    <n v="3"/>
    <x v="107"/>
    <n v="113.97142857142856"/>
  </r>
  <r>
    <x v="0"/>
    <x v="9"/>
    <s v="March"/>
    <n v="120.1"/>
    <n v="118.1"/>
    <n v="120.7"/>
    <n v="116.1"/>
    <n v="109.3"/>
    <n v="119.6"/>
    <n v="117.9"/>
    <n v="110.2"/>
    <n v="101.2"/>
    <n v="110.7"/>
    <n v="113"/>
    <n v="118.3"/>
    <n v="116.2"/>
    <n v="114.6"/>
    <n v="117.5"/>
    <n v="114.9"/>
    <n v="117.2"/>
    <n v="140.85"/>
    <n v="113.4"/>
    <n v="113.4"/>
    <n v="111.4"/>
    <n v="111.2"/>
    <n v="110.2"/>
    <n v="112.4"/>
    <n v="108.9"/>
    <n v="111.3"/>
    <n v="114.6"/>
    <x v="314"/>
    <n v="116.53333333333335"/>
    <n v="127.125"/>
    <n v="0.11179041587060638"/>
    <n v="0.10247637991049229"/>
    <n v="0.10087675678505062"/>
    <n v="9.7874322803527938E-2"/>
    <n v="9.5763825276767245E-2"/>
    <n v="9.8841634169959947E-2"/>
    <n v="9.6907011437095958E-2"/>
    <n v="9.7786385406579579E-2"/>
    <n v="9.7962260200476312E-2"/>
    <n v="9.9721008139443568E-2"/>
    <n v="3"/>
    <x v="107"/>
    <n v="118.52142857142859"/>
  </r>
  <r>
    <x v="0"/>
    <x v="9"/>
    <s v="February"/>
    <n v="119.4"/>
    <n v="117.7"/>
    <n v="121.2"/>
    <n v="115"/>
    <n v="109"/>
    <n v="116.6"/>
    <n v="116"/>
    <n v="109.8"/>
    <n v="101.1"/>
    <n v="110.4"/>
    <n v="112.9"/>
    <n v="117.8"/>
    <n v="115.3"/>
    <n v="114.2"/>
    <n v="117.1"/>
    <n v="114.5"/>
    <n v="116.7"/>
    <n v="140.85"/>
    <n v="113.2"/>
    <n v="112.9"/>
    <n v="110.9"/>
    <n v="110.8"/>
    <n v="109.9"/>
    <n v="112"/>
    <n v="108.7"/>
    <n v="110.9"/>
    <n v="114"/>
    <x v="315"/>
    <n v="116.10000000000001"/>
    <n v="126.875"/>
    <n v="0.11194159185512662"/>
    <n v="0.10243482809363706"/>
    <n v="0.10060721026743091"/>
    <n v="9.7846877136816099E-2"/>
    <n v="9.5905820962776472E-2"/>
    <n v="9.8817405223835919E-2"/>
    <n v="9.6964578875888996E-2"/>
    <n v="9.7758647310723382E-2"/>
    <n v="9.7846877136816099E-2"/>
    <n v="9.9876163136948443E-2"/>
    <n v="2"/>
    <x v="108"/>
    <n v="118.17857142857144"/>
  </r>
  <r>
    <x v="1"/>
    <x v="9"/>
    <s v="February"/>
    <n v="121.9"/>
    <n v="122"/>
    <n v="124.5"/>
    <n v="115.2"/>
    <n v="102.5"/>
    <n v="114.1"/>
    <n v="111.5"/>
    <n v="108.2"/>
    <n v="95.4"/>
    <n v="113.5"/>
    <n v="112.1"/>
    <n v="119.9"/>
    <n v="115.2"/>
    <n v="116.2"/>
    <n v="115.3"/>
    <n v="111.7"/>
    <n v="114.7"/>
    <n v="112.5"/>
    <n v="111.1"/>
    <n v="112.6"/>
    <n v="110.4"/>
    <n v="111.3"/>
    <n v="110.3"/>
    <n v="111.6"/>
    <n v="108.7"/>
    <n v="111"/>
    <n v="113.1"/>
    <x v="316"/>
    <n v="113.89999999999999"/>
    <n v="112.55"/>
    <n v="0.1009798706750149"/>
    <n v="0.10219109080305816"/>
    <n v="0.10203728507251299"/>
    <n v="9.958921052800225E-2"/>
    <n v="9.7525650309854467E-2"/>
    <n v="0.10012753058491038"/>
    <n v="9.8961170461609446E-2"/>
    <n v="9.9858370556456313E-2"/>
    <n v="9.9050890471094138E-2"/>
    <n v="9.9678930537486943E-2"/>
    <n v="2"/>
    <x v="108"/>
    <n v="112.78571428571429"/>
  </r>
  <r>
    <x v="2"/>
    <x v="9"/>
    <s v="February"/>
    <n v="120.2"/>
    <n v="119.2"/>
    <n v="122.5"/>
    <n v="115.1"/>
    <n v="106.6"/>
    <n v="115.4"/>
    <n v="114.5"/>
    <n v="109.3"/>
    <n v="99.2"/>
    <n v="111.4"/>
    <n v="112.6"/>
    <n v="118.8"/>
    <n v="115.3"/>
    <n v="114.7"/>
    <n v="116.4"/>
    <n v="113.3"/>
    <n v="115.9"/>
    <n v="112.5"/>
    <n v="112.4"/>
    <n v="112.8"/>
    <n v="110.7"/>
    <n v="111.1"/>
    <n v="110.1"/>
    <n v="111.8"/>
    <n v="108.7"/>
    <n v="110.9"/>
    <n v="113.6"/>
    <x v="317"/>
    <n v="115.2"/>
    <n v="112.65"/>
    <n v="0.10080859087858353"/>
    <n v="0.10309054300233308"/>
    <n v="0.1019399789063249"/>
    <n v="9.9242545303461285E-2"/>
    <n v="9.7273802294736172E-2"/>
    <n v="0.100047940170667"/>
    <n v="9.8526638754833959E-2"/>
    <n v="9.9421521940618096E-2"/>
    <n v="9.9063568666304447E-2"/>
    <n v="0.1005848700821375"/>
    <n v="2"/>
    <x v="108"/>
    <n v="113.58571428571427"/>
  </r>
  <r>
    <x v="2"/>
    <x v="9"/>
    <s v="January"/>
    <n v="119.6"/>
    <n v="118.8"/>
    <n v="124.1"/>
    <n v="114.1"/>
    <n v="106.8"/>
    <n v="113.9"/>
    <n v="122.2"/>
    <n v="108.9"/>
    <n v="100.2"/>
    <n v="111"/>
    <n v="112.3"/>
    <n v="118.1"/>
    <n v="115.8"/>
    <n v="114.5"/>
    <n v="115.8"/>
    <n v="113.2"/>
    <n v="115.4"/>
    <n v="111.6"/>
    <n v="112.2"/>
    <n v="112.3"/>
    <n v="110.3"/>
    <n v="110.7"/>
    <n v="109.7"/>
    <n v="111.6"/>
    <n v="108.2"/>
    <n v="110.6"/>
    <n v="113.6"/>
    <x v="318"/>
    <n v="114.8"/>
    <n v="111.94999999999999"/>
    <n v="0.10046150887763604"/>
    <n v="0.10301903724120248"/>
    <n v="0.10257675790013458"/>
    <n v="9.9250048073841413E-2"/>
    <n v="9.709633997820652E-2"/>
    <n v="0.10014742644702262"/>
    <n v="9.8442407537978338E-2"/>
    <n v="9.9339785911159537E-2"/>
    <n v="9.8980834561887054E-2"/>
    <n v="0.10068585347093136"/>
    <n v="1"/>
    <x v="109"/>
    <n v="113.15714285714284"/>
  </r>
  <r>
    <x v="0"/>
    <x v="9"/>
    <s v="January"/>
    <n v="118.9"/>
    <n v="117.1"/>
    <n v="120.5"/>
    <n v="114.4"/>
    <n v="109"/>
    <n v="115.5"/>
    <n v="123.9"/>
    <n v="109.6"/>
    <n v="101.8"/>
    <n v="110.2"/>
    <n v="112.4"/>
    <n v="117.3"/>
    <n v="116"/>
    <n v="114"/>
    <n v="116.5"/>
    <n v="114.5"/>
    <n v="116.2"/>
    <n v="140.85"/>
    <n v="113"/>
    <n v="112.6"/>
    <n v="110.6"/>
    <n v="110.5"/>
    <n v="109.6"/>
    <n v="111.8"/>
    <n v="108.3"/>
    <n v="110.6"/>
    <n v="114.2"/>
    <x v="319"/>
    <n v="115.73333333333333"/>
    <n v="126.72499999999999"/>
    <n v="0.1120283478057708"/>
    <n v="0.10231141542227559"/>
    <n v="0.10106956767912338"/>
    <n v="9.7773409093061744E-2"/>
    <n v="9.5740146516985425E-2"/>
    <n v="9.8834241741449405E-2"/>
    <n v="9.6889381886072046E-2"/>
    <n v="9.7685006372362784E-2"/>
    <n v="9.7773409093061744E-2"/>
    <n v="9.9895074389837052E-2"/>
    <n v="1"/>
    <x v="109"/>
    <n v="117.92142857142858"/>
  </r>
  <r>
    <x v="1"/>
    <x v="9"/>
    <s v="January"/>
    <n v="121.2"/>
    <n v="122"/>
    <n v="129.9"/>
    <n v="113.6"/>
    <n v="102.9"/>
    <n v="112.1"/>
    <n v="118.9"/>
    <n v="107.5"/>
    <n v="96.9"/>
    <n v="112.7"/>
    <n v="112.1"/>
    <n v="119"/>
    <n v="115.5"/>
    <n v="115.7"/>
    <n v="114.8"/>
    <n v="111.3"/>
    <n v="114.3"/>
    <n v="111.6"/>
    <n v="111"/>
    <n v="111.9"/>
    <n v="109.7"/>
    <n v="110.8"/>
    <n v="109.8"/>
    <n v="111.5"/>
    <n v="108"/>
    <n v="110.5"/>
    <n v="112.9"/>
    <x v="320"/>
    <n v="113.46666666666665"/>
    <n v="111.75"/>
    <n v="0.1006029532491528"/>
    <n v="0.10214838265775275"/>
    <n v="0.10288573039223042"/>
    <n v="9.9477640572987788E-2"/>
    <n v="9.7227015220657742E-2"/>
    <n v="0.10037789071391981"/>
    <n v="9.8847465474335372E-2"/>
    <n v="9.9747715615267393E-2"/>
    <n v="9.875744046024218E-2"/>
    <n v="9.9927765643453792E-2"/>
    <n v="1"/>
    <x v="109"/>
    <n v="112.34285714285713"/>
  </r>
  <r>
    <x v="1"/>
    <x v="10"/>
    <s v="December"/>
    <n v="120.5"/>
    <n v="118.1"/>
    <n v="128.5"/>
    <n v="112.8"/>
    <n v="103.4"/>
    <n v="110.7"/>
    <n v="144.80000000000001"/>
    <n v="107.1"/>
    <n v="98.6"/>
    <n v="111.9"/>
    <n v="112.1"/>
    <n v="118.1"/>
    <n v="117.8"/>
    <n v="115"/>
    <n v="114.2"/>
    <n v="110.9"/>
    <n v="113.7"/>
    <n v="110.7"/>
    <n v="110.4"/>
    <n v="111.3"/>
    <n v="109"/>
    <n v="109.7"/>
    <n v="108.9"/>
    <n v="111.4"/>
    <n v="107.7"/>
    <n v="109.8"/>
    <n v="113.3"/>
    <x v="321"/>
    <n v="112.93333333333334"/>
    <n v="111"/>
    <n v="0.10031588098086638"/>
    <n v="0.10206312455350609"/>
    <n v="0.10453766902214609"/>
    <n v="9.9231384970262418E-2"/>
    <n v="9.7333516951705487E-2"/>
    <n v="0.1006773796510677"/>
    <n v="9.8418012962309454E-2"/>
    <n v="9.9141010302712093E-2"/>
    <n v="9.8508387629859778E-2"/>
    <n v="9.9773632975564408E-2"/>
    <n v="12"/>
    <x v="110"/>
    <n v="111.8"/>
  </r>
  <r>
    <x v="2"/>
    <x v="10"/>
    <s v="December"/>
    <n v="119.1"/>
    <n v="116.7"/>
    <n v="123.5"/>
    <n v="113.4"/>
    <n v="107.3"/>
    <n v="113.3"/>
    <n v="145.4"/>
    <n v="108.7"/>
    <n v="101.5"/>
    <n v="110.5"/>
    <n v="112.1"/>
    <n v="117.4"/>
    <n v="118.4"/>
    <n v="114"/>
    <n v="115.2"/>
    <n v="112.7"/>
    <n v="114.8"/>
    <n v="110.7"/>
    <n v="111.9"/>
    <n v="111.7"/>
    <n v="109.7"/>
    <n v="109.8"/>
    <n v="109"/>
    <n v="111.5"/>
    <n v="107.9"/>
    <n v="110"/>
    <n v="114.5"/>
    <x v="322"/>
    <n v="114.23333333333333"/>
    <n v="111.2"/>
    <n v="0.10008636263305309"/>
    <n v="0.10281653619408662"/>
    <n v="0.10423305481562756"/>
    <n v="9.9006293971545326E-2"/>
    <n v="9.7116173813906734E-2"/>
    <n v="0.10035637979843004"/>
    <n v="9.8106236753622192E-2"/>
    <n v="9.882628252796069E-2"/>
    <n v="9.873627680616838E-2"/>
    <n v="0.1007164026855993"/>
    <n v="12"/>
    <x v="110"/>
    <n v="112.64285714285715"/>
  </r>
  <r>
    <x v="0"/>
    <x v="10"/>
    <s v="December"/>
    <n v="118.4"/>
    <n v="115.9"/>
    <n v="120.4"/>
    <n v="113.8"/>
    <n v="109.5"/>
    <n v="115.5"/>
    <n v="145.69999999999999"/>
    <n v="109.5"/>
    <n v="102.9"/>
    <n v="109.8"/>
    <n v="112.1"/>
    <n v="116.8"/>
    <n v="118.7"/>
    <n v="113.6"/>
    <n v="115.8"/>
    <n v="114"/>
    <n v="115.5"/>
    <n v="140.85"/>
    <n v="112.8"/>
    <n v="112.1"/>
    <n v="110.1"/>
    <n v="109.9"/>
    <n v="109.2"/>
    <n v="111.6"/>
    <n v="108.1"/>
    <n v="110.1"/>
    <n v="115.5"/>
    <x v="323"/>
    <n v="115.10000000000001"/>
    <n v="126.47499999999999"/>
    <n v="0.1119966350091873"/>
    <n v="0.10192380066857054"/>
    <n v="0.10263221978703149"/>
    <n v="9.7496181178189534E-2"/>
    <n v="9.5725133382037128E-2"/>
    <n v="9.8824467025303828E-2"/>
    <n v="9.669920966992096E-2"/>
    <n v="9.7319076398574303E-2"/>
    <n v="9.7496181178189534E-2"/>
    <n v="9.9887095702995268E-2"/>
    <n v="12"/>
    <x v="110"/>
    <n v="117.52142857142857"/>
  </r>
  <r>
    <x v="0"/>
    <x v="10"/>
    <s v="November"/>
    <n v="117.3"/>
    <n v="114.9"/>
    <n v="116.2"/>
    <n v="112.8"/>
    <n v="108.9"/>
    <n v="116.6"/>
    <n v="178.1"/>
    <n v="109.1"/>
    <n v="103.6"/>
    <n v="109"/>
    <n v="111.8"/>
    <n v="116"/>
    <n v="122.5"/>
    <n v="112.8"/>
    <n v="114.6"/>
    <n v="113.1"/>
    <n v="114.4"/>
    <n v="140.85"/>
    <n v="112.6"/>
    <n v="111.3"/>
    <n v="109.7"/>
    <n v="109.6"/>
    <n v="108.7"/>
    <n v="111"/>
    <n v="108.2"/>
    <n v="109.8"/>
    <n v="117.4"/>
    <x v="324"/>
    <n v="114.03333333333335"/>
    <n v="126.07499999999999"/>
    <n v="0.11181452196158713"/>
    <n v="0.1011349010854887"/>
    <n v="0.10450085574223628"/>
    <n v="9.7380404611400101E-2"/>
    <n v="9.5961382321980787E-2"/>
    <n v="9.8444671328464586E-2"/>
    <n v="9.6404826787424333E-2"/>
    <n v="9.720302682522268E-2"/>
    <n v="9.7291715718311397E-2"/>
    <n v="9.9863693617883886E-2"/>
    <n v="11"/>
    <x v="111"/>
    <n v="116.83571428571429"/>
  </r>
  <r>
    <x v="1"/>
    <x v="10"/>
    <s v="November"/>
    <n v="119.8"/>
    <n v="116.3"/>
    <n v="122.6"/>
    <n v="112"/>
    <n v="103.2"/>
    <n v="110"/>
    <n v="192.8"/>
    <n v="106.3"/>
    <n v="99.5"/>
    <n v="110.3"/>
    <n v="111.8"/>
    <n v="117.1"/>
    <n v="122.9"/>
    <n v="114.1"/>
    <n v="113.5"/>
    <n v="110.3"/>
    <n v="113"/>
    <n v="111.1"/>
    <n v="110"/>
    <n v="110.9"/>
    <n v="108.6"/>
    <n v="109.5"/>
    <n v="108.5"/>
    <n v="111.3"/>
    <n v="107.9"/>
    <n v="109.6"/>
    <n v="115"/>
    <x v="325"/>
    <n v="112.26666666666667"/>
    <n v="111"/>
    <n v="0.10025784890785182"/>
    <n v="0.10140193246896244"/>
    <n v="0.10701267309102561"/>
    <n v="9.899333549820323E-2"/>
    <n v="9.7457854929344251E-2"/>
    <n v="0.10052881606706222"/>
    <n v="9.7999789247765062E-2"/>
    <n v="9.8903013111799762E-2"/>
    <n v="9.8090111634168531E-2"/>
    <n v="9.9354625043817119E-2"/>
    <n v="11"/>
    <x v="111"/>
    <n v="111.44285714285714"/>
  </r>
  <r>
    <x v="2"/>
    <x v="10"/>
    <s v="November"/>
    <n v="118.1"/>
    <n v="115.4"/>
    <n v="118.7"/>
    <n v="112.5"/>
    <n v="106.8"/>
    <n v="113.5"/>
    <n v="183.1"/>
    <n v="108.2"/>
    <n v="102.2"/>
    <n v="109.4"/>
    <n v="111.8"/>
    <n v="116.5"/>
    <n v="122.6"/>
    <n v="113.1"/>
    <n v="114.2"/>
    <n v="111.9"/>
    <n v="113.8"/>
    <n v="111.1"/>
    <n v="111.6"/>
    <n v="111.1"/>
    <n v="109.3"/>
    <n v="109.5"/>
    <n v="108.6"/>
    <n v="111.2"/>
    <n v="108.1"/>
    <n v="109.7"/>
    <n v="116.3"/>
    <x v="326"/>
    <n v="113.30000000000001"/>
    <n v="111.1"/>
    <n v="0.10005467820269531"/>
    <n v="0.10203595895918434"/>
    <n v="0.10626226239104564"/>
    <n v="9.8793863175838673E-2"/>
    <n v="9.7352931716573929E-2"/>
    <n v="0.10014473641889937"/>
    <n v="9.7803222797594153E-2"/>
    <n v="9.8613746743430583E-2"/>
    <n v="9.843363031102248E-2"/>
    <n v="0.10050496928371554"/>
    <n v="11"/>
    <x v="111"/>
    <n v="112.12857142857142"/>
  </r>
  <r>
    <x v="2"/>
    <x v="10"/>
    <s v="October"/>
    <n v="117.1"/>
    <n v="116.3"/>
    <n v="113.3"/>
    <n v="111.2"/>
    <n v="105.7"/>
    <n v="109.9"/>
    <n v="171.2"/>
    <n v="107.3"/>
    <n v="102.7"/>
    <n v="108.7"/>
    <n v="111.2"/>
    <n v="115.4"/>
    <n v="120.2"/>
    <n v="112.5"/>
    <n v="113.2"/>
    <n v="111.2"/>
    <n v="112.8"/>
    <n v="110.5"/>
    <n v="110.9"/>
    <n v="110.3"/>
    <n v="108.6"/>
    <n v="109.5"/>
    <n v="108.1"/>
    <n v="110.8"/>
    <n v="107.4"/>
    <n v="109.2"/>
    <n v="114.8"/>
    <x v="327"/>
    <n v="112.39999999999999"/>
    <n v="110.4"/>
    <n v="0.10007186838373831"/>
    <n v="0.10188476455011036"/>
    <n v="0.10506380747042712"/>
    <n v="9.8984130683915067E-2"/>
    <n v="9.7352524134180204E-2"/>
    <n v="0.10043444761701271"/>
    <n v="9.7987037792410414E-2"/>
    <n v="9.9256065108870875E-2"/>
    <n v="9.8440261834003437E-2"/>
    <n v="0.10052509242533132"/>
    <n v="10"/>
    <x v="112"/>
    <n v="111.38571428571429"/>
  </r>
  <r>
    <x v="0"/>
    <x v="10"/>
    <s v="October"/>
    <n v="116.3"/>
    <n v="115.4"/>
    <n v="112.6"/>
    <n v="111.7"/>
    <n v="107.7"/>
    <n v="113.2"/>
    <n v="164.9"/>
    <n v="108.3"/>
    <n v="103.9"/>
    <n v="108.2"/>
    <n v="111.1"/>
    <n v="114.9"/>
    <n v="119.8"/>
    <n v="112.2"/>
    <n v="113.6"/>
    <n v="112.3"/>
    <n v="113.4"/>
    <n v="140.85"/>
    <n v="111.6"/>
    <n v="110.4"/>
    <n v="108.9"/>
    <n v="109.3"/>
    <n v="108.3"/>
    <n v="110.2"/>
    <n v="107.5"/>
    <n v="109.1"/>
    <n v="115.5"/>
    <x v="328"/>
    <n v="113.09999999999998"/>
    <n v="125.625"/>
    <n v="0.11222995415083324"/>
    <n v="0.10104046021460089"/>
    <n v="0.103388754351204"/>
    <n v="9.7466969137161449E-2"/>
    <n v="9.6037572706185667E-2"/>
    <n v="9.8449679183457303E-2"/>
    <n v="9.6752270921673558E-2"/>
    <n v="9.7645643691033415E-2"/>
    <n v="9.7288294583289484E-2"/>
    <n v="9.9700401060561106E-2"/>
    <n v="10"/>
    <x v="112"/>
    <n v="116.05"/>
  </r>
  <r>
    <x v="1"/>
    <x v="10"/>
    <s v="October"/>
    <n v="118.9"/>
    <n v="118.1"/>
    <n v="114.5"/>
    <n v="110.4"/>
    <n v="102.3"/>
    <n v="106.2"/>
    <n v="183.5"/>
    <n v="105.3"/>
    <n v="100.2"/>
    <n v="109.6"/>
    <n v="111.4"/>
    <n v="116"/>
    <n v="120.8"/>
    <n v="113.5"/>
    <n v="112.5"/>
    <n v="109.7"/>
    <n v="112"/>
    <n v="110.5"/>
    <n v="109.7"/>
    <n v="110.2"/>
    <n v="108.2"/>
    <n v="109.7"/>
    <n v="108"/>
    <n v="111.3"/>
    <n v="107.3"/>
    <n v="109.4"/>
    <n v="114"/>
    <x v="329"/>
    <n v="111.39999999999999"/>
    <n v="110.35"/>
    <n v="0.10015169588216989"/>
    <n v="0.1011046571932372"/>
    <n v="0.10571387822839953"/>
    <n v="9.9289492791204234E-2"/>
    <n v="9.7383570169069594E-2"/>
    <n v="0.10101389897313556"/>
    <n v="9.8018877709781141E-2"/>
    <n v="9.9561767451509187E-2"/>
    <n v="9.8200394149984438E-2"/>
    <n v="9.9561767451509187E-2"/>
    <n v="10"/>
    <x v="112"/>
    <n v="110.84285714285716"/>
  </r>
  <r>
    <x v="1"/>
    <x v="10"/>
    <s v="September"/>
    <n v="118.6"/>
    <n v="119.1"/>
    <n v="113.2"/>
    <n v="109.6"/>
    <n v="101.7"/>
    <n v="103.2"/>
    <n v="174.3"/>
    <n v="105.1"/>
    <n v="100.8"/>
    <n v="109.1"/>
    <n v="111.1"/>
    <n v="115.4"/>
    <n v="119.2"/>
    <n v="112.9"/>
    <n v="111.4"/>
    <n v="109"/>
    <n v="111.1"/>
    <n v="109.7"/>
    <n v="109.5"/>
    <n v="109.6"/>
    <n v="107.9"/>
    <n v="110.4"/>
    <n v="107.4"/>
    <n v="111.2"/>
    <n v="106.9"/>
    <n v="109.4"/>
    <n v="113.2"/>
    <x v="330"/>
    <n v="110.5"/>
    <n v="109.65"/>
    <n v="9.985559284989462E-2"/>
    <n v="0.10062966721307209"/>
    <n v="0.10494236723648948"/>
    <n v="9.9627923919548306E-2"/>
    <n v="9.7351234616085136E-2"/>
    <n v="0.10126714021804178"/>
    <n v="9.7806572476777764E-2"/>
    <n v="0.10053859964093356"/>
    <n v="9.8261910337470393E-2"/>
    <n v="9.9718991491686823E-2"/>
    <n v="9"/>
    <x v="113"/>
    <n v="110.21428571428571"/>
  </r>
  <r>
    <x v="2"/>
    <x v="10"/>
    <s v="September"/>
    <n v="116.4"/>
    <n v="116.9"/>
    <n v="112.3"/>
    <n v="110.5"/>
    <n v="105.3"/>
    <n v="107.3"/>
    <n v="160.9"/>
    <n v="107.1"/>
    <n v="103.1"/>
    <n v="108.3"/>
    <n v="110.7"/>
    <n v="114.6"/>
    <n v="118.3"/>
    <n v="112"/>
    <n v="112.2"/>
    <n v="110.4"/>
    <n v="111.9"/>
    <n v="109.7"/>
    <n v="110.5"/>
    <n v="109.6"/>
    <n v="108.1"/>
    <n v="109.9"/>
    <n v="107.5"/>
    <n v="110.6"/>
    <n v="106.8"/>
    <n v="109"/>
    <n v="113.7"/>
    <x v="331"/>
    <n v="111.5"/>
    <n v="109.65"/>
    <n v="9.9854293780165748E-2"/>
    <n v="0.10153902194699937"/>
    <n v="0.10431654676258992"/>
    <n v="9.9262362262089066E-2"/>
    <n v="9.7258901739368006E-2"/>
    <n v="0.10071942446043165"/>
    <n v="9.7896366451142885E-2"/>
    <n v="0.10008195974865679"/>
    <n v="9.8442764775521358E-2"/>
    <n v="0.10062835807303525"/>
    <n v="9"/>
    <x v="113"/>
    <n v="110.7"/>
  </r>
  <r>
    <x v="0"/>
    <x v="10"/>
    <s v="September"/>
    <n v="115.4"/>
    <n v="115.7"/>
    <n v="111.7"/>
    <n v="111"/>
    <n v="107.4"/>
    <n v="110.9"/>
    <n v="154"/>
    <n v="108.1"/>
    <n v="104.2"/>
    <n v="107.9"/>
    <n v="110.4"/>
    <n v="114"/>
    <n v="117.8"/>
    <n v="111.7"/>
    <n v="112.7"/>
    <n v="111.4"/>
    <n v="112.5"/>
    <n v="140.85"/>
    <n v="111.1"/>
    <n v="109.6"/>
    <n v="108.3"/>
    <n v="109.3"/>
    <n v="107.7"/>
    <n v="109.8"/>
    <n v="106.7"/>
    <n v="108.7"/>
    <n v="114.2"/>
    <x v="332"/>
    <n v="112.2"/>
    <n v="125.22499999999999"/>
    <n v="0.11247838681427258"/>
    <n v="0.10077919744908272"/>
    <n v="0.10266543911256824"/>
    <n v="9.7635461343273541E-2"/>
    <n v="9.5839040711382592E-2"/>
    <n v="9.8623492690813566E-2"/>
    <n v="9.6737251027328067E-2"/>
    <n v="9.8174387532840829E-2"/>
    <n v="9.7276177216895354E-2"/>
    <n v="9.9791166101542692E-2"/>
    <n v="9"/>
    <x v="113"/>
    <n v="115.42142857142858"/>
  </r>
  <r>
    <x v="0"/>
    <x v="10"/>
    <s v="August"/>
    <n v="114.3"/>
    <n v="115.4"/>
    <n v="111.1"/>
    <n v="110"/>
    <n v="106.4"/>
    <n v="110.8"/>
    <n v="138.9"/>
    <n v="107.4"/>
    <n v="104.1"/>
    <n v="106.9"/>
    <n v="109.7"/>
    <n v="112.6"/>
    <n v="114.9"/>
    <n v="110.7"/>
    <n v="111.3"/>
    <n v="110.2"/>
    <n v="111.1"/>
    <n v="140.85"/>
    <n v="109.9"/>
    <n v="108.7"/>
    <n v="107.5"/>
    <n v="107.8"/>
    <n v="106.8"/>
    <n v="108.7"/>
    <n v="105"/>
    <n v="107.5"/>
    <n v="112.1"/>
    <x v="333"/>
    <n v="110.86666666666667"/>
    <n v="124.77500000000001"/>
    <n v="0.11330686180500076"/>
    <n v="0.10067685096198024"/>
    <n v="0.10204330938067219"/>
    <n v="9.7619616461932124E-2"/>
    <n v="9.5349392823282544E-2"/>
    <n v="9.8709323808483934E-2"/>
    <n v="9.6983953843110246E-2"/>
    <n v="9.7892043298570069E-2"/>
    <n v="9.7619616461932124E-2"/>
    <n v="9.9799031155035731E-2"/>
    <n v="8"/>
    <x v="114"/>
    <n v="114.39285714285714"/>
  </r>
  <r>
    <x v="1"/>
    <x v="10"/>
    <s v="August"/>
    <n v="118.3"/>
    <n v="120.4"/>
    <n v="112.7"/>
    <n v="108.9"/>
    <n v="101.1"/>
    <n v="108.7"/>
    <n v="177"/>
    <n v="104.7"/>
    <n v="101"/>
    <n v="108.5"/>
    <n v="110.9"/>
    <n v="114.3"/>
    <n v="119.6"/>
    <n v="112.4"/>
    <n v="110.6"/>
    <n v="108.3"/>
    <n v="110.2"/>
    <n v="108.9"/>
    <n v="109.3"/>
    <n v="108.7"/>
    <n v="107.6"/>
    <n v="108.1"/>
    <n v="106.5"/>
    <n v="110.8"/>
    <n v="106"/>
    <n v="108.3"/>
    <n v="112.7"/>
    <x v="334"/>
    <n v="109.69999999999999"/>
    <n v="108.80000000000001"/>
    <n v="9.9751799291416463E-2"/>
    <n v="0.10057695204290794"/>
    <n v="0.10599283557849104"/>
    <n v="9.9293381096143399E-2"/>
    <n v="9.7184657397887356E-2"/>
    <n v="0.10158547207250866"/>
    <n v="9.7643075593160406E-2"/>
    <n v="9.9110013818034165E-2"/>
    <n v="9.8651595622761115E-2"/>
    <n v="0.1002102174866895"/>
    <n v="8"/>
    <x v="114"/>
    <n v="109.54285714285716"/>
  </r>
  <r>
    <x v="2"/>
    <x v="10"/>
    <s v="August"/>
    <n v="115.6"/>
    <n v="117.2"/>
    <n v="111.7"/>
    <n v="109.6"/>
    <n v="104.5"/>
    <n v="109.8"/>
    <n v="151.80000000000001"/>
    <n v="106.5"/>
    <n v="103.1"/>
    <n v="107.4"/>
    <n v="110.2"/>
    <n v="113.4"/>
    <n v="116.6"/>
    <n v="111.2"/>
    <n v="111"/>
    <n v="109.4"/>
    <n v="110.7"/>
    <n v="108.9"/>
    <n v="109.7"/>
    <n v="108.7"/>
    <n v="107.5"/>
    <n v="108"/>
    <n v="106.6"/>
    <n v="109.9"/>
    <n v="105.4"/>
    <n v="107.9"/>
    <n v="112.4"/>
    <x v="335"/>
    <n v="110.36666666666667"/>
    <n v="108.80000000000001"/>
    <n v="0.10003327437347859"/>
    <n v="0.10147370448853786"/>
    <n v="0.10432829547643649"/>
    <n v="9.9205793243550902E-2"/>
    <n v="9.6907234549307372E-2"/>
    <n v="0.10104464019894573"/>
    <n v="9.8010542722544253E-2"/>
    <n v="9.9297735591320643E-2"/>
    <n v="9.8838023852471937E-2"/>
    <n v="0.10086075550340624"/>
    <n v="8"/>
    <x v="114"/>
    <n v="109.75714285714287"/>
  </r>
  <r>
    <x v="2"/>
    <x v="10"/>
    <s v="July"/>
    <n v="114.8"/>
    <n v="116.4"/>
    <n v="111.9"/>
    <n v="108.9"/>
    <n v="104.3"/>
    <n v="111.7"/>
    <n v="140"/>
    <n v="106.4"/>
    <n v="103.3"/>
    <n v="106.8"/>
    <n v="109.6"/>
    <n v="112.6"/>
    <n v="114.7"/>
    <n v="110.3"/>
    <n v="110.2"/>
    <n v="108.8"/>
    <n v="110"/>
    <n v="107.7"/>
    <n v="109.2"/>
    <n v="108.2"/>
    <n v="107"/>
    <n v="107.1"/>
    <n v="106.1"/>
    <n v="109.1"/>
    <n v="102.8"/>
    <n v="106.9"/>
    <n v="111"/>
    <x v="336"/>
    <n v="109.66666666666667"/>
    <n v="107.95"/>
    <n v="0.10013162718587261"/>
    <n v="0.10172396277335831"/>
    <n v="0.10413344699797258"/>
    <n v="9.915767435080855E-2"/>
    <n v="9.5354620423415512E-2"/>
    <n v="0.10119833743379991"/>
    <n v="9.8415615047902583E-2"/>
    <n v="9.9343189176535021E-2"/>
    <n v="9.9250431763671779E-2"/>
    <n v="0.10129109484666317"/>
    <n v="7"/>
    <x v="115"/>
    <n v="109.02857142857144"/>
  </r>
  <r>
    <x v="0"/>
    <x v="10"/>
    <s v="July"/>
    <n v="113.4"/>
    <n v="114.9"/>
    <n v="110.5"/>
    <n v="109.3"/>
    <n v="106.2"/>
    <n v="110.3"/>
    <n v="129.19999999999999"/>
    <n v="107.1"/>
    <n v="104.3"/>
    <n v="106.4"/>
    <n v="109.1"/>
    <n v="112.1"/>
    <n v="113.1"/>
    <n v="109.8"/>
    <n v="110.5"/>
    <n v="109.5"/>
    <n v="110.3"/>
    <n v="140.85"/>
    <n v="109.5"/>
    <n v="108.3"/>
    <n v="106.9"/>
    <n v="106.8"/>
    <n v="106.4"/>
    <n v="107.8"/>
    <n v="102.5"/>
    <n v="106.5"/>
    <n v="110.7"/>
    <x v="337"/>
    <n v="110.10000000000001"/>
    <n v="124.57499999999999"/>
    <n v="0.11405915340974118"/>
    <n v="0.10080604286905484"/>
    <n v="0.10174124879420562"/>
    <n v="9.7509932475516259E-2"/>
    <n v="9.3847587593806722E-2"/>
    <n v="9.8700194562071852E-2"/>
    <n v="9.7418373853473517E-2"/>
    <n v="9.7784608341644472E-2"/>
    <n v="9.7876166963687214E-2"/>
    <n v="0.1002566911367984"/>
    <n v="7"/>
    <x v="115"/>
    <n v="113.82142857142857"/>
  </r>
  <r>
    <x v="1"/>
    <x v="10"/>
    <s v="July"/>
    <n v="117.8"/>
    <n v="119.2"/>
    <n v="114"/>
    <n v="108.3"/>
    <n v="101.1"/>
    <n v="113.2"/>
    <n v="160.9"/>
    <n v="105.1"/>
    <n v="101.3"/>
    <n v="107.5"/>
    <n v="110.4"/>
    <n v="113.1"/>
    <n v="117.5"/>
    <n v="111.7"/>
    <n v="109.8"/>
    <n v="107.8"/>
    <n v="109.5"/>
    <n v="107.7"/>
    <n v="108.6"/>
    <n v="108.1"/>
    <n v="107.1"/>
    <n v="107.3"/>
    <n v="105.9"/>
    <n v="110.1"/>
    <n v="103.2"/>
    <n v="107.3"/>
    <n v="111.4"/>
    <x v="338"/>
    <n v="109.03333333333335"/>
    <n v="107.9"/>
    <n v="9.9833676627711018E-2"/>
    <n v="0.10088228490863231"/>
    <n v="0.10581470915439437"/>
    <n v="9.9278531067223286E-2"/>
    <n v="9.548503640389043E-2"/>
    <n v="0.10186921034949938"/>
    <n v="9.7983191426085234E-2"/>
    <n v="9.9278531067223286E-2"/>
    <n v="9.9093482547060699E-2"/>
    <n v="0.10048134644828004"/>
    <n v="7"/>
    <x v="115"/>
    <n v="108.79999999999998"/>
  </r>
  <r>
    <x v="1"/>
    <x v="10"/>
    <s v="June"/>
    <n v="117"/>
    <n v="120.1"/>
    <n v="112.5"/>
    <n v="107.3"/>
    <n v="101.3"/>
    <n v="112.4"/>
    <n v="143.6"/>
    <n v="105.4"/>
    <n v="101.4"/>
    <n v="106.4"/>
    <n v="110"/>
    <n v="112.2"/>
    <n v="115"/>
    <n v="110.9"/>
    <n v="109.2"/>
    <n v="107.2"/>
    <n v="108.9"/>
    <n v="106.6"/>
    <n v="108"/>
    <n v="107.7"/>
    <n v="106.5"/>
    <n v="105.2"/>
    <n v="105.2"/>
    <n v="108.1"/>
    <n v="103.3"/>
    <n v="106.1"/>
    <n v="109.7"/>
    <x v="339"/>
    <n v="108.43333333333334"/>
    <n v="107.15"/>
    <n v="0.10009163334208149"/>
    <n v="0.10129042876397296"/>
    <n v="0.10512257071558523"/>
    <n v="9.9110800724170278E-2"/>
    <n v="9.6495247076407067E-2"/>
    <n v="0.10097905332971542"/>
    <n v="9.8270087051674962E-2"/>
    <n v="9.8270087051674962E-2"/>
    <n v="9.9484451245279312E-2"/>
    <n v="0.10088564069943817"/>
    <n v="6"/>
    <x v="116"/>
    <n v="107.95714285714287"/>
  </r>
  <r>
    <x v="2"/>
    <x v="10"/>
    <s v="June"/>
    <n v="113.8"/>
    <n v="114.9"/>
    <n v="109.8"/>
    <n v="107.9"/>
    <n v="104.2"/>
    <n v="110.7"/>
    <n v="126.7"/>
    <n v="106.3"/>
    <n v="103.2"/>
    <n v="105.7"/>
    <n v="109"/>
    <n v="111.6"/>
    <n v="112.2"/>
    <n v="109.5"/>
    <n v="109.5"/>
    <n v="108.1"/>
    <n v="109.3"/>
    <n v="106.6"/>
    <n v="108.3"/>
    <n v="107.6"/>
    <n v="106.4"/>
    <n v="105.1"/>
    <n v="105.4"/>
    <n v="107.4"/>
    <n v="102.8"/>
    <n v="105.8"/>
    <n v="109.3"/>
    <x v="340"/>
    <n v="108.96666666666665"/>
    <n v="107.1"/>
    <n v="0.10031287841451149"/>
    <n v="0.10206125102304328"/>
    <n v="0.10339706121757204"/>
    <n v="9.9095261776426857E-2"/>
    <n v="9.6285377227000757E-2"/>
    <n v="0.10059386686945411"/>
    <n v="9.8720610503170048E-2"/>
    <n v="9.8439622048227426E-2"/>
    <n v="9.9657238686312086E-2"/>
    <n v="0.10143683223428193"/>
    <n v="6"/>
    <x v="116"/>
    <n v="108.11428571428571"/>
  </r>
  <r>
    <x v="0"/>
    <x v="10"/>
    <s v="June"/>
    <n v="112.3"/>
    <n v="112.1"/>
    <n v="108.1"/>
    <n v="108.3"/>
    <n v="105.9"/>
    <n v="109.2"/>
    <n v="118"/>
    <n v="106.8"/>
    <n v="104.1"/>
    <n v="105.4"/>
    <n v="108.2"/>
    <n v="111"/>
    <n v="110.6"/>
    <n v="109"/>
    <n v="109.7"/>
    <n v="108.8"/>
    <n v="109.5"/>
    <n v="140.85"/>
    <n v="108.5"/>
    <n v="107.5"/>
    <n v="106.3"/>
    <n v="105"/>
    <n v="105.6"/>
    <n v="106.5"/>
    <n v="102.5"/>
    <n v="105.5"/>
    <n v="108.9"/>
    <x v="341"/>
    <n v="109.33333333333333"/>
    <n v="124.175"/>
    <n v="0.11469832406534836"/>
    <n v="0.10098933036288642"/>
    <n v="0.10087936811292682"/>
    <n v="9.7448545914187654E-2"/>
    <n v="9.4677497215206019E-2"/>
    <n v="9.8372228813848203E-2"/>
    <n v="9.75409142041537E-2"/>
    <n v="9.6986704464357379E-2"/>
    <n v="9.8187492233916096E-2"/>
    <n v="0.1002195946131693"/>
    <n v="6"/>
    <x v="116"/>
    <n v="113.05"/>
  </r>
  <r>
    <x v="0"/>
    <x v="10"/>
    <s v="May"/>
    <n v="110.9"/>
    <n v="109.8"/>
    <n v="105.9"/>
    <n v="107.5"/>
    <n v="105.3"/>
    <n v="108.1"/>
    <n v="107.3"/>
    <n v="106.1"/>
    <n v="103.7"/>
    <n v="104"/>
    <n v="107.4"/>
    <n v="109.9"/>
    <n v="108.1"/>
    <n v="108.1"/>
    <n v="108.8"/>
    <n v="107.9"/>
    <n v="108.6"/>
    <n v="140.85"/>
    <n v="107.5"/>
    <n v="106.8"/>
    <n v="105.7"/>
    <n v="104.1"/>
    <n v="105"/>
    <n v="105.5"/>
    <n v="102.1"/>
    <n v="104.8"/>
    <n v="107.2"/>
    <x v="342"/>
    <n v="108.43333333333332"/>
    <n v="123.82499999999999"/>
    <n v="0.11526633723823128"/>
    <n v="0.10093852750143788"/>
    <n v="9.9876879908596339E-2"/>
    <n v="9.7556326610673441E-2"/>
    <n v="9.5042947967077837E-2"/>
    <n v="9.8207943296050079E-2"/>
    <n v="9.7742502806495338E-2"/>
    <n v="9.6904709925296803E-2"/>
    <n v="9.8394119491871976E-2"/>
    <n v="0.10006970525426903"/>
    <n v="5"/>
    <x v="117"/>
    <n v="112.27857142857142"/>
  </r>
  <r>
    <x v="1"/>
    <x v="10"/>
    <s v="May"/>
    <n v="115.4"/>
    <n v="114.2"/>
    <n v="102.7"/>
    <n v="105.5"/>
    <n v="101.5"/>
    <n v="110.6"/>
    <n v="123.7"/>
    <n v="105.2"/>
    <n v="101.9"/>
    <n v="105"/>
    <n v="109.1"/>
    <n v="111.3"/>
    <n v="111.1"/>
    <n v="109.8"/>
    <n v="108.5"/>
    <n v="106.7"/>
    <n v="108.3"/>
    <n v="100.5"/>
    <n v="107.2"/>
    <n v="107.1"/>
    <n v="106.2"/>
    <n v="103.9"/>
    <n v="104.6"/>
    <n v="105.7"/>
    <n v="102.6"/>
    <n v="104.9"/>
    <n v="106.6"/>
    <x v="343"/>
    <n v="107.83333333333333"/>
    <n v="103.8"/>
    <n v="9.8313631217892911E-2"/>
    <n v="0.102133781949224"/>
    <n v="0.10330643742755467"/>
    <n v="9.9355490508255942E-2"/>
    <n v="9.7177057446587778E-2"/>
    <n v="0.10011320635579268"/>
    <n v="9.9071347065429652E-2"/>
    <n v="9.8408345698835012E-2"/>
    <n v="0.10058677876050315"/>
    <n v="0.10153392356992408"/>
    <n v="5"/>
    <x v="117"/>
    <n v="106.28571428571429"/>
  </r>
  <r>
    <x v="2"/>
    <x v="10"/>
    <s v="May"/>
    <n v="112.3"/>
    <n v="111.3"/>
    <n v="104.7"/>
    <n v="106.8"/>
    <n v="103.9"/>
    <n v="109.3"/>
    <n v="112.9"/>
    <n v="105.8"/>
    <n v="103.1"/>
    <n v="104.3"/>
    <n v="108.1"/>
    <n v="110.5"/>
    <n v="109.2"/>
    <n v="108.6"/>
    <n v="108.7"/>
    <n v="107.4"/>
    <n v="108.5"/>
    <n v="100.5"/>
    <n v="107.4"/>
    <n v="106.9"/>
    <n v="105.9"/>
    <n v="104"/>
    <n v="104.8"/>
    <n v="105.6"/>
    <n v="102.3"/>
    <n v="104.8"/>
    <n v="106.9"/>
    <x v="344"/>
    <n v="108.2"/>
    <n v="103.7"/>
    <n v="9.8329788819202693E-2"/>
    <n v="0.10259675168985277"/>
    <n v="0.10232583341235116"/>
    <n v="9.9372824187583822E-2"/>
    <n v="9.7002289259444888E-2"/>
    <n v="0.10013139536458827"/>
    <n v="9.9372824187583822E-2"/>
    <n v="9.861425301057937E-2"/>
    <n v="0.10041585955596495"/>
    <n v="0.10183818051284831"/>
    <n v="5"/>
    <x v="117"/>
    <n v="106.42857142857143"/>
  </r>
  <r>
    <x v="2"/>
    <x v="10"/>
    <s v="April"/>
    <n v="111.6"/>
    <n v="110.9"/>
    <n v="106.6"/>
    <n v="105.7"/>
    <n v="104.4"/>
    <n v="108.9"/>
    <n v="105.5"/>
    <n v="105.3"/>
    <n v="103.5"/>
    <n v="103.3"/>
    <n v="107.2"/>
    <n v="109.6"/>
    <n v="107.7"/>
    <n v="107.5"/>
    <n v="108"/>
    <n v="107"/>
    <n v="107.9"/>
    <n v="100.5"/>
    <n v="106.5"/>
    <n v="106.3"/>
    <n v="105.3"/>
    <n v="104.7"/>
    <n v="104.2"/>
    <n v="105"/>
    <n v="102.9"/>
    <n v="104.8"/>
    <n v="106.1"/>
    <x v="345"/>
    <n v="107.63333333333333"/>
    <n v="103.4"/>
    <n v="9.8343950198485949E-2"/>
    <n v="0.10237028213762446"/>
    <n v="0.10174753675896131"/>
    <n v="9.9675493044500255E-2"/>
    <n v="9.7868399182052271E-2"/>
    <n v="9.9865713451073729E-2"/>
    <n v="9.9104831824779846E-2"/>
    <n v="9.9580382841213524E-2"/>
    <n v="0.10015104406093395"/>
    <n v="0.10129236650037479"/>
    <n v="4"/>
    <x v="118"/>
    <n v="105.88571428571429"/>
  </r>
  <r>
    <x v="0"/>
    <x v="10"/>
    <s v="April"/>
    <n v="110.2"/>
    <n v="109.5"/>
    <n v="106.9"/>
    <n v="106.3"/>
    <n v="105.7"/>
    <n v="108.3"/>
    <n v="103.4"/>
    <n v="105.7"/>
    <n v="104.2"/>
    <n v="103.2"/>
    <n v="106.5"/>
    <n v="108.8"/>
    <n v="107.1"/>
    <n v="107.1"/>
    <n v="108.1"/>
    <n v="107.4"/>
    <n v="108"/>
    <n v="140.85"/>
    <n v="106.5"/>
    <n v="106.1"/>
    <n v="105.1"/>
    <n v="104.4"/>
    <n v="104.5"/>
    <n v="104.8"/>
    <n v="102.7"/>
    <n v="104.6"/>
    <n v="106.4"/>
    <x v="346"/>
    <n v="107.83333333333333"/>
    <n v="123.47499999999999"/>
    <n v="0.11533855171547176"/>
    <n v="0.10072760067477929"/>
    <n v="9.9608899346905255E-2"/>
    <n v="9.7707329495350034E-2"/>
    <n v="9.5932530967231838E-2"/>
    <n v="9.7894150393046692E-2"/>
    <n v="9.7613919046501713E-2"/>
    <n v="9.7520508597653391E-2"/>
    <n v="9.8174381739591671E-2"/>
    <n v="9.9482128023468258E-2"/>
    <n v="4"/>
    <x v="118"/>
    <n v="111.67857142857143"/>
  </r>
  <r>
    <x v="1"/>
    <x v="10"/>
    <s v="April"/>
    <n v="114.6"/>
    <n v="113.4"/>
    <n v="106"/>
    <n v="104.7"/>
    <n v="102.1"/>
    <n v="109.5"/>
    <n v="109.7"/>
    <n v="104.6"/>
    <n v="102"/>
    <n v="103.5"/>
    <n v="108.2"/>
    <n v="110.6"/>
    <n v="108.8"/>
    <n v="108.5"/>
    <n v="107.9"/>
    <n v="106.4"/>
    <n v="107.7"/>
    <n v="100.5"/>
    <n v="106.4"/>
    <n v="106.5"/>
    <n v="105.7"/>
    <n v="105"/>
    <n v="104"/>
    <n v="105.2"/>
    <n v="103.2"/>
    <n v="105.1"/>
    <n v="105.7"/>
    <x v="347"/>
    <n v="107.33333333333333"/>
    <n v="103.5"/>
    <n v="9.828882035326994E-2"/>
    <n v="0.10192914703302068"/>
    <n v="0.10216882071504153"/>
    <n v="9.9808261054383299E-2"/>
    <n v="9.80039252218112E-2"/>
    <n v="9.9903226098202888E-2"/>
    <n v="9.8763645572367872E-2"/>
    <n v="9.971329601056371E-2"/>
    <n v="0.10037805131730081"/>
    <n v="0.1010428066240379"/>
    <n v="4"/>
    <x v="118"/>
    <n v="105.8"/>
  </r>
  <r>
    <x v="1"/>
    <x v="10"/>
    <s v="March"/>
    <n v="113.9"/>
    <n v="111.4"/>
    <n v="113.2"/>
    <n v="104.3"/>
    <n v="102.7"/>
    <n v="104.9"/>
    <n v="103.8"/>
    <n v="103.5"/>
    <n v="102.6"/>
    <n v="102.4"/>
    <n v="107"/>
    <n v="109.8"/>
    <n v="107.3"/>
    <n v="106.8"/>
    <n v="107.2"/>
    <n v="106"/>
    <n v="107"/>
    <n v="100.4"/>
    <n v="106"/>
    <n v="105.7"/>
    <n v="105.2"/>
    <n v="105.5"/>
    <n v="103.5"/>
    <n v="103.8"/>
    <n v="104.2"/>
    <n v="104.9"/>
    <n v="105"/>
    <x v="348"/>
    <n v="106.73333333333333"/>
    <n v="103.05000000000001"/>
    <n v="9.8183154537349812E-2"/>
    <n v="0.10169253140177716"/>
    <n v="0.10164716130656801"/>
    <n v="9.9945782736225092E-2"/>
    <n v="9.9278842336650658E-2"/>
    <n v="9.8897733536893837E-2"/>
    <n v="9.8611901937076224E-2"/>
    <n v="0.1005174459358603"/>
    <n v="0.10023161433604269"/>
    <n v="0.10099383193555632"/>
    <n v="3"/>
    <x v="119"/>
    <n v="105.15714285714286"/>
  </r>
  <r>
    <x v="2"/>
    <x v="10"/>
    <s v="March"/>
    <n v="111.4"/>
    <n v="109.7"/>
    <n v="111.2"/>
    <n v="105.1"/>
    <n v="104.9"/>
    <n v="105.3"/>
    <n v="102.2"/>
    <n v="105"/>
    <n v="104.2"/>
    <n v="103"/>
    <n v="106.2"/>
    <n v="108.9"/>
    <n v="106.9"/>
    <n v="106.6"/>
    <n v="107.4"/>
    <n v="106.5"/>
    <n v="107.3"/>
    <n v="100.4"/>
    <n v="106.1"/>
    <n v="105.6"/>
    <n v="104.9"/>
    <n v="105.1"/>
    <n v="103.7"/>
    <n v="104"/>
    <n v="104.3"/>
    <n v="104.7"/>
    <n v="105.5"/>
    <x v="349"/>
    <n v="107.06666666666666"/>
    <n v="103"/>
    <n v="9.8157114915978769E-2"/>
    <n v="0.10203257382204654"/>
    <n v="0.10146532281120524"/>
    <n v="9.9777183802941538E-2"/>
    <n v="9.9395991123656172E-2"/>
    <n v="9.9110096614192164E-2"/>
    <n v="9.8824202104728143E-2"/>
    <n v="0.10015837648222688"/>
    <n v="9.9967780142584214E-2"/>
    <n v="0.10111135818044026"/>
    <n v="3"/>
    <x v="119"/>
    <n v="105.32857142857142"/>
  </r>
  <r>
    <x v="0"/>
    <x v="10"/>
    <s v="March"/>
    <n v="110.2"/>
    <n v="108.8"/>
    <n v="109.9"/>
    <n v="105.6"/>
    <n v="106.2"/>
    <n v="105.7"/>
    <n v="101.4"/>
    <n v="105.7"/>
    <n v="105"/>
    <n v="103.3"/>
    <n v="105.6"/>
    <n v="108.2"/>
    <n v="106.6"/>
    <n v="106.5"/>
    <n v="107.6"/>
    <n v="106.8"/>
    <n v="107.5"/>
    <n v="140.85"/>
    <n v="106.1"/>
    <n v="105.6"/>
    <n v="104.7"/>
    <n v="104.6"/>
    <n v="104"/>
    <n v="104.3"/>
    <n v="104.3"/>
    <n v="104.6"/>
    <n v="106"/>
    <x v="350"/>
    <n v="107.3"/>
    <n v="123.22499999999999"/>
    <n v="0.11522162371555758"/>
    <n v="0.1003309411619341"/>
    <n v="9.9429285120337704E-2"/>
    <n v="9.7806304245464173E-2"/>
    <n v="9.7525789032523069E-2"/>
    <n v="9.7525789032523069E-2"/>
    <n v="9.7245273819581979E-2"/>
    <n v="9.7806304245464173E-2"/>
    <n v="9.7899809316444555E-2"/>
    <n v="9.9208880310169681E-2"/>
    <n v="3"/>
    <x v="119"/>
    <n v="111.25"/>
  </r>
  <r>
    <x v="0"/>
    <x v="10"/>
    <s v="February"/>
    <n v="109.2"/>
    <n v="108.7"/>
    <n v="110.2"/>
    <n v="105.4"/>
    <n v="106.7"/>
    <n v="104"/>
    <n v="102.4"/>
    <n v="105.9"/>
    <n v="105.7"/>
    <n v="103.1"/>
    <n v="105.1"/>
    <n v="107.7"/>
    <n v="106.3"/>
    <n v="105.6"/>
    <n v="107.1"/>
    <n v="106.3"/>
    <n v="107"/>
    <n v="140.85"/>
    <n v="106.2"/>
    <n v="105.2"/>
    <n v="104.4"/>
    <n v="103.9"/>
    <n v="104"/>
    <n v="104.1"/>
    <n v="104.6"/>
    <n v="104.4"/>
    <n v="105.8"/>
    <x v="351"/>
    <n v="106.8"/>
    <n v="123.02500000000001"/>
    <n v="0.11523857633673337"/>
    <n v="0.10004047919336008"/>
    <n v="9.9424927823256459E-2"/>
    <n v="9.7792378537329527E-2"/>
    <n v="9.7979720258665387E-2"/>
    <n v="9.7511365955325696E-2"/>
    <n v="9.7417695094657752E-2"/>
    <n v="9.7324024233989823E-2"/>
    <n v="9.7792378537329527E-2"/>
    <n v="9.9478454029352445E-2"/>
    <n v="2"/>
    <x v="120"/>
    <n v="110.96428571428571"/>
  </r>
  <r>
    <x v="1"/>
    <x v="10"/>
    <s v="February"/>
    <n v="112.9"/>
    <n v="112.9"/>
    <n v="116.9"/>
    <n v="104"/>
    <n v="103.5"/>
    <n v="103.1"/>
    <n v="104.9"/>
    <n v="104.1"/>
    <n v="103.8"/>
    <n v="102.3"/>
    <n v="106"/>
    <n v="109"/>
    <n v="107.2"/>
    <n v="106"/>
    <n v="106.6"/>
    <n v="105.5"/>
    <n v="106.4"/>
    <n v="100.4"/>
    <n v="105.7"/>
    <n v="105.2"/>
    <n v="104.7"/>
    <n v="104.4"/>
    <n v="103.3"/>
    <n v="103.7"/>
    <n v="104.3"/>
    <n v="104.3"/>
    <n v="104.7"/>
    <x v="352"/>
    <n v="106.16666666666667"/>
    <n v="102.80000000000001"/>
    <n v="9.8254109850898441E-2"/>
    <n v="0.10147190008920608"/>
    <n v="0.10217280489358992"/>
    <n v="9.9687778768956292E-2"/>
    <n v="9.9687778768956292E-2"/>
    <n v="9.9114311201733155E-2"/>
    <n v="9.8731999490251049E-2"/>
    <n v="9.9783356696826822E-2"/>
    <n v="0.10007009048043838"/>
    <n v="0.10102586975914363"/>
    <n v="2"/>
    <x v="120"/>
    <n v="104.78571428571429"/>
  </r>
  <r>
    <x v="2"/>
    <x v="10"/>
    <s v="February"/>
    <n v="110.4"/>
    <n v="110.2"/>
    <n v="112.8"/>
    <n v="104.9"/>
    <n v="105.5"/>
    <n v="103.6"/>
    <n v="103.2"/>
    <n v="105.3"/>
    <n v="105.1"/>
    <n v="102.8"/>
    <n v="105.5"/>
    <n v="108.3"/>
    <n v="106.6"/>
    <n v="105.7"/>
    <n v="106.9"/>
    <n v="106"/>
    <n v="106.8"/>
    <n v="100.4"/>
    <n v="106"/>
    <n v="105.2"/>
    <n v="104.5"/>
    <n v="104.2"/>
    <n v="103.6"/>
    <n v="103.9"/>
    <n v="104.5"/>
    <n v="104.4"/>
    <n v="105.3"/>
    <x v="353"/>
    <n v="106.56666666666666"/>
    <n v="102.80000000000001"/>
    <n v="9.8195786605654409E-2"/>
    <n v="0.10179375154937649"/>
    <n v="0.1016550183878297"/>
    <n v="9.9724125696792995E-2"/>
    <n v="9.981964688998915E-2"/>
    <n v="9.924651973081218E-2"/>
    <n v="9.8959956151223688E-2"/>
    <n v="9.9533083310400672E-2"/>
    <n v="9.981964688998915E-2"/>
    <n v="0.10125246478793158"/>
    <n v="2"/>
    <x v="120"/>
    <n v="105.02857142857142"/>
  </r>
  <r>
    <x v="2"/>
    <x v="10"/>
    <s v="January"/>
    <n v="108.4"/>
    <n v="107.3"/>
    <n v="110"/>
    <n v="104.4"/>
    <n v="105.1"/>
    <n v="103.2"/>
    <n v="102.2"/>
    <n v="106"/>
    <n v="106.2"/>
    <n v="102.7"/>
    <n v="104.9"/>
    <n v="107.3"/>
    <n v="105.6"/>
    <n v="105.1"/>
    <n v="106.3"/>
    <n v="105.5"/>
    <n v="106.2"/>
    <n v="100.3"/>
    <n v="105.5"/>
    <n v="104.8"/>
    <n v="104"/>
    <n v="103.2"/>
    <n v="103.1"/>
    <n v="103.6"/>
    <n v="104.5"/>
    <n v="103.9"/>
    <n v="104.6"/>
    <x v="354"/>
    <n v="106"/>
    <n v="102.55"/>
    <n v="9.842122942559621E-2"/>
    <n v="0.10173232880656459"/>
    <n v="0.10134843322616247"/>
    <n v="9.9716877009453406E-2"/>
    <n v="0.1002927203800566"/>
    <n v="9.9428955324151802E-2"/>
    <n v="9.8949085848649129E-2"/>
    <n v="9.9045059743749678E-2"/>
    <n v="9.981285090455394E-2"/>
    <n v="0.10125245933106193"/>
    <n v="1"/>
    <x v="121"/>
    <n v="104.6"/>
  </r>
  <r>
    <x v="0"/>
    <x v="10"/>
    <s v="January"/>
    <n v="107.5"/>
    <n v="106.3"/>
    <n v="108.1"/>
    <n v="104.9"/>
    <n v="106.1"/>
    <n v="103.9"/>
    <n v="101.9"/>
    <n v="106.1"/>
    <n v="106.8"/>
    <n v="103.1"/>
    <n v="104.8"/>
    <n v="106.7"/>
    <n v="105.5"/>
    <n v="105.1"/>
    <n v="106.5"/>
    <n v="105.8"/>
    <n v="106.4"/>
    <n v="140.85"/>
    <n v="105.5"/>
    <n v="104.8"/>
    <n v="104"/>
    <n v="103.3"/>
    <n v="103.4"/>
    <n v="103.8"/>
    <n v="104.7"/>
    <n v="104"/>
    <n v="105.1"/>
    <x v="355"/>
    <n v="106.23333333333335"/>
    <n v="122.82499999999999"/>
    <n v="0.11551910426871939"/>
    <n v="9.9914345696291137E-2"/>
    <n v="9.9211196641007693E-2"/>
    <n v="9.7813855843247033E-2"/>
    <n v="9.8472218334499664E-2"/>
    <n v="9.7625752274317718E-2"/>
    <n v="9.7249545136459087E-2"/>
    <n v="9.7155493351994415E-2"/>
    <n v="9.7813855843247033E-2"/>
    <n v="9.9224632610216953E-2"/>
    <n v="1"/>
    <x v="121"/>
    <n v="110.52142857142857"/>
  </r>
  <r>
    <x v="1"/>
    <x v="10"/>
    <s v="January"/>
    <n v="110.5"/>
    <n v="109.1"/>
    <n v="113"/>
    <n v="103.6"/>
    <n v="103.4"/>
    <n v="102.3"/>
    <n v="102.9"/>
    <n v="105.8"/>
    <n v="105.1"/>
    <n v="101.8"/>
    <n v="105.1"/>
    <n v="107.9"/>
    <n v="105.9"/>
    <n v="105.2"/>
    <n v="105.9"/>
    <n v="105"/>
    <n v="105.8"/>
    <n v="100.3"/>
    <n v="105.4"/>
    <n v="104.8"/>
    <n v="104.1"/>
    <n v="103.2"/>
    <n v="102.9"/>
    <n v="103.5"/>
    <n v="104.3"/>
    <n v="103.7"/>
    <n v="104"/>
    <x v="356"/>
    <n v="105.56666666666666"/>
    <n v="102.55"/>
    <n v="9.8506766322308842E-2"/>
    <n v="0.10140449502446031"/>
    <n v="0.10165607368052713"/>
    <n v="9.9611425330311337E-2"/>
    <n v="0.10018776916057351"/>
    <n v="9.9419310720223947E-2"/>
    <n v="9.8842966889961789E-2"/>
    <n v="9.9131138805092861E-2"/>
    <n v="9.9995654550486104E-2"/>
    <n v="0.10124439951605416"/>
    <n v="1"/>
    <x v="121"/>
    <n v="104.3857142857142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136.59285714285713"/>
    <n v="134.30000000000001"/>
    <n v="139.64285714285714"/>
    <s v="NA"/>
    <s v="NA"/>
    <s v="NA"/>
  </r>
  <r>
    <x v="0"/>
    <x v="1"/>
    <n v="137.6"/>
    <n v="146.19999999999999"/>
    <n v="145.32857142857142"/>
    <n v="0.73733200857606751"/>
    <n v="8.8607594936708676"/>
    <n v="4.0716112531969291"/>
  </r>
  <r>
    <x v="0"/>
    <x v="2"/>
    <n v="147.6142857142857"/>
    <n v="152.30000000000001"/>
    <n v="149.82857142857142"/>
    <n v="7.2778239202657744"/>
    <n v="4.1723666210670469"/>
    <n v="3.0964317310527871"/>
  </r>
  <r>
    <x v="0"/>
    <x v="3"/>
    <n v="159.10714285714286"/>
    <n v="161.69999999999999"/>
    <n v="155.55714285714285"/>
    <n v="7.7857350237104548"/>
    <n v="6.1720288903479821"/>
    <n v="3.8234172387490459"/>
  </r>
  <r>
    <x v="0"/>
    <x v="4"/>
    <n v="169.85"/>
    <n v="173"/>
    <n v="167.01428571428571"/>
    <n v="6.7519640852974128"/>
    <n v="6.9882498453927102"/>
    <n v="7.36523096703094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CC836-8E45-4D0B-A70D-75C6A31A274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2" firstHeaderRow="1" firstDataRow="1" firstDataCol="1" rowPageCount="1" colPageCount="1"/>
  <pivotFields count="48">
    <pivotField axis="axisPage" showAll="0">
      <items count="4">
        <item x="0"/>
        <item x="2"/>
        <item x="1"/>
        <item t="default"/>
      </items>
    </pivotField>
    <pivotField axis="axisRow" multipleItemSelectionAllowed="1" showAll="0">
      <items count="12">
        <item h="1" x="10"/>
        <item h="1" x="9"/>
        <item h="1" x="8"/>
        <item x="7"/>
        <item x="6"/>
        <item x="5"/>
        <item x="4"/>
        <item x="3"/>
        <item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numFmtId="10" showAll="0"/>
    <pivotField showAll="0"/>
    <pivotField numFmtId="164" showAll="0">
      <items count="123">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
        <item x="2"/>
        <item x="5"/>
        <item x="7"/>
        <item x="9"/>
        <item x="11"/>
        <item x="12"/>
        <item x="10"/>
        <item x="8"/>
        <item x="6"/>
        <item x="4"/>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14">
        <item x="0"/>
        <item x="1"/>
        <item x="2"/>
        <item x="3"/>
        <item x="4"/>
        <item x="5"/>
        <item x="6"/>
        <item x="7"/>
        <item x="8"/>
        <item x="9"/>
        <item x="10"/>
        <item x="11"/>
        <item x="12"/>
        <item t="default"/>
      </items>
    </pivotField>
  </pivotFields>
  <rowFields count="1">
    <field x="1"/>
  </rowFields>
  <rowItems count="8">
    <i>
      <x v="3"/>
    </i>
    <i>
      <x v="4"/>
    </i>
    <i>
      <x v="5"/>
    </i>
    <i>
      <x v="6"/>
    </i>
    <i>
      <x v="7"/>
    </i>
    <i>
      <x v="8"/>
    </i>
    <i>
      <x v="9"/>
    </i>
    <i t="grand">
      <x/>
    </i>
  </rowItems>
  <colItems count="1">
    <i/>
  </colItems>
  <pageFields count="1">
    <pageField fld="0" item="1" hier="-1"/>
  </pageFields>
  <dataFields count="1">
    <dataField name="Average of General index" fld="29" subtotal="average" showDataAs="percentDiff" baseField="1" baseItem="1048828" numFmtId="10"/>
  </dataFields>
  <formats count="4">
    <format dxfId="41">
      <pivotArea collapsedLevelsAreSubtotals="1" fieldPosition="0">
        <references count="1">
          <reference field="1" count="0"/>
        </references>
      </pivotArea>
    </format>
    <format dxfId="40">
      <pivotArea collapsedLevelsAreSubtotals="1" fieldPosition="0">
        <references count="1">
          <reference field="1" count="7">
            <x v="4"/>
            <x v="5"/>
            <x v="6"/>
            <x v="7"/>
            <x v="8"/>
            <x v="9"/>
            <x v="10"/>
          </reference>
        </references>
      </pivotArea>
    </format>
    <format dxfId="39">
      <pivotArea collapsedLevelsAreSubtotals="1" fieldPosition="0">
        <references count="2">
          <reference field="4294967294" count="1" selected="0">
            <x v="0"/>
          </reference>
          <reference field="1" count="0"/>
        </references>
      </pivotArea>
    </format>
    <format dxfId="38">
      <pivotArea outline="0" fieldPosition="0">
        <references count="1">
          <reference field="4294967294" count="1">
            <x v="0"/>
          </reference>
        </references>
      </pivotArea>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42B671-CD7E-4C19-8931-9270E49BE92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9:F14" firstHeaderRow="0" firstDataRow="1" firstDataCol="1" rowPageCount="1" colPageCount="1"/>
  <pivotFields count="8">
    <pivotField axis="axisPage" showAll="0">
      <items count="2">
        <item x="0"/>
        <item t="default"/>
      </items>
    </pivotField>
    <pivotField axis="axisRow" numFmtId="17" showAll="0">
      <items count="6">
        <item x="1"/>
        <item x="2"/>
        <item x="3"/>
        <item x="4"/>
        <item h="1" x="0"/>
        <item t="default"/>
      </items>
    </pivotField>
    <pivotField numFmtId="2" showAll="0"/>
    <pivotField numFmtId="2" showAll="0"/>
    <pivotField numFmtId="2" showAll="0"/>
    <pivotField dataField="1" showAll="0"/>
    <pivotField dataField="1" showAll="0"/>
    <pivotField dataField="1" showAll="0"/>
  </pivotFields>
  <rowFields count="1">
    <field x="1"/>
  </rowFields>
  <rowItems count="5">
    <i>
      <x/>
    </i>
    <i>
      <x v="1"/>
    </i>
    <i>
      <x v="2"/>
    </i>
    <i>
      <x v="3"/>
    </i>
    <i t="grand">
      <x/>
    </i>
  </rowItems>
  <colFields count="1">
    <field x="-2"/>
  </colFields>
  <colItems count="3">
    <i>
      <x/>
    </i>
    <i i="1">
      <x v="1"/>
    </i>
    <i i="2">
      <x v="2"/>
    </i>
  </colItems>
  <pageFields count="1">
    <pageField fld="0" item="0" hier="-1"/>
  </pageFields>
  <dataFields count="3">
    <dataField name="Average of Food%" fld="6" subtotal="average" baseField="1" baseItem="0"/>
    <dataField name="Average of Essential Service%" fld="7" subtotal="average" baseField="1" baseItem="0"/>
    <dataField name="Average of Health%" fld="5" subtotal="average" baseField="1" baseItem="0"/>
  </dataFields>
  <formats count="1">
    <format dxfId="37">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DD85B2-2431-4F7F-B261-E9927A36D8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9:E43" firstHeaderRow="0" firstDataRow="1" firstDataCol="1"/>
  <pivotFields count="11">
    <pivotField axis="axisRow" showAll="0" sortType="ascending">
      <items count="4">
        <item x="0"/>
        <item x="1"/>
        <item x="2"/>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s>
  <rowFields count="1">
    <field x="0"/>
  </rowFields>
  <rowItems count="4">
    <i>
      <x/>
    </i>
    <i>
      <x v="1"/>
    </i>
    <i>
      <x v="2"/>
    </i>
    <i t="grand">
      <x/>
    </i>
  </rowItems>
  <colFields count="1">
    <field x="-2"/>
  </colFields>
  <colItems count="4">
    <i>
      <x/>
    </i>
    <i i="1">
      <x v="1"/>
    </i>
    <i i="2">
      <x v="2"/>
    </i>
    <i i="3">
      <x v="3"/>
    </i>
  </colItems>
  <dataFields count="4">
    <dataField name="Average of Fuel_Inflation" fld="3" subtotal="average" baseField="0" baseItem="0"/>
    <dataField name="Average of Transport_Inflation" fld="4" subtotal="average" baseField="0" baseItem="0"/>
    <dataField name="Average of Food_Inflation" fld="5" subtotal="average" baseField="0" baseItem="0"/>
    <dataField name="Average of Crude_Oil_Price" fld="2" subtotal="average" baseField="0" baseItem="0"/>
  </dataFields>
  <formats count="18">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fieldPosition="0">
        <references count="1">
          <reference field="4294967294" count="3">
            <x v="0"/>
            <x v="1"/>
            <x v="2"/>
          </reference>
        </references>
      </pivotArea>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fieldPosition="0">
        <references count="1">
          <reference field="4294967294" count="3">
            <x v="0"/>
            <x v="1"/>
            <x v="2"/>
          </reference>
        </references>
      </pivotArea>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fieldPosition="0">
        <references count="1">
          <reference field="4294967294" count="3">
            <x v="0"/>
            <x v="1"/>
            <x v="2"/>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52" unboundColumnsRight="14">
    <queryTableFields count="47">
      <queryTableField id="1" name="Sector" tableColumnId="93"/>
      <queryTableField id="2" name="Year" tableColumnId="94"/>
      <queryTableField id="3" name="Month" tableColumnId="95"/>
      <queryTableField id="4" name="Cereals and products" tableColumnId="96"/>
      <queryTableField id="5" name="Meat and fish" tableColumnId="97"/>
      <queryTableField id="6" name="Egg" tableColumnId="98"/>
      <queryTableField id="7" name="Milk and products" tableColumnId="99"/>
      <queryTableField id="8" name="Oils and fats" tableColumnId="100"/>
      <queryTableField id="9" name="Fruits" tableColumnId="101"/>
      <queryTableField id="10" name="Vegetables" tableColumnId="102"/>
      <queryTableField id="11" name="Pulses and products" tableColumnId="103"/>
      <queryTableField id="12" name="Sugar and Confectionery" tableColumnId="104"/>
      <queryTableField id="13" name="Spices" tableColumnId="105"/>
      <queryTableField id="14" name="Non-alcoholic beverages" tableColumnId="106"/>
      <queryTableField id="15" name="Prepared meals, snacks, sweets etc." tableColumnId="107"/>
      <queryTableField id="16" name="Food and beverages" tableColumnId="108"/>
      <queryTableField id="17" name="Pan, tobacco and intoxicants" tableColumnId="109"/>
      <queryTableField id="18" name="Clothing" tableColumnId="110"/>
      <queryTableField id="19" name="Footwear" tableColumnId="111"/>
      <queryTableField id="20" name="Clothing and footwear" tableColumnId="112"/>
      <queryTableField id="21" name="Housing" tableColumnId="113"/>
      <queryTableField id="22" name="Fuel and light" tableColumnId="114"/>
      <queryTableField id="23" name="Household goods and services" tableColumnId="115"/>
      <queryTableField id="24" name="Health" tableColumnId="116"/>
      <queryTableField id="25" name="Transport and communication" tableColumnId="117"/>
      <queryTableField id="26" name="Recreation and amusement" tableColumnId="118"/>
      <queryTableField id="27" name="Education" tableColumnId="119"/>
      <queryTableField id="28" name="Personal care and effects" tableColumnId="120"/>
      <queryTableField id="29" name="Miscellaneous" tableColumnId="121"/>
      <queryTableField id="30" name="General index" tableColumnId="122"/>
      <queryTableField id="31" name="Food" tableColumnId="123"/>
      <queryTableField id="32" name="Cloth" tableColumnId="124"/>
      <queryTableField id="33" name="House" tableColumnId="125"/>
      <queryTableField id="34" dataBound="0" tableColumnId="126"/>
      <queryTableField id="35" dataBound="0" tableColumnId="127"/>
      <queryTableField id="36" dataBound="0" tableColumnId="128"/>
      <queryTableField id="37" dataBound="0" tableColumnId="129"/>
      <queryTableField id="38" dataBound="0" tableColumnId="130"/>
      <queryTableField id="39" dataBound="0" tableColumnId="131"/>
      <queryTableField id="40" dataBound="0" tableColumnId="132"/>
      <queryTableField id="41" dataBound="0" tableColumnId="133"/>
      <queryTableField id="42" dataBound="0" tableColumnId="134"/>
      <queryTableField id="43" dataBound="0" tableColumnId="135"/>
      <queryTableField id="44" dataBound="0" tableColumnId="136"/>
      <queryTableField id="50" dataBound="0" tableColumnId="3"/>
      <queryTableField id="47" dataBound="0" tableColumnId="140"/>
      <queryTableField id="51" dataBound="0"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_India_Index_Upto_April23__1" displayName="All_India_Index_Upto_April23__1" ref="A1:AU367" tableType="queryTable" insertRowShift="1" totalsRowShown="0" headerRowDxfId="90" dataDxfId="89">
  <autoFilter ref="A1:AU367" xr:uid="{00000000-0009-0000-0100-000001000000}"/>
  <tableColumns count="47">
    <tableColumn id="93" xr3:uid="{00000000-0010-0000-0000-00005D000000}" uniqueName="93" name="Sector" queryTableFieldId="1" dataDxfId="88"/>
    <tableColumn id="94" xr3:uid="{00000000-0010-0000-0000-00005E000000}" uniqueName="94" name="Year" queryTableFieldId="2" dataDxfId="87"/>
    <tableColumn id="95" xr3:uid="{00000000-0010-0000-0000-00005F000000}" uniqueName="95" name="Month" queryTableFieldId="3" dataDxfId="86"/>
    <tableColumn id="96" xr3:uid="{00000000-0010-0000-0000-000060000000}" uniqueName="96" name="Cereals and products" queryTableFieldId="4" dataDxfId="85"/>
    <tableColumn id="97" xr3:uid="{00000000-0010-0000-0000-000061000000}" uniqueName="97" name="Meat and fish" queryTableFieldId="5" dataDxfId="84"/>
    <tableColumn id="98" xr3:uid="{00000000-0010-0000-0000-000062000000}" uniqueName="98" name="Egg" queryTableFieldId="6" dataDxfId="83"/>
    <tableColumn id="99" xr3:uid="{00000000-0010-0000-0000-000063000000}" uniqueName="99" name="Milk and products" queryTableFieldId="7" dataDxfId="82"/>
    <tableColumn id="100" xr3:uid="{00000000-0010-0000-0000-000064000000}" uniqueName="100" name="Oils and fats" queryTableFieldId="8" dataDxfId="81"/>
    <tableColumn id="101" xr3:uid="{00000000-0010-0000-0000-000065000000}" uniqueName="101" name="Fruits" queryTableFieldId="9" dataDxfId="80"/>
    <tableColumn id="102" xr3:uid="{00000000-0010-0000-0000-000066000000}" uniqueName="102" name="Vegetables" queryTableFieldId="10" dataDxfId="79"/>
    <tableColumn id="103" xr3:uid="{00000000-0010-0000-0000-000067000000}" uniqueName="103" name="Pulses and products" queryTableFieldId="11" dataDxfId="78"/>
    <tableColumn id="104" xr3:uid="{00000000-0010-0000-0000-000068000000}" uniqueName="104" name="Sugar and Confectionery" queryTableFieldId="12" dataDxfId="77"/>
    <tableColumn id="105" xr3:uid="{00000000-0010-0000-0000-000069000000}" uniqueName="105" name="Spices" queryTableFieldId="13" dataDxfId="76"/>
    <tableColumn id="106" xr3:uid="{00000000-0010-0000-0000-00006A000000}" uniqueName="106" name="Non-alcoholic beverages" queryTableFieldId="14" dataDxfId="75"/>
    <tableColumn id="107" xr3:uid="{00000000-0010-0000-0000-00006B000000}" uniqueName="107" name="Prepared meals, snacks, sweets etc." queryTableFieldId="15" dataDxfId="74"/>
    <tableColumn id="108" xr3:uid="{00000000-0010-0000-0000-00006C000000}" uniqueName="108" name="Food and beverages" queryTableFieldId="16" dataDxfId="73"/>
    <tableColumn id="109" xr3:uid="{00000000-0010-0000-0000-00006D000000}" uniqueName="109" name="Pan, tobacco and intoxicants" queryTableFieldId="17" dataDxfId="72"/>
    <tableColumn id="110" xr3:uid="{00000000-0010-0000-0000-00006E000000}" uniqueName="110" name="Clothing" queryTableFieldId="18" dataDxfId="71"/>
    <tableColumn id="111" xr3:uid="{00000000-0010-0000-0000-00006F000000}" uniqueName="111" name="Footwear" queryTableFieldId="19" dataDxfId="70"/>
    <tableColumn id="112" xr3:uid="{00000000-0010-0000-0000-000070000000}" uniqueName="112" name="Clothing and footwear" queryTableFieldId="20" dataDxfId="69"/>
    <tableColumn id="113" xr3:uid="{00000000-0010-0000-0000-000071000000}" uniqueName="113" name="Housing" queryTableFieldId="21" dataDxfId="68"/>
    <tableColumn id="114" xr3:uid="{00000000-0010-0000-0000-000072000000}" uniqueName="114" name="Fuel and light" queryTableFieldId="22" dataDxfId="67"/>
    <tableColumn id="115" xr3:uid="{00000000-0010-0000-0000-000073000000}" uniqueName="115" name="Household goods and services" queryTableFieldId="23" dataDxfId="66"/>
    <tableColumn id="116" xr3:uid="{00000000-0010-0000-0000-000074000000}" uniqueName="116" name="Health" queryTableFieldId="24" dataDxfId="65"/>
    <tableColumn id="117" xr3:uid="{00000000-0010-0000-0000-000075000000}" uniqueName="117" name="Transport and communication" queryTableFieldId="25" dataDxfId="64"/>
    <tableColumn id="118" xr3:uid="{00000000-0010-0000-0000-000076000000}" uniqueName="118" name="Recreation and amusement" queryTableFieldId="26" dataDxfId="63"/>
    <tableColumn id="119" xr3:uid="{00000000-0010-0000-0000-000077000000}" uniqueName="119" name="Education" queryTableFieldId="27" dataDxfId="62"/>
    <tableColumn id="120" xr3:uid="{00000000-0010-0000-0000-000078000000}" uniqueName="120" name="Personal care and effects" queryTableFieldId="28" dataDxfId="61"/>
    <tableColumn id="121" xr3:uid="{00000000-0010-0000-0000-000079000000}" uniqueName="121" name="Miscellaneous" queryTableFieldId="29" dataDxfId="60"/>
    <tableColumn id="122" xr3:uid="{00000000-0010-0000-0000-00007A000000}" uniqueName="122" name="General index" queryTableFieldId="30" dataDxfId="59"/>
    <tableColumn id="123" xr3:uid="{00000000-0010-0000-0000-00007B000000}" uniqueName="123" name="Food" queryTableFieldId="31" dataDxfId="58"/>
    <tableColumn id="124" xr3:uid="{00000000-0010-0000-0000-00007C000000}" uniqueName="124" name="Cloth" queryTableFieldId="32" dataDxfId="57"/>
    <tableColumn id="125" xr3:uid="{00000000-0010-0000-0000-00007D000000}" uniqueName="125" name="House" queryTableFieldId="33" dataDxfId="56"/>
    <tableColumn id="126" xr3:uid="{00000000-0010-0000-0000-00007E000000}" uniqueName="126" name="CONTRIBUTION IN HOUSE" queryTableFieldId="34" dataDxfId="55">
      <calculatedColumnFormula>All_India_Index_Upto_April23__1[[#This Row],[House]]/All_India_Index_Upto_April23__1[[#This Row],[TOTAL BROADER CATEGORIES]]</calculatedColumnFormula>
    </tableColumn>
    <tableColumn id="127" xr3:uid="{00000000-0010-0000-0000-00007F000000}" uniqueName="127" name="CONTRIBUTION IN CLOTH" queryTableFieldId="35" dataDxfId="54">
      <calculatedColumnFormula>All_India_Index_Upto_April23__1[[#This Row],[Cloth]]/All_India_Index_Upto_April23__1[[#This Row],[TOTAL BROADER CATEGORIES]]</calculatedColumnFormula>
    </tableColumn>
    <tableColumn id="128" xr3:uid="{00000000-0010-0000-0000-000080000000}" uniqueName="128" name="CONTRIBUTION IN FOOD" queryTableFieldId="36" dataDxfId="53">
      <calculatedColumnFormula>All_India_Index_Upto_April23__1[[#This Row],[Food]]/All_India_Index_Upto_April23__1[[#This Row],[TOTAL BROADER CATEGORIES]]</calculatedColumnFormula>
    </tableColumn>
    <tableColumn id="129" xr3:uid="{00000000-0010-0000-0000-000081000000}" uniqueName="129" name="CONTRIBUTION IN MIS_ITEM" queryTableFieldId="37" dataDxfId="52">
      <calculatedColumnFormula>All_India_Index_Upto_April23__1[[#This Row],[Miscellaneous]]/All_India_Index_Upto_April23__1[[#This Row],[TOTAL BROADER CATEGORIES]]</calculatedColumnFormula>
    </tableColumn>
    <tableColumn id="130" xr3:uid="{00000000-0010-0000-0000-000082000000}" uniqueName="130" name="CONTRIBUTION IN PER_CARE_ITEM" queryTableFieldId="38" dataDxfId="51">
      <calculatedColumnFormula>All_India_Index_Upto_April23__1[[#This Row],[Personal care and effects]]/All_India_Index_Upto_April23__1[[#This Row],[TOTAL BROADER CATEGORIES]]</calculatedColumnFormula>
    </tableColumn>
    <tableColumn id="131" xr3:uid="{00000000-0010-0000-0000-000083000000}" uniqueName="131" name="CONTRIBUTION IN EDUCATION" queryTableFieldId="39" dataDxfId="50">
      <calculatedColumnFormula>All_India_Index_Upto_April23__1[[#This Row],[Education]]/All_India_Index_Upto_April23__1[[#This Row],[TOTAL BROADER CATEGORIES]]</calculatedColumnFormula>
    </tableColumn>
    <tableColumn id="132" xr3:uid="{00000000-0010-0000-0000-000084000000}" uniqueName="132" name="CONTRIBUTION IN REC_AND_AMU" queryTableFieldId="40" dataDxfId="49">
      <calculatedColumnFormula>All_India_Index_Upto_April23__1[[#This Row],[Recreation and amusement]]/All_India_Index_Upto_April23__1[[#This Row],[TOTAL BROADER CATEGORIES]]</calculatedColumnFormula>
    </tableColumn>
    <tableColumn id="133" xr3:uid="{00000000-0010-0000-0000-000085000000}" uniqueName="133" name="CONTRIBUTION IN TR_COM" queryTableFieldId="41" dataDxfId="48">
      <calculatedColumnFormula>All_India_Index_Upto_April23__1[[#This Row],[Transport and communication]]/All_India_Index_Upto_April23__1[[#This Row],[TOTAL BROADER CATEGORIES]]</calculatedColumnFormula>
    </tableColumn>
    <tableColumn id="134" xr3:uid="{00000000-0010-0000-0000-000086000000}" uniqueName="134" name="CONTRIBUTION IN HEALTH" queryTableFieldId="42" dataDxfId="47">
      <calculatedColumnFormula>All_India_Index_Upto_April23__1[[#This Row],[Health]]/All_India_Index_Upto_April23__1[[#This Row],[TOTAL BROADER CATEGORIES]]</calculatedColumnFormula>
    </tableColumn>
    <tableColumn id="135" xr3:uid="{00000000-0010-0000-0000-000087000000}" uniqueName="135" name="CONTRIBUTION IN L&amp;F" queryTableFieldId="43" dataDxfId="46">
      <calculatedColumnFormula>All_India_Index_Upto_April23__1[[#This Row],[Fuel and light]]/All_India_Index_Upto_April23__1[[#This Row],[TOTAL BROADER CATEGORIES]]</calculatedColumnFormula>
    </tableColumn>
    <tableColumn id="136" xr3:uid="{00000000-0010-0000-0000-000088000000}" uniqueName="136" name="MONTH IN NUM" queryTableFieldId="44" dataDxfId="45">
      <calculatedColumnFormula>MONTH(1 &amp; All_India_Index_Upto_April23__1[[#This Row],[Month]])</calculatedColumnFormula>
    </tableColumn>
    <tableColumn id="3" xr3:uid="{D94FCCE8-9574-4B56-BE63-B853F1CD43DC}" uniqueName="3" name="CONCAT Y&amp;M" queryTableFieldId="50" dataDxfId="44">
      <calculatedColumnFormula>All_India_Index_Upto_April23__1[[#This Row],[MONTH IN NUM]]&amp;"/"&amp;All_India_Index_Upto_April23__1[[#This Row],[Year]]</calculatedColumnFormula>
    </tableColumn>
    <tableColumn id="140" xr3:uid="{00000000-0010-0000-0000-00008C000000}" uniqueName="140" name="ESSENTIAL SERVICES" queryTableFieldId="47" dataDxfId="43">
      <calculatedColumnFormula>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calculatedColumnFormula>
    </tableColumn>
    <tableColumn id="1" xr3:uid="{1B768A8F-104F-4E2F-9E97-4A6ABFD502C3}" uniqueName="1" name="TOTAL BROADER CATEGORIES" queryTableFieldId="51" dataDxfId="42">
      <calculatedColumnFormula>(All_India_Index_Upto_April23__1[[#This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calculatedColumnFormula>
    </tableColumn>
  </tableColumns>
  <tableStyleInfo name="TableStyleQueryResul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0C3DF-BC8C-406F-B751-410B1828667D}" name="Table2" displayName="Table2" ref="C1:J6" totalsRowShown="0">
  <autoFilter ref="C1:J6" xr:uid="{0DA0C3DF-BC8C-406F-B751-410B1828667D}"/>
  <tableColumns count="8">
    <tableColumn id="1" xr3:uid="{9F94795D-A29C-4F07-A07F-74AA341CD83D}" name="Sector"/>
    <tableColumn id="2" xr3:uid="{CF76E849-D572-446F-9873-28F9ACA85FC2}" name="Year" dataDxfId="36"/>
    <tableColumn id="3" xr3:uid="{817540B9-D107-435A-80C4-8AC3BCA851D1}" name="Health" dataDxfId="35">
      <calculatedColumnFormula array="1">INDEX('BROADER CATEGORIES'!$AE:$AE,MATCH(1,('BROADER CATEGORIES'!$AS:$AS="3/2019")*('BROADER CATEGORIES'!$A:$A="Rural+Urban"),0))</calculatedColumnFormula>
    </tableColumn>
    <tableColumn id="4" xr3:uid="{8BB78770-67FE-4AC7-A2BD-19F08B718E6B}" name="Food" dataDxfId="34">
      <calculatedColumnFormula array="1">INDEX('BROADER CATEGORIES'!$AE:$AE,MATCH(1,('BROADER CATEGORIES'!$AS:$AS="3/2018")*('BROADER CATEGORIES'!$A:$A="Rural+Urban"),0))</calculatedColumnFormula>
    </tableColumn>
    <tableColumn id="5" xr3:uid="{E6BF7A64-21DA-40B7-BE36-F63B5E506100}" name="Essential Service" dataDxfId="33"/>
    <tableColumn id="6" xr3:uid="{E6D418D8-0E49-4070-B621-E03980A406BF}" name="Health%">
      <calculatedColumnFormula>(E2-E1)*100/E1</calculatedColumnFormula>
    </tableColumn>
    <tableColumn id="7" xr3:uid="{7A4F987D-546B-4685-BAF7-BEB6B4062AF8}" name="Food%">
      <calculatedColumnFormula>(F2-F1)*100/F1</calculatedColumnFormula>
    </tableColumn>
    <tableColumn id="8" xr3:uid="{A2F67F49-CB25-47BD-9428-62FFF815D61C}" name="Essential Service%">
      <calculatedColumnFormula>(G2-G1)*100/G1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8C6D1B-E9F5-432B-BD96-868FB6FEEFAA}" name="Table4" displayName="Table4" ref="A1:J29" totalsRowShown="0">
  <autoFilter ref="A1:J29" xr:uid="{AF8C6D1B-E9F5-432B-BD96-868FB6FEEFAA}"/>
  <tableColumns count="10">
    <tableColumn id="1" xr3:uid="{B3179D47-785C-4110-8A72-13846FFCA415}" name="Year"/>
    <tableColumn id="2" xr3:uid="{34B53AD0-F7D5-4AD4-844C-9274232D5A52}" name="Month"/>
    <tableColumn id="3" xr3:uid="{DFCF5685-B885-4378-8456-B8116797E73C}" name="Crude_Oil_Price"/>
    <tableColumn id="4" xr3:uid="{96AE748F-B683-41C9-B0C2-7C5435C7292A}" name="Fuel_Inflation"/>
    <tableColumn id="5" xr3:uid="{D796DAA1-881C-4BFC-84AF-9C3F444BCC8D}" name="Transport_Inflation"/>
    <tableColumn id="6" xr3:uid="{92767A00-B1C4-4E50-B11B-8F6E1FF6A556}" name="Food_Inflation"/>
    <tableColumn id="7" xr3:uid="{F1B3D483-024C-4D39-83D2-2346F453293B}" name="Oil_%Change"/>
    <tableColumn id="8" xr3:uid="{44DCB957-A9BC-4795-85CE-6395D4FF0A83}" name="Fuel_%Change"/>
    <tableColumn id="9" xr3:uid="{BAA826FB-288A-405E-9B8A-3CCCE9C4F822}" name="Transport_%Change"/>
    <tableColumn id="10" xr3:uid="{C3E32EED-830F-4EE5-A3C4-58482C3BB1A6}" name="Food_%Change"/>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C398DB-77A9-49FC-8727-24F2DF68AA77}" name="Table5" displayName="Table5" ref="A32:B35" totalsRowShown="0">
  <autoFilter ref="A32:B35" xr:uid="{24C398DB-77A9-49FC-8727-24F2DF68AA77}"/>
  <tableColumns count="2">
    <tableColumn id="1" xr3:uid="{9FD1AD7B-AB83-4188-81B9-9BAD4AE15EF2}" name="Inflation"/>
    <tableColumn id="2" xr3:uid="{6D7339CB-ECE7-4561-9833-A64AB07C4888}" name="Correlation" dataDxfId="1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8.xml"/><Relationship Id="rId1" Type="http://schemas.openxmlformats.org/officeDocument/2006/relationships/pivotTable" Target="../pivotTables/pivotTable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67"/>
  <sheetViews>
    <sheetView topLeftCell="AF1" zoomScale="114" zoomScaleNormal="114" zoomScaleSheetLayoutView="10" workbookViewId="0">
      <selection activeCell="AS2" sqref="AS2"/>
    </sheetView>
  </sheetViews>
  <sheetFormatPr defaultRowHeight="14.4" x14ac:dyDescent="0.3"/>
  <cols>
    <col min="1" max="1" width="11.21875" bestFit="1" customWidth="1"/>
    <col min="2" max="2" width="6.88671875" customWidth="1"/>
    <col min="3" max="3" width="9.77734375" customWidth="1"/>
    <col min="4" max="4" width="21" customWidth="1"/>
    <col min="5" max="5" width="14.77734375" customWidth="1"/>
    <col min="6" max="6" width="6.21875" customWidth="1"/>
    <col min="7" max="7" width="18.5546875" customWidth="1"/>
    <col min="8" max="8" width="25.88671875" customWidth="1"/>
    <col min="9" max="9" width="7.77734375" customWidth="1"/>
    <col min="10" max="10" width="12.44140625" customWidth="1"/>
    <col min="11" max="11" width="20.21875" customWidth="1"/>
    <col min="12" max="12" width="24.33203125" customWidth="1"/>
    <col min="13" max="13" width="8.44140625" customWidth="1"/>
    <col min="14" max="14" width="24.21875" customWidth="1"/>
    <col min="15" max="15" width="33.5546875" customWidth="1"/>
    <col min="16" max="16" width="20.33203125" customWidth="1"/>
    <col min="17" max="17" width="27.88671875" customWidth="1"/>
    <col min="18" max="18" width="10.21875" customWidth="1"/>
    <col min="19" max="19" width="11.109375" customWidth="1"/>
    <col min="20" max="20" width="22.21875" customWidth="1"/>
    <col min="21" max="21" width="10" customWidth="1"/>
    <col min="22" max="22" width="14.44140625" customWidth="1"/>
    <col min="23" max="23" width="28.88671875" customWidth="1"/>
    <col min="24" max="24" width="8.6640625" customWidth="1"/>
    <col min="25" max="25" width="29.109375" customWidth="1"/>
    <col min="26" max="26" width="27.33203125" customWidth="1"/>
    <col min="27" max="27" width="11.6640625" customWidth="1"/>
    <col min="28" max="28" width="24.5546875" customWidth="1"/>
    <col min="29" max="29" width="15.109375" customWidth="1"/>
    <col min="30" max="30" width="14.6640625" customWidth="1"/>
    <col min="31" max="32" width="12" customWidth="1"/>
    <col min="33" max="33" width="10.44140625" customWidth="1"/>
    <col min="34" max="34" width="32.33203125" style="2" customWidth="1"/>
    <col min="35" max="35" width="31.5546875" style="2" customWidth="1"/>
    <col min="36" max="36" width="26.6640625" style="2" customWidth="1"/>
    <col min="37" max="37" width="22.77734375" style="2" customWidth="1"/>
    <col min="38" max="38" width="31.33203125" style="2" customWidth="1"/>
    <col min="39" max="39" width="23.21875" style="2" customWidth="1"/>
    <col min="40" max="40" width="27.5546875" style="2" customWidth="1"/>
    <col min="41" max="41" width="26" style="2" customWidth="1"/>
    <col min="42" max="42" width="20.6640625" style="2" customWidth="1"/>
    <col min="43" max="43" width="20.21875" style="2" bestFit="1" customWidth="1"/>
    <col min="44" max="44" width="24.33203125" bestFit="1" customWidth="1"/>
    <col min="45" max="45" width="24.33203125" customWidth="1"/>
    <col min="46" max="46" width="24.21875" bestFit="1" customWidth="1"/>
    <col min="47" max="47" width="28.44140625" customWidth="1"/>
    <col min="48" max="48" width="27.88671875" bestFit="1" customWidth="1"/>
    <col min="49" max="49" width="10.21875" bestFit="1" customWidth="1"/>
    <col min="50" max="50" width="11.109375" bestFit="1" customWidth="1"/>
    <col min="51" max="51" width="22.21875" bestFit="1" customWidth="1"/>
    <col min="52" max="52" width="10" bestFit="1" customWidth="1"/>
    <col min="53" max="53" width="14.44140625" bestFit="1" customWidth="1"/>
    <col min="54" max="54" width="35.109375" customWidth="1"/>
    <col min="55" max="55" width="8.6640625" bestFit="1" customWidth="1"/>
    <col min="56" max="56" width="29.109375" bestFit="1" customWidth="1"/>
    <col min="57" max="57" width="26.6640625" bestFit="1" customWidth="1"/>
    <col min="58" max="58" width="11.6640625" bestFit="1" customWidth="1"/>
    <col min="59" max="59" width="24.5546875" bestFit="1" customWidth="1"/>
    <col min="60" max="60" width="15.109375" bestFit="1" customWidth="1"/>
    <col min="61" max="61" width="14.6640625" bestFit="1"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s="1" t="s">
        <v>45</v>
      </c>
      <c r="AF1" s="1" t="s">
        <v>46</v>
      </c>
      <c r="AG1" s="1" t="s">
        <v>47</v>
      </c>
      <c r="AH1" s="2" t="s">
        <v>49</v>
      </c>
      <c r="AI1" s="2" t="s">
        <v>50</v>
      </c>
      <c r="AJ1" s="2" t="s">
        <v>51</v>
      </c>
      <c r="AK1" s="2" t="s">
        <v>52</v>
      </c>
      <c r="AL1" s="2" t="s">
        <v>53</v>
      </c>
      <c r="AM1" s="2" t="s">
        <v>54</v>
      </c>
      <c r="AN1" s="2" t="s">
        <v>55</v>
      </c>
      <c r="AO1" s="2" t="s">
        <v>56</v>
      </c>
      <c r="AP1" s="2" t="s">
        <v>57</v>
      </c>
      <c r="AQ1" s="2" t="s">
        <v>58</v>
      </c>
      <c r="AR1" t="s">
        <v>59</v>
      </c>
      <c r="AS1" s="19" t="s">
        <v>60</v>
      </c>
      <c r="AT1" t="s">
        <v>71</v>
      </c>
      <c r="AU1" t="s">
        <v>106</v>
      </c>
    </row>
    <row r="2" spans="1:47" x14ac:dyDescent="0.3">
      <c r="A2" t="s">
        <v>30</v>
      </c>
      <c r="B2">
        <v>2023</v>
      </c>
      <c r="C2" t="s">
        <v>37</v>
      </c>
      <c r="D2">
        <v>173.2</v>
      </c>
      <c r="E2">
        <v>211.5</v>
      </c>
      <c r="F2">
        <v>171</v>
      </c>
      <c r="G2">
        <v>179.6</v>
      </c>
      <c r="H2">
        <v>173.3</v>
      </c>
      <c r="I2">
        <v>169</v>
      </c>
      <c r="J2">
        <v>148.69999999999999</v>
      </c>
      <c r="K2">
        <v>174.9</v>
      </c>
      <c r="L2">
        <v>121.9</v>
      </c>
      <c r="M2">
        <v>213.04</v>
      </c>
      <c r="N2">
        <v>178.7</v>
      </c>
      <c r="O2">
        <v>191.1</v>
      </c>
      <c r="P2">
        <v>176.8</v>
      </c>
      <c r="Q2">
        <v>199.9</v>
      </c>
      <c r="R2">
        <v>191.2</v>
      </c>
      <c r="S2">
        <v>185.35</v>
      </c>
      <c r="T2">
        <v>190.8</v>
      </c>
      <c r="U2">
        <v>140.85</v>
      </c>
      <c r="V2">
        <v>182.5</v>
      </c>
      <c r="W2">
        <v>179.8</v>
      </c>
      <c r="X2">
        <v>187.8</v>
      </c>
      <c r="Y2">
        <v>169.7</v>
      </c>
      <c r="Z2">
        <v>173.8</v>
      </c>
      <c r="AA2">
        <v>180.3</v>
      </c>
      <c r="AB2">
        <v>184.9</v>
      </c>
      <c r="AC2">
        <v>179.5</v>
      </c>
      <c r="AD2" s="1">
        <v>179.8</v>
      </c>
      <c r="AE2" s="1">
        <v>177.9</v>
      </c>
      <c r="AF2" s="1">
        <v>189.9666666666667</v>
      </c>
      <c r="AG2" s="1">
        <v>160.32499999999999</v>
      </c>
      <c r="AH2" s="2">
        <f>All_India_Index_Upto_April23__1[[#This Row],[House]]/All_India_Index_Upto_April23__1[[#This Row],[TOTAL BROADER CATEGORIES]]</f>
        <v>8.9732886200286369E-2</v>
      </c>
      <c r="AI2" s="2">
        <f>All_India_Index_Upto_April23__1[[#This Row],[Cloth]]/All_India_Index_Upto_April23__1[[#This Row],[TOTAL BROADER CATEGORIES]]</f>
        <v>0.10632313913518003</v>
      </c>
      <c r="AJ2" s="2">
        <f>All_India_Index_Upto_April23__1[[#This Row],[Food]]/All_India_Index_Upto_April23__1[[#This Row],[TOTAL BROADER CATEGORIES]]</f>
        <v>9.956950229241196E-2</v>
      </c>
      <c r="AK2" s="2">
        <f>All_India_Index_Upto_April23__1[[#This Row],[Miscellaneous]]/All_India_Index_Upto_April23__1[[#This Row],[TOTAL BROADER CATEGORIES]]</f>
        <v>0.10046501215001656</v>
      </c>
      <c r="AL2" s="2">
        <f>All_India_Index_Upto_April23__1[[#This Row],[Personal care and effects]]/All_India_Index_Upto_April23__1[[#This Row],[TOTAL BROADER CATEGORIES]]</f>
        <v>0.1034873579194321</v>
      </c>
      <c r="AM2" s="2">
        <f>All_India_Index_Upto_April23__1[[#This Row],[Education]]/All_India_Index_Upto_April23__1[[#This Row],[TOTAL BROADER CATEGORIES]]</f>
        <v>0.10091276707881887</v>
      </c>
      <c r="AN2" s="2">
        <f>All_India_Index_Upto_April23__1[[#This Row],[Recreation and amusement]]/All_India_Index_Upto_April23__1[[#This Row],[TOTAL BROADER CATEGORIES]]</f>
        <v>9.7274758282300158E-2</v>
      </c>
      <c r="AO2" s="2">
        <f>All_India_Index_Upto_April23__1[[#This Row],[Transport and communication]]/All_India_Index_Upto_April23__1[[#This Row],[TOTAL BROADER CATEGORIES]]</f>
        <v>9.4980014272188357E-2</v>
      </c>
      <c r="AP2" s="2">
        <f>All_India_Index_Upto_April23__1[[#This Row],[Health]]/All_India_Index_Upto_April23__1[[#This Row],[TOTAL BROADER CATEGORIES]]</f>
        <v>0.10511046953634046</v>
      </c>
      <c r="AQ2" s="2">
        <f>All_India_Index_Upto_April23__1[[#This Row],[Fuel and light]]/All_India_Index_Upto_April23__1[[#This Row],[TOTAL BROADER CATEGORIES]]</f>
        <v>0.10214409313302519</v>
      </c>
      <c r="AR2">
        <f>MONTH(1 &amp; All_India_Index_Upto_April23__1[[#This Row],[Month]])</f>
        <v>5</v>
      </c>
      <c r="AS2" s="19" t="str">
        <f>All_India_Index_Upto_April23__1[[#This Row],[MONTH IN NUM]]&amp;"/"&amp;All_India_Index_Upto_April23__1[[#This Row],[Year]]</f>
        <v>5/2023</v>
      </c>
      <c r="AT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178.68571428571428</v>
      </c>
      <c r="AU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1786.6916666666666</v>
      </c>
    </row>
    <row r="3" spans="1:47" x14ac:dyDescent="0.3">
      <c r="A3" t="s">
        <v>32</v>
      </c>
      <c r="B3">
        <v>2023</v>
      </c>
      <c r="C3" t="s">
        <v>37</v>
      </c>
      <c r="D3">
        <v>174.7</v>
      </c>
      <c r="E3">
        <v>219.4</v>
      </c>
      <c r="F3">
        <v>176.7</v>
      </c>
      <c r="G3">
        <v>179.4</v>
      </c>
      <c r="H3">
        <v>164.4</v>
      </c>
      <c r="I3">
        <v>175.8</v>
      </c>
      <c r="J3">
        <v>185</v>
      </c>
      <c r="K3">
        <v>176.9</v>
      </c>
      <c r="L3">
        <v>124.2</v>
      </c>
      <c r="M3">
        <v>211.9</v>
      </c>
      <c r="N3">
        <v>165.9</v>
      </c>
      <c r="O3">
        <v>197.7</v>
      </c>
      <c r="P3">
        <v>183.1</v>
      </c>
      <c r="Q3">
        <v>204.2</v>
      </c>
      <c r="R3">
        <v>181.3</v>
      </c>
      <c r="S3">
        <v>168.1</v>
      </c>
      <c r="T3">
        <v>179.3</v>
      </c>
      <c r="U3">
        <v>175.6</v>
      </c>
      <c r="V3">
        <v>183.4</v>
      </c>
      <c r="W3">
        <v>170.1</v>
      </c>
      <c r="X3">
        <v>182.2</v>
      </c>
      <c r="Y3">
        <v>160.4</v>
      </c>
      <c r="Z3">
        <v>169.2</v>
      </c>
      <c r="AA3">
        <v>174.8</v>
      </c>
      <c r="AB3">
        <v>185.6</v>
      </c>
      <c r="AC3">
        <v>171.6</v>
      </c>
      <c r="AD3" s="1">
        <v>178.2</v>
      </c>
      <c r="AE3" s="1">
        <v>181.37857142857141</v>
      </c>
      <c r="AF3" s="1">
        <v>176.23333333333335</v>
      </c>
      <c r="AG3" s="1">
        <v>172.85</v>
      </c>
      <c r="AH3" s="2">
        <f>All_India_Index_Upto_April23__1[[#This Row],[House]]/All_India_Index_Upto_April23__1[[#This Row],[TOTAL BROADER CATEGORIES]]</f>
        <v>9.834086949925358E-2</v>
      </c>
      <c r="AI3" s="2">
        <f>All_India_Index_Upto_April23__1[[#This Row],[Cloth]]/All_India_Index_Upto_April23__1[[#This Row],[TOTAL BROADER CATEGORIES]]</f>
        <v>0.10026577515042981</v>
      </c>
      <c r="AJ3" s="2">
        <f>All_India_Index_Upto_April23__1[[#This Row],[Food]]/All_India_Index_Upto_April23__1[[#This Row],[TOTAL BROADER CATEGORIES]]</f>
        <v>0.10319309472269705</v>
      </c>
      <c r="AK3" s="2">
        <f>All_India_Index_Upto_April23__1[[#This Row],[Miscellaneous]]/All_India_Index_Upto_April23__1[[#This Row],[TOTAL BROADER CATEGORIES]]</f>
        <v>9.7629697460641679E-2</v>
      </c>
      <c r="AL3" s="2">
        <f>All_India_Index_Upto_April23__1[[#This Row],[Personal care and effects]]/All_India_Index_Upto_April23__1[[#This Row],[TOTAL BROADER CATEGORIES]]</f>
        <v>0.10559482429309497</v>
      </c>
      <c r="AM3" s="2">
        <f>All_India_Index_Upto_April23__1[[#This Row],[Education]]/All_India_Index_Upto_April23__1[[#This Row],[TOTAL BROADER CATEGORIES]]</f>
        <v>9.9450297879488156E-2</v>
      </c>
      <c r="AN3" s="2">
        <f>All_India_Index_Upto_April23__1[[#This Row],[Recreation and amusement]]/All_India_Index_Upto_April23__1[[#This Row],[TOTAL BROADER CATEGORIES]]</f>
        <v>9.6264247146506832E-2</v>
      </c>
      <c r="AO3" s="2">
        <f>All_India_Index_Upto_April23__1[[#This Row],[Transport and communication]]/All_India_Index_Upto_April23__1[[#This Row],[TOTAL BROADER CATEGORIES]]</f>
        <v>9.1257595994679058E-2</v>
      </c>
      <c r="AP3" s="2">
        <f>All_India_Index_Upto_April23__1[[#This Row],[Health]]/All_India_Index_Upto_April23__1[[#This Row],[TOTAL BROADER CATEGORIES]]</f>
        <v>0.10366043634807059</v>
      </c>
      <c r="AQ3" s="2">
        <f>All_India_Index_Upto_April23__1[[#This Row],[Fuel and light]]/All_India_Index_Upto_April23__1[[#This Row],[TOTAL BROADER CATEGORIES]]</f>
        <v>0.10434316150513803</v>
      </c>
      <c r="AR3">
        <f>MONTH(1 &amp; All_India_Index_Upto_April23__1[[#This Row],[Month]])</f>
        <v>5</v>
      </c>
      <c r="AS3" s="19" t="str">
        <f>All_India_Index_Upto_April23__1[[#This Row],[MONTH IN NUM]]&amp;"/"&amp;All_India_Index_Upto_April23__1[[#This Row],[Year]]</f>
        <v>5/2023</v>
      </c>
      <c r="AT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176.08571428571426</v>
      </c>
      <c r="AU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1757.6619047619051</v>
      </c>
    </row>
    <row r="4" spans="1:47" x14ac:dyDescent="0.3">
      <c r="A4" t="s">
        <v>33</v>
      </c>
      <c r="B4">
        <v>2022</v>
      </c>
      <c r="C4" t="s">
        <v>37</v>
      </c>
      <c r="D4">
        <v>154.1</v>
      </c>
      <c r="E4">
        <v>217</v>
      </c>
      <c r="F4">
        <v>162.4</v>
      </c>
      <c r="G4">
        <v>164.9</v>
      </c>
      <c r="H4">
        <v>189.67500000000001</v>
      </c>
      <c r="I4">
        <v>171</v>
      </c>
      <c r="J4">
        <v>174.9</v>
      </c>
      <c r="K4">
        <v>164.7</v>
      </c>
      <c r="L4">
        <v>119.7</v>
      </c>
      <c r="M4">
        <v>184.9</v>
      </c>
      <c r="N4">
        <v>167.1</v>
      </c>
      <c r="O4">
        <v>182.5</v>
      </c>
      <c r="P4">
        <v>173.3</v>
      </c>
      <c r="Q4">
        <v>194.1</v>
      </c>
      <c r="R4">
        <v>175.6</v>
      </c>
      <c r="S4">
        <v>168.4</v>
      </c>
      <c r="T4">
        <v>174.6</v>
      </c>
      <c r="U4">
        <v>167.5</v>
      </c>
      <c r="V4">
        <v>174.6</v>
      </c>
      <c r="W4">
        <v>165.2</v>
      </c>
      <c r="X4">
        <v>174.8</v>
      </c>
      <c r="Y4">
        <v>163</v>
      </c>
      <c r="Z4">
        <v>165.1</v>
      </c>
      <c r="AA4">
        <v>167.9</v>
      </c>
      <c r="AB4">
        <v>168.4</v>
      </c>
      <c r="AC4">
        <v>167.5</v>
      </c>
      <c r="AD4" s="1">
        <v>171.7</v>
      </c>
      <c r="AE4" s="1">
        <v>173.78571428571399</v>
      </c>
      <c r="AF4" s="1">
        <v>172.86666666666667</v>
      </c>
      <c r="AG4" s="1">
        <v>166.35</v>
      </c>
      <c r="AH4" s="2">
        <f>All_India_Index_Upto_April23__1[[#This Row],[House]]/All_India_Index_Upto_April23__1[[#This Row],[TOTAL BROADER CATEGORIES]]</f>
        <v>9.8182002144442115E-2</v>
      </c>
      <c r="AI4" s="2">
        <f>All_India_Index_Upto_April23__1[[#This Row],[Cloth]]/All_India_Index_Upto_April23__1[[#This Row],[TOTAL BROADER CATEGORIES]]</f>
        <v>0.10202822625409816</v>
      </c>
      <c r="AJ4" s="2">
        <f>All_India_Index_Upto_April23__1[[#This Row],[Food]]/All_India_Index_Upto_April23__1[[#This Row],[TOTAL BROADER CATEGORIES]]</f>
        <v>0.1025706604909731</v>
      </c>
      <c r="AK4" s="2">
        <f>All_India_Index_Upto_April23__1[[#This Row],[Miscellaneous]]/All_India_Index_Upto_April23__1[[#This Row],[TOTAL BROADER CATEGORIES]]</f>
        <v>9.8860747575557892E-2</v>
      </c>
      <c r="AL4" s="2">
        <f>All_India_Index_Upto_April23__1[[#This Row],[Personal care and effects]]/All_India_Index_Upto_April23__1[[#This Row],[TOTAL BROADER CATEGORIES]]</f>
        <v>9.9391939652083275E-2</v>
      </c>
      <c r="AM4" s="2">
        <f>All_India_Index_Upto_April23__1[[#This Row],[Education]]/All_India_Index_Upto_April23__1[[#This Row],[TOTAL BROADER CATEGORIES]]</f>
        <v>9.9096832942902502E-2</v>
      </c>
      <c r="AN4" s="2">
        <f>All_India_Index_Upto_April23__1[[#This Row],[Recreation and amusement]]/All_India_Index_Upto_April23__1[[#This Row],[TOTAL BROADER CATEGORIES]]</f>
        <v>9.744423537149019E-2</v>
      </c>
      <c r="AO4" s="2">
        <f>All_India_Index_Upto_April23__1[[#This Row],[Transport and communication]]/All_India_Index_Upto_April23__1[[#This Row],[TOTAL BROADER CATEGORIES]]</f>
        <v>9.6204787192930963E-2</v>
      </c>
      <c r="AP4" s="2">
        <f>All_India_Index_Upto_April23__1[[#This Row],[Health]]/All_India_Index_Upto_April23__1[[#This Row],[TOTAL BROADER CATEGORIES]]</f>
        <v>0.10316930552959713</v>
      </c>
      <c r="AQ4" s="2">
        <f>All_India_Index_Upto_April23__1[[#This Row],[Fuel and light]]/All_India_Index_Upto_April23__1[[#This Row],[TOTAL BROADER CATEGORIES]]</f>
        <v>0.10305126284592482</v>
      </c>
      <c r="AR4">
        <f>MONTH(1 &amp; All_India_Index_Upto_April23__1[[#This Row],[Month]])</f>
        <v>5</v>
      </c>
      <c r="AS4" s="19" t="str">
        <f>All_India_Index_Upto_April23__1[[#This Row],[MONTH IN NUM]]&amp;"/"&amp;All_India_Index_Upto_April23__1[[#This Row],[Year]]</f>
        <v>5/2022</v>
      </c>
      <c r="AT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170.54285714285714</v>
      </c>
      <c r="AU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1694.3023809523804</v>
      </c>
    </row>
    <row r="5" spans="1:47" x14ac:dyDescent="0.3">
      <c r="A5" t="s">
        <v>33</v>
      </c>
      <c r="B5">
        <v>2022</v>
      </c>
      <c r="C5" t="s">
        <v>38</v>
      </c>
      <c r="D5">
        <v>155</v>
      </c>
      <c r="E5">
        <v>219.4</v>
      </c>
      <c r="F5">
        <v>170.8</v>
      </c>
      <c r="G5">
        <v>165.8</v>
      </c>
      <c r="H5">
        <v>189.67500000000001</v>
      </c>
      <c r="I5">
        <v>169.7</v>
      </c>
      <c r="J5">
        <v>182.3</v>
      </c>
      <c r="K5">
        <v>164.3</v>
      </c>
      <c r="L5">
        <v>119.9</v>
      </c>
      <c r="M5">
        <v>187.1</v>
      </c>
      <c r="N5">
        <v>167.9</v>
      </c>
      <c r="O5">
        <v>183.9</v>
      </c>
      <c r="P5">
        <v>174.9</v>
      </c>
      <c r="Q5">
        <v>194.3</v>
      </c>
      <c r="R5">
        <v>177.1</v>
      </c>
      <c r="S5">
        <v>169.9</v>
      </c>
      <c r="T5">
        <v>176</v>
      </c>
      <c r="U5">
        <v>166.8</v>
      </c>
      <c r="V5">
        <v>176</v>
      </c>
      <c r="W5">
        <v>166.4</v>
      </c>
      <c r="X5">
        <v>175.4</v>
      </c>
      <c r="Y5">
        <v>161.1</v>
      </c>
      <c r="Z5">
        <v>165.8</v>
      </c>
      <c r="AA5">
        <v>169</v>
      </c>
      <c r="AB5">
        <v>169.4</v>
      </c>
      <c r="AC5">
        <v>167.5</v>
      </c>
      <c r="AD5" s="1">
        <v>172.6</v>
      </c>
      <c r="AE5" s="1">
        <v>175.44285714285715</v>
      </c>
      <c r="AF5" s="1">
        <v>174.33333333333334</v>
      </c>
      <c r="AG5" s="1">
        <v>166.60000000000002</v>
      </c>
      <c r="AH5" s="2">
        <f>All_India_Index_Upto_April23__1[[#This Row],[House]]/All_India_Index_Upto_April23__1[[#This Row],[TOTAL BROADER CATEGORIES]]</f>
        <v>9.7966795567888773E-2</v>
      </c>
      <c r="AI5" s="2">
        <f>All_India_Index_Upto_April23__1[[#This Row],[Cloth]]/All_India_Index_Upto_April23__1[[#This Row],[TOTAL BROADER CATEGORIES]]</f>
        <v>0.10251427387356106</v>
      </c>
      <c r="AJ5" s="2">
        <f>All_India_Index_Upto_April23__1[[#This Row],[Food]]/All_India_Index_Upto_April23__1[[#This Row],[TOTAL BROADER CATEGORIES]]</f>
        <v>0.10316671380288474</v>
      </c>
      <c r="AK5" s="2">
        <f>All_India_Index_Upto_April23__1[[#This Row],[Miscellaneous]]/All_India_Index_Upto_April23__1[[#This Row],[TOTAL BROADER CATEGORIES]]</f>
        <v>9.8496027956910967E-2</v>
      </c>
      <c r="AL5" s="2">
        <f>All_India_Index_Upto_April23__1[[#This Row],[Personal care and effects]]/All_India_Index_Upto_April23__1[[#This Row],[TOTAL BROADER CATEGORIES]]</f>
        <v>9.9613296333735626E-2</v>
      </c>
      <c r="AM5" s="2">
        <f>All_India_Index_Upto_April23__1[[#This Row],[Education]]/All_India_Index_Upto_April23__1[[#This Row],[TOTAL BROADER CATEGORIES]]</f>
        <v>9.9378081938614637E-2</v>
      </c>
      <c r="AN5" s="2">
        <f>All_India_Index_Upto_April23__1[[#This Row],[Recreation and amusement]]/All_India_Index_Upto_April23__1[[#This Row],[TOTAL BROADER CATEGORIES]]</f>
        <v>9.7496366777646795E-2</v>
      </c>
      <c r="AO5" s="2">
        <f>All_India_Index_Upto_April23__1[[#This Row],[Transport and communication]]/All_India_Index_Upto_April23__1[[#This Row],[TOTAL BROADER CATEGORIES]]</f>
        <v>9.4732597634975255E-2</v>
      </c>
      <c r="AP5" s="2">
        <f>All_India_Index_Upto_April23__1[[#This Row],[Health]]/All_India_Index_Upto_April23__1[[#This Row],[TOTAL BROADER CATEGORIES]]</f>
        <v>0.10314151226055035</v>
      </c>
      <c r="AQ5" s="2">
        <f>All_India_Index_Upto_April23__1[[#This Row],[Fuel and light]]/All_India_Index_Upto_April23__1[[#This Row],[TOTAL BROADER CATEGORIES]]</f>
        <v>0.10349433385323181</v>
      </c>
      <c r="AR5">
        <f>MONTH(1 &amp; All_India_Index_Upto_April23__1[[#This Row],[Month]])</f>
        <v>6</v>
      </c>
      <c r="AS5" s="19" t="str">
        <f>All_India_Index_Upto_April23__1[[#This Row],[MONTH IN NUM]]&amp;"/"&amp;All_India_Index_Upto_April23__1[[#This Row],[Year]]</f>
        <v>6/2022</v>
      </c>
      <c r="AT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171.6</v>
      </c>
      <c r="AU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1700.5761904761905</v>
      </c>
    </row>
    <row r="6" spans="1:47" x14ac:dyDescent="0.3">
      <c r="A6" t="s">
        <v>30</v>
      </c>
      <c r="B6">
        <v>2023</v>
      </c>
      <c r="C6" t="s">
        <v>36</v>
      </c>
      <c r="D6">
        <v>173.3</v>
      </c>
      <c r="E6">
        <v>206.9</v>
      </c>
      <c r="F6">
        <v>167.9</v>
      </c>
      <c r="G6">
        <v>178.2</v>
      </c>
      <c r="H6">
        <v>178.5</v>
      </c>
      <c r="I6">
        <v>173.7</v>
      </c>
      <c r="J6">
        <v>142.80000000000001</v>
      </c>
      <c r="K6">
        <v>172.8</v>
      </c>
      <c r="L6">
        <v>120.4</v>
      </c>
      <c r="M6">
        <v>213.04</v>
      </c>
      <c r="N6">
        <v>178.2</v>
      </c>
      <c r="O6">
        <v>190.5</v>
      </c>
      <c r="P6">
        <v>175.5</v>
      </c>
      <c r="Q6">
        <v>199.5</v>
      </c>
      <c r="R6">
        <v>190.7</v>
      </c>
      <c r="S6">
        <v>185.35</v>
      </c>
      <c r="T6">
        <v>190.2</v>
      </c>
      <c r="U6">
        <v>140.85</v>
      </c>
      <c r="V6">
        <v>181.5</v>
      </c>
      <c r="W6">
        <v>179.1</v>
      </c>
      <c r="X6">
        <v>187.2</v>
      </c>
      <c r="Y6">
        <v>169.4</v>
      </c>
      <c r="Z6">
        <v>173.2</v>
      </c>
      <c r="AA6">
        <v>179.4</v>
      </c>
      <c r="AB6">
        <v>183.8</v>
      </c>
      <c r="AC6">
        <v>178.9</v>
      </c>
      <c r="AD6" s="1">
        <v>178.8</v>
      </c>
      <c r="AE6" s="1">
        <v>176.69285714285712</v>
      </c>
      <c r="AF6" s="1">
        <v>189.4</v>
      </c>
      <c r="AG6" s="1">
        <v>159.97499999999999</v>
      </c>
      <c r="AH6" s="2">
        <f>All_India_Index_Upto_April23__1[[#This Row],[House]]/All_India_Index_Upto_April23__1[[#This Row],[TOTAL BROADER CATEGORIES]]</f>
        <v>8.9900471850533153E-2</v>
      </c>
      <c r="AI6" s="2">
        <f>All_India_Index_Upto_April23__1[[#This Row],[Cloth]]/All_India_Index_Upto_April23__1[[#This Row],[TOTAL BROADER CATEGORIES]]</f>
        <v>0.10643631422716662</v>
      </c>
      <c r="AJ6" s="2">
        <f>All_India_Index_Upto_April23__1[[#This Row],[Food]]/All_India_Index_Upto_April23__1[[#This Row],[TOTAL BROADER CATEGORIES]]</f>
        <v>9.9295335082117214E-2</v>
      </c>
      <c r="AK6" s="2">
        <f>All_India_Index_Upto_April23__1[[#This Row],[Miscellaneous]]/All_India_Index_Upto_April23__1[[#This Row],[TOTAL BROADER CATEGORIES]]</f>
        <v>0.10053567378690659</v>
      </c>
      <c r="AL6" s="2">
        <f>All_India_Index_Upto_April23__1[[#This Row],[Personal care and effects]]/All_India_Index_Upto_April23__1[[#This Row],[TOTAL BROADER CATEGORIES]]</f>
        <v>0.10328930599236127</v>
      </c>
      <c r="AM6" s="2">
        <f>All_India_Index_Upto_April23__1[[#This Row],[Education]]/All_India_Index_Upto_April23__1[[#This Row],[TOTAL BROADER CATEGORIES]]</f>
        <v>0.10081665666501421</v>
      </c>
      <c r="AN6" s="2">
        <f>All_India_Index_Upto_April23__1[[#This Row],[Recreation and amusement]]/All_India_Index_Upto_April23__1[[#This Row],[TOTAL BROADER CATEGORIES]]</f>
        <v>9.7332468976479708E-2</v>
      </c>
      <c r="AO6" s="2">
        <f>All_India_Index_Upto_April23__1[[#This Row],[Transport and communication]]/All_India_Index_Upto_April23__1[[#This Row],[TOTAL BROADER CATEGORIES]]</f>
        <v>9.5196999102861807E-2</v>
      </c>
      <c r="AP6" s="2">
        <f>All_India_Index_Upto_April23__1[[#This Row],[Health]]/All_India_Index_Upto_April23__1[[#This Row],[TOTAL BROADER CATEGORIES]]</f>
        <v>0.10519998956349308</v>
      </c>
      <c r="AQ6" s="2">
        <f>All_India_Index_Upto_April23__1[[#This Row],[Fuel and light]]/All_India_Index_Upto_April23__1[[#This Row],[TOTAL BROADER CATEGORIES]]</f>
        <v>0.10199678475306621</v>
      </c>
      <c r="AR6">
        <f>MONTH(1 &amp; All_India_Index_Upto_April23__1[[#This Row],[Month]])</f>
        <v>4</v>
      </c>
      <c r="AS6" s="19" t="str">
        <f>All_India_Index_Upto_April23__1[[#This Row],[MONTH IN NUM]]&amp;"/"&amp;All_India_Index_Upto_April23__1[[#This Row],[Year]]</f>
        <v>4/2023</v>
      </c>
      <c r="AT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178.15714285714284</v>
      </c>
      <c r="AU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1779.4678571428574</v>
      </c>
    </row>
    <row r="7" spans="1:47" x14ac:dyDescent="0.3">
      <c r="A7" t="s">
        <v>32</v>
      </c>
      <c r="B7">
        <v>2023</v>
      </c>
      <c r="C7" t="s">
        <v>36</v>
      </c>
      <c r="D7">
        <v>174.8</v>
      </c>
      <c r="E7">
        <v>213.7</v>
      </c>
      <c r="F7">
        <v>172.4</v>
      </c>
      <c r="G7">
        <v>178.8</v>
      </c>
      <c r="H7">
        <v>168.7</v>
      </c>
      <c r="I7">
        <v>179.2</v>
      </c>
      <c r="J7">
        <v>179.9</v>
      </c>
      <c r="K7">
        <v>174.7</v>
      </c>
      <c r="L7">
        <v>123.1</v>
      </c>
      <c r="M7">
        <v>207.8</v>
      </c>
      <c r="N7">
        <v>165.5</v>
      </c>
      <c r="O7">
        <v>197</v>
      </c>
      <c r="P7">
        <v>182.1</v>
      </c>
      <c r="Q7">
        <v>203.5</v>
      </c>
      <c r="R7">
        <v>181</v>
      </c>
      <c r="S7">
        <v>167.7</v>
      </c>
      <c r="T7">
        <v>178.9</v>
      </c>
      <c r="U7">
        <v>175.2</v>
      </c>
      <c r="V7">
        <v>182.1</v>
      </c>
      <c r="W7">
        <v>169.6</v>
      </c>
      <c r="X7">
        <v>181.5</v>
      </c>
      <c r="Y7">
        <v>160.1</v>
      </c>
      <c r="Z7">
        <v>168.8</v>
      </c>
      <c r="AA7">
        <v>174.2</v>
      </c>
      <c r="AB7">
        <v>184.4</v>
      </c>
      <c r="AC7">
        <v>170.9</v>
      </c>
      <c r="AD7" s="1">
        <v>177.4</v>
      </c>
      <c r="AE7" s="1">
        <v>180.08571428571432</v>
      </c>
      <c r="AF7" s="1">
        <v>175.86666666666667</v>
      </c>
      <c r="AG7" s="1">
        <v>172.39999999999998</v>
      </c>
      <c r="AH7" s="2">
        <f>All_India_Index_Upto_April23__1[[#This Row],[House]]/All_India_Index_Upto_April23__1[[#This Row],[TOTAL BROADER CATEGORIES]]</f>
        <v>9.8494452817663933E-2</v>
      </c>
      <c r="AI7" s="2">
        <f>All_India_Index_Upto_April23__1[[#This Row],[Cloth]]/All_India_Index_Upto_April23__1[[#This Row],[TOTAL BROADER CATEGORIES]]</f>
        <v>0.10047500639327049</v>
      </c>
      <c r="AJ7" s="2">
        <f>All_India_Index_Upto_April23__1[[#This Row],[Food]]/All_India_Index_Upto_April23__1[[#This Row],[TOTAL BROADER CATEGORIES]]</f>
        <v>0.1028854053877587</v>
      </c>
      <c r="AK7" s="2">
        <f>All_India_Index_Upto_April23__1[[#This Row],[Miscellaneous]]/All_India_Index_Upto_April23__1[[#This Row],[TOTAL BROADER CATEGORIES]]</f>
        <v>9.7637482520526508E-2</v>
      </c>
      <c r="AL7" s="2">
        <f>All_India_Index_Upto_April23__1[[#This Row],[Personal care and effects]]/All_India_Index_Upto_April23__1[[#This Row],[TOTAL BROADER CATEGORIES]]</f>
        <v>0.10535021519476352</v>
      </c>
      <c r="AM7" s="2">
        <f>All_India_Index_Upto_April23__1[[#This Row],[Education]]/All_India_Index_Upto_April23__1[[#This Row],[TOTAL BROADER CATEGORIES]]</f>
        <v>9.9522817174228881E-2</v>
      </c>
      <c r="AN7" s="2">
        <f>All_India_Index_Upto_April23__1[[#This Row],[Recreation and amusement]]/All_India_Index_Upto_April23__1[[#This Row],[TOTAL BROADER CATEGORIES]]</f>
        <v>9.6437724104534078E-2</v>
      </c>
      <c r="AO7" s="2">
        <f>All_India_Index_Upto_April23__1[[#This Row],[Transport and communication]]/All_India_Index_Upto_April23__1[[#This Row],[TOTAL BROADER CATEGORIES]]</f>
        <v>9.1467296381136876E-2</v>
      </c>
      <c r="AP7" s="2">
        <f>All_India_Index_Upto_April23__1[[#This Row],[Health]]/All_India_Index_Upto_April23__1[[#This Row],[TOTAL BROADER CATEGORIES]]</f>
        <v>0.10369340595363112</v>
      </c>
      <c r="AQ7" s="2">
        <f>All_India_Index_Upto_April23__1[[#This Row],[Fuel and light]]/All_India_Index_Upto_April23__1[[#This Row],[TOTAL BROADER CATEGORIES]]</f>
        <v>0.1040361940724861</v>
      </c>
      <c r="AR7">
        <f>MONTH(1 &amp; All_India_Index_Upto_April23__1[[#This Row],[Month]])</f>
        <v>4</v>
      </c>
      <c r="AS7" s="19" t="str">
        <f>All_India_Index_Upto_April23__1[[#This Row],[MONTH IN NUM]]&amp;"/"&amp;All_India_Index_Upto_April23__1[[#This Row],[Year]]</f>
        <v>4/2023</v>
      </c>
      <c r="AT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175.52857142857141</v>
      </c>
      <c r="AU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1750.3523809523806</v>
      </c>
    </row>
    <row r="8" spans="1:47" x14ac:dyDescent="0.3">
      <c r="A8" t="s">
        <v>30</v>
      </c>
      <c r="B8">
        <v>2023</v>
      </c>
      <c r="C8" t="s">
        <v>35</v>
      </c>
      <c r="D8">
        <v>174.3</v>
      </c>
      <c r="E8">
        <v>205.2</v>
      </c>
      <c r="F8">
        <v>173.9</v>
      </c>
      <c r="G8">
        <v>177</v>
      </c>
      <c r="H8">
        <v>183.3</v>
      </c>
      <c r="I8">
        <v>167.2</v>
      </c>
      <c r="J8">
        <v>140.9</v>
      </c>
      <c r="K8">
        <v>170.5</v>
      </c>
      <c r="L8">
        <v>119.1</v>
      </c>
      <c r="M8">
        <v>212.1</v>
      </c>
      <c r="N8">
        <v>177.6</v>
      </c>
      <c r="O8">
        <v>189.9</v>
      </c>
      <c r="P8">
        <v>174.8</v>
      </c>
      <c r="Q8">
        <v>198.4</v>
      </c>
      <c r="R8">
        <v>190</v>
      </c>
      <c r="S8">
        <v>185.35</v>
      </c>
      <c r="T8">
        <v>189.6</v>
      </c>
      <c r="U8">
        <v>140.85</v>
      </c>
      <c r="V8">
        <v>181.4</v>
      </c>
      <c r="W8">
        <v>178.6</v>
      </c>
      <c r="X8">
        <v>186.6</v>
      </c>
      <c r="Y8">
        <v>169</v>
      </c>
      <c r="Z8">
        <v>172.8</v>
      </c>
      <c r="AA8">
        <v>178.5</v>
      </c>
      <c r="AB8">
        <v>180.7</v>
      </c>
      <c r="AC8">
        <v>177.9</v>
      </c>
      <c r="AD8" s="1">
        <v>178</v>
      </c>
      <c r="AE8" s="1">
        <v>176.01428571428573</v>
      </c>
      <c r="AF8" s="1">
        <v>188.86666666666667</v>
      </c>
      <c r="AG8" s="1">
        <v>159.72499999999999</v>
      </c>
      <c r="AH8" s="2">
        <f>All_India_Index_Upto_April23__1[[#This Row],[House]]/All_India_Index_Upto_April23__1[[#This Row],[TOTAL BROADER CATEGORIES]]</f>
        <v>9.0163400120290449E-2</v>
      </c>
      <c r="AI8" s="2">
        <f>All_India_Index_Upto_April23__1[[#This Row],[Cloth]]/All_India_Index_Upto_April23__1[[#This Row],[TOTAL BROADER CATEGORIES]]</f>
        <v>0.10661362238880695</v>
      </c>
      <c r="AJ8" s="2">
        <f>All_India_Index_Upto_April23__1[[#This Row],[Food]]/All_India_Index_Upto_April23__1[[#This Row],[TOTAL BROADER CATEGORIES]]</f>
        <v>9.9358562965999486E-2</v>
      </c>
      <c r="AK8" s="2">
        <f>All_India_Index_Upto_April23__1[[#This Row],[Miscellaneous]]/All_India_Index_Upto_April23__1[[#This Row],[TOTAL BROADER CATEGORIES]]</f>
        <v>0.10042303259602237</v>
      </c>
      <c r="AL8" s="2">
        <f>All_India_Index_Upto_April23__1[[#This Row],[Personal care and effects]]/All_India_Index_Upto_April23__1[[#This Row],[TOTAL BROADER CATEGORIES]]</f>
        <v>0.10200360871332906</v>
      </c>
      <c r="AM8" s="2">
        <f>All_India_Index_Upto_April23__1[[#This Row],[Education]]/All_India_Index_Upto_April23__1[[#This Row],[TOTAL BROADER CATEGORIES]]</f>
        <v>0.10076172747830237</v>
      </c>
      <c r="AN8" s="2">
        <f>All_India_Index_Upto_April23__1[[#This Row],[Recreation and amusement]]/All_India_Index_Upto_April23__1[[#This Row],[TOTAL BROADER CATEGORIES]]</f>
        <v>9.75441260966423E-2</v>
      </c>
      <c r="AO8" s="2">
        <f>All_India_Index_Upto_April23__1[[#This Row],[Transport and communication]]/All_India_Index_Upto_April23__1[[#This Row],[TOTAL BROADER CATEGORIES]]</f>
        <v>9.53990585088689E-2</v>
      </c>
      <c r="AP8" s="2">
        <f>All_India_Index_Upto_April23__1[[#This Row],[Health]]/All_India_Index_Upto_April23__1[[#This Row],[TOTAL BROADER CATEGORIES]]</f>
        <v>0.10533410838908247</v>
      </c>
      <c r="AQ8" s="2">
        <f>All_India_Index_Upto_April23__1[[#This Row],[Fuel and light]]/All_India_Index_Upto_April23__1[[#This Row],[TOTAL BROADER CATEGORIES]]</f>
        <v>0.10239875274265574</v>
      </c>
      <c r="AR8">
        <f>MONTH(1 &amp; All_India_Index_Upto_April23__1[[#This Row],[Month]])</f>
        <v>3</v>
      </c>
      <c r="AS8" s="19" t="str">
        <f>All_India_Index_Upto_April23__1[[#This Row],[MONTH IN NUM]]&amp;"/"&amp;All_India_Index_Upto_April23__1[[#This Row],[Year]]</f>
        <v>3/2023</v>
      </c>
      <c r="AT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177.75714285714284</v>
      </c>
      <c r="AU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1771.5059523809523</v>
      </c>
    </row>
    <row r="9" spans="1:47" x14ac:dyDescent="0.3">
      <c r="A9" t="s">
        <v>32</v>
      </c>
      <c r="B9">
        <v>2023</v>
      </c>
      <c r="C9" t="s">
        <v>35</v>
      </c>
      <c r="D9">
        <v>174.7</v>
      </c>
      <c r="E9">
        <v>212.2</v>
      </c>
      <c r="F9">
        <v>177.2</v>
      </c>
      <c r="G9">
        <v>177.9</v>
      </c>
      <c r="H9">
        <v>172.2</v>
      </c>
      <c r="I9">
        <v>172.1</v>
      </c>
      <c r="J9">
        <v>175.9</v>
      </c>
      <c r="K9">
        <v>172.2</v>
      </c>
      <c r="L9">
        <v>121.9</v>
      </c>
      <c r="M9">
        <v>204.8</v>
      </c>
      <c r="N9">
        <v>164.9</v>
      </c>
      <c r="O9">
        <v>196.6</v>
      </c>
      <c r="P9">
        <v>180.8</v>
      </c>
      <c r="Q9">
        <v>202.7</v>
      </c>
      <c r="R9">
        <v>180.2</v>
      </c>
      <c r="S9">
        <v>167</v>
      </c>
      <c r="T9">
        <v>178.2</v>
      </c>
      <c r="U9">
        <v>173.5</v>
      </c>
      <c r="V9">
        <v>182.6</v>
      </c>
      <c r="W9">
        <v>169.2</v>
      </c>
      <c r="X9">
        <v>180.8</v>
      </c>
      <c r="Y9">
        <v>159.80000000000001</v>
      </c>
      <c r="Z9">
        <v>168.4</v>
      </c>
      <c r="AA9">
        <v>172.5</v>
      </c>
      <c r="AB9">
        <v>181.5</v>
      </c>
      <c r="AC9">
        <v>170</v>
      </c>
      <c r="AD9" s="1">
        <v>176.3</v>
      </c>
      <c r="AE9" s="1">
        <v>179.00714285714199</v>
      </c>
      <c r="AF9" s="1">
        <v>175.13333333333333</v>
      </c>
      <c r="AG9" s="1">
        <v>171.35</v>
      </c>
      <c r="AH9" s="2">
        <f>All_India_Index_Upto_April23__1[[#This Row],[House]]/All_India_Index_Upto_April23__1[[#This Row],[TOTAL BROADER CATEGORIES]]</f>
        <v>9.8415333575837843E-2</v>
      </c>
      <c r="AI9" s="2">
        <f>All_India_Index_Upto_April23__1[[#This Row],[Cloth]]/All_India_Index_Upto_April23__1[[#This Row],[TOTAL BROADER CATEGORIES]]</f>
        <v>0.10058830125619143</v>
      </c>
      <c r="AJ9" s="2">
        <f>All_India_Index_Upto_April23__1[[#This Row],[Food]]/All_India_Index_Upto_April23__1[[#This Row],[TOTAL BROADER CATEGORIES]]</f>
        <v>0.10281323418000168</v>
      </c>
      <c r="AK9" s="2">
        <f>All_India_Index_Upto_April23__1[[#This Row],[Miscellaneous]]/All_India_Index_Upto_April23__1[[#This Row],[TOTAL BROADER CATEGORIES]]</f>
        <v>9.763995744320067E-2</v>
      </c>
      <c r="AL9" s="2">
        <f>All_India_Index_Upto_April23__1[[#This Row],[Personal care and effects]]/All_India_Index_Upto_April23__1[[#This Row],[TOTAL BROADER CATEGORIES]]</f>
        <v>0.10424501338788777</v>
      </c>
      <c r="AM9" s="2">
        <f>All_India_Index_Upto_April23__1[[#This Row],[Education]]/All_India_Index_Upto_April23__1[[#This Row],[TOTAL BROADER CATEGORIES]]</f>
        <v>9.9075839170306559E-2</v>
      </c>
      <c r="AN9" s="2">
        <f>All_India_Index_Upto_April23__1[[#This Row],[Recreation and amusement]]/All_India_Index_Upto_April23__1[[#This Row],[TOTAL BROADER CATEGORIES]]</f>
        <v>9.6720993137852901E-2</v>
      </c>
      <c r="AO9" s="2">
        <f>All_India_Index_Upto_April23__1[[#This Row],[Transport and communication]]/All_India_Index_Upto_April23__1[[#This Row],[TOTAL BROADER CATEGORIES]]</f>
        <v>9.1781559996608642E-2</v>
      </c>
      <c r="AP9" s="2">
        <f>All_India_Index_Upto_April23__1[[#This Row],[Health]]/All_India_Index_Upto_April23__1[[#This Row],[TOTAL BROADER CATEGORIES]]</f>
        <v>0.10384296650429813</v>
      </c>
      <c r="AQ9" s="2">
        <f>All_India_Index_Upto_April23__1[[#This Row],[Fuel and light]]/All_India_Index_Upto_April23__1[[#This Row],[TOTAL BROADER CATEGORIES]]</f>
        <v>0.10487680134781437</v>
      </c>
      <c r="AR9">
        <f>MONTH(1 &amp; All_India_Index_Upto_April23__1[[#This Row],[Month]])</f>
        <v>3</v>
      </c>
      <c r="AS9" s="19" t="str">
        <f>All_India_Index_Upto_April23__1[[#This Row],[MONTH IN NUM]]&amp;"/"&amp;All_India_Index_Upto_April23__1[[#This Row],[Year]]</f>
        <v>3/2023</v>
      </c>
      <c r="AT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174.74285714285716</v>
      </c>
      <c r="AU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1741.0904761904753</v>
      </c>
    </row>
    <row r="10" spans="1:47" x14ac:dyDescent="0.3">
      <c r="A10" t="s">
        <v>33</v>
      </c>
      <c r="B10">
        <v>2022</v>
      </c>
      <c r="C10" t="s">
        <v>39</v>
      </c>
      <c r="D10">
        <v>156.5</v>
      </c>
      <c r="E10">
        <v>213</v>
      </c>
      <c r="F10">
        <v>175.2</v>
      </c>
      <c r="G10">
        <v>166.6</v>
      </c>
      <c r="H10">
        <v>189.67500000000001</v>
      </c>
      <c r="I10">
        <v>174.2</v>
      </c>
      <c r="J10">
        <v>182.1</v>
      </c>
      <c r="K10">
        <v>164.3</v>
      </c>
      <c r="L10">
        <v>120</v>
      </c>
      <c r="M10">
        <v>190</v>
      </c>
      <c r="N10">
        <v>168.4</v>
      </c>
      <c r="O10">
        <v>185.2</v>
      </c>
      <c r="P10">
        <v>175</v>
      </c>
      <c r="Q10">
        <v>194.6</v>
      </c>
      <c r="R10">
        <v>178.3</v>
      </c>
      <c r="S10">
        <v>171.3</v>
      </c>
      <c r="T10">
        <v>177.3</v>
      </c>
      <c r="U10">
        <v>167.8</v>
      </c>
      <c r="V10">
        <v>179.6</v>
      </c>
      <c r="W10">
        <v>167.4</v>
      </c>
      <c r="X10">
        <v>176.1</v>
      </c>
      <c r="Y10">
        <v>161.6</v>
      </c>
      <c r="Z10">
        <v>166.3</v>
      </c>
      <c r="AA10">
        <v>171.4</v>
      </c>
      <c r="AB10">
        <v>169.7</v>
      </c>
      <c r="AC10">
        <v>168.4</v>
      </c>
      <c r="AD10" s="1">
        <v>173.4</v>
      </c>
      <c r="AE10" s="1">
        <v>175.77857142857144</v>
      </c>
      <c r="AF10" s="1">
        <v>175.63333333333335</v>
      </c>
      <c r="AG10" s="1">
        <v>167.60000000000002</v>
      </c>
      <c r="AH10" s="2">
        <f>All_India_Index_Upto_April23__1[[#This Row],[House]]/All_India_Index_Upto_April23__1[[#This Row],[TOTAL BROADER CATEGORIES]]</f>
        <v>9.7890797636447355E-2</v>
      </c>
      <c r="AI10" s="2">
        <f>All_India_Index_Upto_April23__1[[#This Row],[Cloth]]/All_India_Index_Upto_April23__1[[#This Row],[TOTAL BROADER CATEGORIES]]</f>
        <v>0.10258285854145607</v>
      </c>
      <c r="AJ10" s="2">
        <f>All_India_Index_Upto_April23__1[[#This Row],[Food]]/All_India_Index_Upto_April23__1[[#This Row],[TOTAL BROADER CATEGORIES]]</f>
        <v>0.10266768833256618</v>
      </c>
      <c r="AK10" s="2">
        <f>All_India_Index_Upto_April23__1[[#This Row],[Miscellaneous]]/All_India_Index_Upto_April23__1[[#This Row],[TOTAL BROADER CATEGORIES]]</f>
        <v>9.8358056813709627E-2</v>
      </c>
      <c r="AL10" s="2">
        <f>All_India_Index_Upto_April23__1[[#This Row],[Personal care and effects]]/All_India_Index_Upto_April23__1[[#This Row],[TOTAL BROADER CATEGORIES]]</f>
        <v>9.9117352976760817E-2</v>
      </c>
      <c r="AM10" s="2">
        <f>All_India_Index_Upto_April23__1[[#This Row],[Education]]/All_India_Index_Upto_April23__1[[#This Row],[TOTAL BROADER CATEGORIES]]</f>
        <v>0.10011027872844316</v>
      </c>
      <c r="AN10" s="2">
        <f>All_India_Index_Upto_April23__1[[#This Row],[Recreation and amusement]]/All_India_Index_Upto_April23__1[[#This Row],[TOTAL BROADER CATEGORIES]]</f>
        <v>9.7131501473396151E-2</v>
      </c>
      <c r="AO10" s="2">
        <f>All_India_Index_Upto_April23__1[[#This Row],[Transport and communication]]/All_India_Index_Upto_April23__1[[#This Row],[TOTAL BROADER CATEGORIES]]</f>
        <v>9.4386353806980253E-2</v>
      </c>
      <c r="AP10" s="2">
        <f>All_India_Index_Upto_April23__1[[#This Row],[Health]]/All_India_Index_Upto_April23__1[[#This Row],[TOTAL BROADER CATEGORIES]]</f>
        <v>0.10285542639485905</v>
      </c>
      <c r="AQ10" s="2">
        <f>All_India_Index_Upto_April23__1[[#This Row],[Fuel and light]]/All_India_Index_Upto_April23__1[[#This Row],[TOTAL BROADER CATEGORIES]]</f>
        <v>0.10489968529538152</v>
      </c>
      <c r="AR10">
        <f>MONTH(1 &amp; All_India_Index_Upto_April23__1[[#This Row],[Month]])</f>
        <v>7</v>
      </c>
      <c r="AS10" s="19" t="str">
        <f>All_India_Index_Upto_April23__1[[#This Row],[MONTH IN NUM]]&amp;"/"&amp;All_India_Index_Upto_April23__1[[#This Row],[Year]]</f>
        <v>7/2022</v>
      </c>
      <c r="AT1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173.29999999999998</v>
      </c>
      <c r="AU1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1712.1119047619045</v>
      </c>
    </row>
    <row r="11" spans="1:47" x14ac:dyDescent="0.3">
      <c r="A11" t="s">
        <v>32</v>
      </c>
      <c r="B11">
        <v>2023</v>
      </c>
      <c r="C11" t="s">
        <v>34</v>
      </c>
      <c r="D11">
        <v>174.7</v>
      </c>
      <c r="E11">
        <v>212.2</v>
      </c>
      <c r="F11">
        <v>177.2</v>
      </c>
      <c r="G11">
        <v>177.9</v>
      </c>
      <c r="H11">
        <v>172.2</v>
      </c>
      <c r="I11">
        <v>172.1</v>
      </c>
      <c r="J11">
        <v>175.8</v>
      </c>
      <c r="K11">
        <v>172.2</v>
      </c>
      <c r="L11">
        <v>121.9</v>
      </c>
      <c r="M11">
        <v>204.8</v>
      </c>
      <c r="N11">
        <v>164.9</v>
      </c>
      <c r="O11">
        <v>196.6</v>
      </c>
      <c r="P11">
        <v>180.7</v>
      </c>
      <c r="Q11">
        <v>202.7</v>
      </c>
      <c r="R11">
        <v>180.3</v>
      </c>
      <c r="S11">
        <v>167</v>
      </c>
      <c r="T11">
        <v>178.2</v>
      </c>
      <c r="U11">
        <v>173.5</v>
      </c>
      <c r="V11">
        <v>182.8</v>
      </c>
      <c r="W11">
        <v>169.2</v>
      </c>
      <c r="X11">
        <v>180.8</v>
      </c>
      <c r="Y11">
        <v>159.80000000000001</v>
      </c>
      <c r="Z11">
        <v>168.4</v>
      </c>
      <c r="AA11">
        <v>172.5</v>
      </c>
      <c r="AB11">
        <v>181.4</v>
      </c>
      <c r="AC11">
        <v>170</v>
      </c>
      <c r="AD11" s="1">
        <v>176.3</v>
      </c>
      <c r="AE11" s="1">
        <v>178.9928571428571</v>
      </c>
      <c r="AF11" s="1">
        <v>175.16666666666666</v>
      </c>
      <c r="AG11" s="1">
        <v>171.35</v>
      </c>
      <c r="AH11" s="2">
        <f>All_India_Index_Upto_April23__1[[#This Row],[House]]/All_India_Index_Upto_April23__1[[#This Row],[TOTAL BROADER CATEGORIES]]</f>
        <v>9.8408604855956733E-2</v>
      </c>
      <c r="AI11" s="2">
        <f>All_India_Index_Upto_April23__1[[#This Row],[Cloth]]/All_India_Index_Upto_April23__1[[#This Row],[TOTAL BROADER CATEGORIES]]</f>
        <v>0.10060056774984001</v>
      </c>
      <c r="AJ11" s="2">
        <f>All_India_Index_Upto_April23__1[[#This Row],[Food]]/All_India_Index_Upto_April23__1[[#This Row],[TOTAL BROADER CATEGORIES]]</f>
        <v>0.10279800029536117</v>
      </c>
      <c r="AK11" s="2">
        <f>All_India_Index_Upto_April23__1[[#This Row],[Miscellaneous]]/All_India_Index_Upto_April23__1[[#This Row],[TOTAL BROADER CATEGORIES]]</f>
        <v>9.7633281736286215E-2</v>
      </c>
      <c r="AL11" s="2">
        <f>All_India_Index_Upto_April23__1[[#This Row],[Personal care and effects]]/All_India_Index_Upto_April23__1[[#This Row],[TOTAL BROADER CATEGORIES]]</f>
        <v>0.10418045474683718</v>
      </c>
      <c r="AM11" s="2">
        <f>All_India_Index_Upto_April23__1[[#This Row],[Education]]/All_India_Index_Upto_April23__1[[#This Row],[TOTAL BROADER CATEGORIES]]</f>
        <v>9.9069065291231606E-2</v>
      </c>
      <c r="AN11" s="2">
        <f>All_India_Index_Upto_April23__1[[#This Row],[Recreation and amusement]]/All_India_Index_Upto_April23__1[[#This Row],[TOTAL BROADER CATEGORIES]]</f>
        <v>9.6714380261121183E-2</v>
      </c>
      <c r="AO11" s="2">
        <f>All_India_Index_Upto_April23__1[[#This Row],[Transport and communication]]/All_India_Index_Upto_April23__1[[#This Row],[TOTAL BROADER CATEGORIES]]</f>
        <v>9.1775284832109061E-2</v>
      </c>
      <c r="AP11" s="2">
        <f>All_India_Index_Upto_April23__1[[#This Row],[Health]]/All_India_Index_Upto_April23__1[[#This Row],[TOTAL BROADER CATEGORIES]]</f>
        <v>0.10383586669365029</v>
      </c>
      <c r="AQ11" s="2">
        <f>All_India_Index_Upto_April23__1[[#This Row],[Fuel and light]]/All_India_Index_Upto_April23__1[[#This Row],[TOTAL BROADER CATEGORIES]]</f>
        <v>0.1049844935376066</v>
      </c>
      <c r="AR11">
        <f>MONTH(1 &amp; All_India_Index_Upto_April23__1[[#This Row],[Month]])</f>
        <v>2</v>
      </c>
      <c r="AS11" s="19" t="str">
        <f>All_India_Index_Upto_April23__1[[#This Row],[MONTH IN NUM]]&amp;"/"&amp;All_India_Index_Upto_April23__1[[#This Row],[Year]]</f>
        <v>2/2023</v>
      </c>
      <c r="AT1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174.78571428571428</v>
      </c>
      <c r="AU1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1741.2095238095237</v>
      </c>
    </row>
    <row r="12" spans="1:47" x14ac:dyDescent="0.3">
      <c r="A12" t="s">
        <v>33</v>
      </c>
      <c r="B12">
        <v>2022</v>
      </c>
      <c r="C12" t="s">
        <v>40</v>
      </c>
      <c r="D12">
        <v>160.30000000000001</v>
      </c>
      <c r="E12">
        <v>206.5</v>
      </c>
      <c r="F12">
        <v>169.2</v>
      </c>
      <c r="G12">
        <v>168.1</v>
      </c>
      <c r="H12">
        <v>189.67500000000001</v>
      </c>
      <c r="I12">
        <v>172.9</v>
      </c>
      <c r="J12">
        <v>186.7</v>
      </c>
      <c r="K12">
        <v>167.2</v>
      </c>
      <c r="L12">
        <v>120.9</v>
      </c>
      <c r="M12">
        <v>193.6</v>
      </c>
      <c r="N12">
        <v>168.8</v>
      </c>
      <c r="O12">
        <v>186.3</v>
      </c>
      <c r="P12">
        <v>176.3</v>
      </c>
      <c r="Q12">
        <v>195</v>
      </c>
      <c r="R12">
        <v>179.5</v>
      </c>
      <c r="S12">
        <v>172.7</v>
      </c>
      <c r="T12">
        <v>178.5</v>
      </c>
      <c r="U12">
        <v>169</v>
      </c>
      <c r="V12">
        <v>178.8</v>
      </c>
      <c r="W12">
        <v>168.5</v>
      </c>
      <c r="X12">
        <v>176.8</v>
      </c>
      <c r="Y12">
        <v>161.9</v>
      </c>
      <c r="Z12">
        <v>166.9</v>
      </c>
      <c r="AA12">
        <v>172.3</v>
      </c>
      <c r="AB12">
        <v>171.2</v>
      </c>
      <c r="AC12">
        <v>169.1</v>
      </c>
      <c r="AD12" s="1">
        <v>174.3</v>
      </c>
      <c r="AE12" s="1">
        <v>176.01428571428573</v>
      </c>
      <c r="AF12" s="1">
        <v>176.9</v>
      </c>
      <c r="AG12" s="1">
        <v>168.75</v>
      </c>
      <c r="AH12" s="2">
        <f>All_India_Index_Upto_April23__1[[#This Row],[House]]/All_India_Index_Upto_April23__1[[#This Row],[TOTAL BROADER CATEGORIES]]</f>
        <v>9.8186714766035077E-2</v>
      </c>
      <c r="AI12" s="2">
        <f>All_India_Index_Upto_April23__1[[#This Row],[Cloth]]/All_India_Index_Upto_April23__1[[#This Row],[TOTAL BROADER CATEGORIES]]</f>
        <v>0.10292876943473545</v>
      </c>
      <c r="AJ12" s="2">
        <f>All_India_Index_Upto_April23__1[[#This Row],[Food]]/All_India_Index_Upto_April23__1[[#This Row],[TOTAL BROADER CATEGORIES]]</f>
        <v>0.10241341905882061</v>
      </c>
      <c r="AK12" s="2">
        <f>All_India_Index_Upto_April23__1[[#This Row],[Miscellaneous]]/All_India_Index_Upto_April23__1[[#This Row],[TOTAL BROADER CATEGORIES]]</f>
        <v>9.8390361285549816E-2</v>
      </c>
      <c r="AL12" s="2">
        <f>All_India_Index_Upto_April23__1[[#This Row],[Personal care and effects]]/All_India_Index_Upto_April23__1[[#This Row],[TOTAL BROADER CATEGORIES]]</f>
        <v>9.9612240402638247E-2</v>
      </c>
      <c r="AM12" s="2">
        <f>All_India_Index_Upto_April23__1[[#This Row],[Education]]/All_India_Index_Upto_April23__1[[#This Row],[TOTAL BROADER CATEGORIES]]</f>
        <v>0.10025227232111315</v>
      </c>
      <c r="AN12" s="2">
        <f>All_India_Index_Upto_April23__1[[#This Row],[Recreation and amusement]]/All_India_Index_Upto_April23__1[[#This Row],[TOTAL BROADER CATEGORIES]]</f>
        <v>9.711029744860003E-2</v>
      </c>
      <c r="AO12" s="2">
        <f>All_India_Index_Upto_April23__1[[#This Row],[Transport and communication]]/All_India_Index_Upto_April23__1[[#This Row],[TOTAL BROADER CATEGORIES]]</f>
        <v>9.4201061455532323E-2</v>
      </c>
      <c r="AP12" s="2">
        <f>All_India_Index_Upto_April23__1[[#This Row],[Health]]/All_India_Index_Upto_April23__1[[#This Row],[TOTAL BROADER CATEGORIES]]</f>
        <v>0.10287058471487409</v>
      </c>
      <c r="AQ12" s="2">
        <f>All_India_Index_Upto_April23__1[[#This Row],[Fuel and light]]/All_India_Index_Upto_April23__1[[#This Row],[TOTAL BROADER CATEGORIES]]</f>
        <v>0.10403427911210117</v>
      </c>
      <c r="AR12">
        <f>MONTH(1 &amp; All_India_Index_Upto_April23__1[[#This Row],[Month]])</f>
        <v>8</v>
      </c>
      <c r="AS12" s="19" t="str">
        <f>All_India_Index_Upto_April23__1[[#This Row],[MONTH IN NUM]]&amp;"/"&amp;All_India_Index_Upto_April23__1[[#This Row],[Year]]</f>
        <v>8/2022</v>
      </c>
      <c r="AT1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174.18571428571428</v>
      </c>
      <c r="AU1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1718.6642857142858</v>
      </c>
    </row>
    <row r="13" spans="1:47" x14ac:dyDescent="0.3">
      <c r="A13" t="s">
        <v>30</v>
      </c>
      <c r="B13">
        <v>2023</v>
      </c>
      <c r="C13" t="s">
        <v>34</v>
      </c>
      <c r="D13">
        <v>174.2</v>
      </c>
      <c r="E13">
        <v>205.2</v>
      </c>
      <c r="F13">
        <v>173.9</v>
      </c>
      <c r="G13">
        <v>177</v>
      </c>
      <c r="H13">
        <v>183.4</v>
      </c>
      <c r="I13">
        <v>167.2</v>
      </c>
      <c r="J13">
        <v>140.9</v>
      </c>
      <c r="K13">
        <v>170.4</v>
      </c>
      <c r="L13">
        <v>119.1</v>
      </c>
      <c r="M13">
        <v>212.1</v>
      </c>
      <c r="N13">
        <v>177.6</v>
      </c>
      <c r="O13">
        <v>189.9</v>
      </c>
      <c r="P13">
        <v>174.8</v>
      </c>
      <c r="Q13">
        <v>198.3</v>
      </c>
      <c r="R13">
        <v>190</v>
      </c>
      <c r="S13">
        <v>185.35</v>
      </c>
      <c r="T13">
        <v>189.6</v>
      </c>
      <c r="U13">
        <v>140.85</v>
      </c>
      <c r="V13">
        <v>181.6</v>
      </c>
      <c r="W13">
        <v>178.6</v>
      </c>
      <c r="X13">
        <v>186.6</v>
      </c>
      <c r="Y13">
        <v>169</v>
      </c>
      <c r="Z13">
        <v>172.8</v>
      </c>
      <c r="AA13">
        <v>178.5</v>
      </c>
      <c r="AB13">
        <v>180.7</v>
      </c>
      <c r="AC13">
        <v>177.9</v>
      </c>
      <c r="AD13" s="1">
        <v>178</v>
      </c>
      <c r="AE13" s="1">
        <v>176</v>
      </c>
      <c r="AF13" s="1">
        <v>188.86666666666667</v>
      </c>
      <c r="AG13" s="1">
        <v>159.72499999999999</v>
      </c>
      <c r="AH13" s="2">
        <f>All_India_Index_Upto_April23__1[[#This Row],[House]]/All_India_Index_Upto_April23__1[[#This Row],[TOTAL BROADER CATEGORIES]]</f>
        <v>9.0153948909469775E-2</v>
      </c>
      <c r="AI13" s="2">
        <f>All_India_Index_Upto_April23__1[[#This Row],[Cloth]]/All_India_Index_Upto_April23__1[[#This Row],[TOTAL BROADER CATEGORIES]]</f>
        <v>0.10660244681401487</v>
      </c>
      <c r="AJ13" s="2">
        <f>All_India_Index_Upto_April23__1[[#This Row],[Food]]/All_India_Index_Upto_April23__1[[#This Row],[TOTAL BROADER CATEGORIES]]</f>
        <v>9.9340084570772771E-2</v>
      </c>
      <c r="AK13" s="2">
        <f>All_India_Index_Upto_April23__1[[#This Row],[Miscellaneous]]/All_India_Index_Upto_April23__1[[#This Row],[TOTAL BROADER CATEGORIES]]</f>
        <v>0.10041250593829816</v>
      </c>
      <c r="AL13" s="2">
        <f>All_India_Index_Upto_April23__1[[#This Row],[Personal care and effects]]/All_India_Index_Upto_April23__1[[#This Row],[TOTAL BROADER CATEGORIES]]</f>
        <v>0.10199291637465135</v>
      </c>
      <c r="AM13" s="2">
        <f>All_India_Index_Upto_April23__1[[#This Row],[Education]]/All_India_Index_Upto_April23__1[[#This Row],[TOTAL BROADER CATEGORIES]]</f>
        <v>0.1007511653175167</v>
      </c>
      <c r="AN13" s="2">
        <f>All_India_Index_Upto_April23__1[[#This Row],[Recreation and amusement]]/All_India_Index_Upto_April23__1[[#This Row],[TOTAL BROADER CATEGORIES]]</f>
        <v>9.7533901214940544E-2</v>
      </c>
      <c r="AO13" s="2">
        <f>All_India_Index_Upto_April23__1[[#This Row],[Transport and communication]]/All_India_Index_Upto_April23__1[[#This Row],[TOTAL BROADER CATEGORIES]]</f>
        <v>9.5389058479889766E-2</v>
      </c>
      <c r="AP13" s="2">
        <f>All_India_Index_Upto_April23__1[[#This Row],[Health]]/All_India_Index_Upto_April23__1[[#This Row],[TOTAL BROADER CATEGORIES]]</f>
        <v>0.10532306693696704</v>
      </c>
      <c r="AQ13" s="2">
        <f>All_India_Index_Upto_April23__1[[#This Row],[Fuel and light]]/All_India_Index_Upto_April23__1[[#This Row],[TOTAL BROADER CATEGORIES]]</f>
        <v>0.10250090544347917</v>
      </c>
      <c r="AR13">
        <f>MONTH(1 &amp; All_India_Index_Upto_April23__1[[#This Row],[Month]])</f>
        <v>2</v>
      </c>
      <c r="AS13" s="19" t="str">
        <f>All_India_Index_Upto_April23__1[[#This Row],[MONTH IN NUM]]&amp;"/"&amp;All_India_Index_Upto_April23__1[[#This Row],[Year]]</f>
        <v>2/2023</v>
      </c>
      <c r="AT1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177.78571428571428</v>
      </c>
      <c r="AU1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1771.6916666666664</v>
      </c>
    </row>
    <row r="14" spans="1:47" x14ac:dyDescent="0.3">
      <c r="A14" t="s">
        <v>30</v>
      </c>
      <c r="B14">
        <v>2023</v>
      </c>
      <c r="C14" t="s">
        <v>31</v>
      </c>
      <c r="D14">
        <v>174</v>
      </c>
      <c r="E14">
        <v>208.3</v>
      </c>
      <c r="F14">
        <v>192.9</v>
      </c>
      <c r="G14">
        <v>174.3</v>
      </c>
      <c r="H14">
        <v>189.67500000000001</v>
      </c>
      <c r="I14">
        <v>156.30000000000001</v>
      </c>
      <c r="J14">
        <v>142.9</v>
      </c>
      <c r="K14">
        <v>170.7</v>
      </c>
      <c r="L14">
        <v>120.3</v>
      </c>
      <c r="M14">
        <v>210.5</v>
      </c>
      <c r="N14">
        <v>176.9</v>
      </c>
      <c r="O14">
        <v>188.5</v>
      </c>
      <c r="P14">
        <v>175</v>
      </c>
      <c r="Q14">
        <v>196.9</v>
      </c>
      <c r="R14">
        <v>189</v>
      </c>
      <c r="S14">
        <v>185.35</v>
      </c>
      <c r="T14">
        <v>188.6</v>
      </c>
      <c r="U14">
        <v>140.85</v>
      </c>
      <c r="V14">
        <v>183.2</v>
      </c>
      <c r="W14">
        <v>177.2</v>
      </c>
      <c r="X14">
        <v>184.7</v>
      </c>
      <c r="Y14">
        <v>168.2</v>
      </c>
      <c r="Z14">
        <v>171.8</v>
      </c>
      <c r="AA14">
        <v>177.8</v>
      </c>
      <c r="AB14">
        <v>178.4</v>
      </c>
      <c r="AC14">
        <v>176.5</v>
      </c>
      <c r="AD14" s="1">
        <v>177.8</v>
      </c>
      <c r="AE14" s="1">
        <v>177.15000000000003</v>
      </c>
      <c r="AF14" s="1">
        <v>187.96666666666667</v>
      </c>
      <c r="AG14" s="1">
        <v>159.02499999999998</v>
      </c>
      <c r="AH14" s="2">
        <f>All_India_Index_Upto_April23__1[[#This Row],[House]]/All_India_Index_Upto_April23__1[[#This Row],[TOTAL BROADER CATEGORIES]]</f>
        <v>9.0112339388673482E-2</v>
      </c>
      <c r="AI14" s="2">
        <f>All_India_Index_Upto_April23__1[[#This Row],[Cloth]]/All_India_Index_Upto_April23__1[[#This Row],[TOTAL BROADER CATEGORIES]]</f>
        <v>0.10651228461200647</v>
      </c>
      <c r="AJ14" s="2">
        <f>All_India_Index_Upto_April23__1[[#This Row],[Food]]/All_India_Index_Upto_April23__1[[#This Row],[TOTAL BROADER CATEGORIES]]</f>
        <v>0.10038296445655409</v>
      </c>
      <c r="AK14" s="2">
        <f>All_India_Index_Upto_April23__1[[#This Row],[Miscellaneous]]/All_India_Index_Upto_April23__1[[#This Row],[TOTAL BROADER CATEGORIES]]</f>
        <v>0.10001463859205076</v>
      </c>
      <c r="AL14" s="2">
        <f>All_India_Index_Upto_April23__1[[#This Row],[Personal care and effects]]/All_India_Index_Upto_April23__1[[#This Row],[TOTAL BROADER CATEGORIES]]</f>
        <v>0.10109128342675273</v>
      </c>
      <c r="AM14" s="2">
        <f>All_India_Index_Upto_April23__1[[#This Row],[Education]]/All_India_Index_Upto_April23__1[[#This Row],[TOTAL BROADER CATEGORIES]]</f>
        <v>0.10075129032105738</v>
      </c>
      <c r="AN14" s="2">
        <f>All_India_Index_Upto_April23__1[[#This Row],[Recreation and amusement]]/All_India_Index_Upto_April23__1[[#This Row],[TOTAL BROADER CATEGORIES]]</f>
        <v>9.7351359264103807E-2</v>
      </c>
      <c r="AO14" s="2">
        <f>All_India_Index_Upto_April23__1[[#This Row],[Transport and communication]]/All_India_Index_Upto_April23__1[[#This Row],[TOTAL BROADER CATEGORIES]]</f>
        <v>9.5311400629931653E-2</v>
      </c>
      <c r="AP14" s="2">
        <f>All_India_Index_Upto_April23__1[[#This Row],[Health]]/All_India_Index_Upto_April23__1[[#This Row],[TOTAL BROADER CATEGORIES]]</f>
        <v>0.10466121103655397</v>
      </c>
      <c r="AQ14" s="2">
        <f>All_India_Index_Upto_April23__1[[#This Row],[Fuel and light]]/All_India_Index_Upto_April23__1[[#This Row],[TOTAL BROADER CATEGORIES]]</f>
        <v>0.10381122827231558</v>
      </c>
      <c r="AR14">
        <f>MONTH(1 &amp; All_India_Index_Upto_April23__1[[#This Row],[Month]])</f>
        <v>1</v>
      </c>
      <c r="AS14" s="19" t="str">
        <f>All_India_Index_Upto_April23__1[[#This Row],[MONTH IN NUM]]&amp;"/"&amp;All_India_Index_Upto_April23__1[[#This Row],[Year]]</f>
        <v>1/2023</v>
      </c>
      <c r="AT1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177.42857142857142</v>
      </c>
      <c r="AU1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1764.7416666666668</v>
      </c>
    </row>
    <row r="15" spans="1:47" x14ac:dyDescent="0.3">
      <c r="A15" t="s">
        <v>32</v>
      </c>
      <c r="B15">
        <v>2023</v>
      </c>
      <c r="C15" t="s">
        <v>31</v>
      </c>
      <c r="D15">
        <v>173.3</v>
      </c>
      <c r="E15">
        <v>215.2</v>
      </c>
      <c r="F15">
        <v>197</v>
      </c>
      <c r="G15">
        <v>175.2</v>
      </c>
      <c r="H15">
        <v>178</v>
      </c>
      <c r="I15">
        <v>160.5</v>
      </c>
      <c r="J15">
        <v>175.3</v>
      </c>
      <c r="K15">
        <v>171.2</v>
      </c>
      <c r="L15">
        <v>122.7</v>
      </c>
      <c r="M15">
        <v>204.3</v>
      </c>
      <c r="N15">
        <v>163.69999999999999</v>
      </c>
      <c r="O15">
        <v>194.3</v>
      </c>
      <c r="P15">
        <v>179.5</v>
      </c>
      <c r="Q15">
        <v>201.6</v>
      </c>
      <c r="R15">
        <v>178.7</v>
      </c>
      <c r="S15">
        <v>165.3</v>
      </c>
      <c r="T15">
        <v>176.6</v>
      </c>
      <c r="U15">
        <v>172.1</v>
      </c>
      <c r="V15">
        <v>180.1</v>
      </c>
      <c r="W15">
        <v>168</v>
      </c>
      <c r="X15">
        <v>178.5</v>
      </c>
      <c r="Y15">
        <v>159.5</v>
      </c>
      <c r="Z15">
        <v>167.8</v>
      </c>
      <c r="AA15">
        <v>171.8</v>
      </c>
      <c r="AB15">
        <v>178.8</v>
      </c>
      <c r="AC15">
        <v>168.9</v>
      </c>
      <c r="AD15" s="1">
        <v>174.9</v>
      </c>
      <c r="AE15" s="1">
        <v>179.41428571428574</v>
      </c>
      <c r="AF15" s="1">
        <v>173.53333333333333</v>
      </c>
      <c r="AG15" s="1">
        <v>170.05</v>
      </c>
      <c r="AH15" s="2">
        <f>All_India_Index_Upto_April23__1[[#This Row],[House]]/All_India_Index_Upto_April23__1[[#This Row],[TOTAL BROADER CATEGORIES]]</f>
        <v>9.838592585755869E-2</v>
      </c>
      <c r="AI15" s="2">
        <f>All_India_Index_Upto_April23__1[[#This Row],[Cloth]]/All_India_Index_Upto_April23__1[[#This Row],[TOTAL BROADER CATEGORIES]]</f>
        <v>0.10040128001851427</v>
      </c>
      <c r="AJ15" s="2">
        <f>All_India_Index_Upto_April23__1[[#This Row],[Food]]/All_India_Index_Upto_April23__1[[#This Row],[TOTAL BROADER CATEGORIES]]</f>
        <v>0.10380382600454317</v>
      </c>
      <c r="AK15" s="2">
        <f>All_India_Index_Upto_April23__1[[#This Row],[Miscellaneous]]/All_India_Index_Upto_April23__1[[#This Row],[TOTAL BROADER CATEGORIES]]</f>
        <v>9.7720569699157087E-2</v>
      </c>
      <c r="AL15" s="2">
        <f>All_India_Index_Upto_April23__1[[#This Row],[Personal care and effects]]/All_India_Index_Upto_April23__1[[#This Row],[TOTAL BROADER CATEGORIES]]</f>
        <v>0.1034484183671361</v>
      </c>
      <c r="AM15" s="2">
        <f>All_India_Index_Upto_April23__1[[#This Row],[Education]]/All_India_Index_Upto_April23__1[[#This Row],[TOTAL BROADER CATEGORIES]]</f>
        <v>9.9398424359474172E-2</v>
      </c>
      <c r="AN15" s="2">
        <f>All_India_Index_Upto_April23__1[[#This Row],[Recreation and amusement]]/All_India_Index_Upto_April23__1[[#This Row],[TOTAL BROADER CATEGORIES]]</f>
        <v>9.7084142069381638E-2</v>
      </c>
      <c r="AO15" s="2">
        <f>All_India_Index_Upto_April23__1[[#This Row],[Transport and communication]]/All_India_Index_Upto_April23__1[[#This Row],[TOTAL BROADER CATEGORIES]]</f>
        <v>9.2282006317439644E-2</v>
      </c>
      <c r="AP15" s="2">
        <f>All_India_Index_Upto_April23__1[[#This Row],[Health]]/All_India_Index_Upto_April23__1[[#This Row],[TOTAL BROADER CATEGORIES]]</f>
        <v>0.10327484719537916</v>
      </c>
      <c r="AQ15" s="2">
        <f>All_India_Index_Upto_April23__1[[#This Row],[Fuel and light]]/All_India_Index_Upto_April23__1[[#This Row],[TOTAL BROADER CATEGORIES]]</f>
        <v>0.10420056011141617</v>
      </c>
      <c r="AR15">
        <f>MONTH(1 &amp; All_India_Index_Upto_April23__1[[#This Row],[Month]])</f>
        <v>1</v>
      </c>
      <c r="AS15" s="19" t="str">
        <f>All_India_Index_Upto_April23__1[[#This Row],[MONTH IN NUM]]&amp;"/"&amp;All_India_Index_Upto_April23__1[[#This Row],[Year]]</f>
        <v>1/2023</v>
      </c>
      <c r="AT1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173.22857142857146</v>
      </c>
      <c r="AU1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1728.3976190476189</v>
      </c>
    </row>
    <row r="16" spans="1:47" x14ac:dyDescent="0.3">
      <c r="A16" t="s">
        <v>33</v>
      </c>
      <c r="B16">
        <v>2022</v>
      </c>
      <c r="C16" t="s">
        <v>41</v>
      </c>
      <c r="D16">
        <v>163.5</v>
      </c>
      <c r="E16">
        <v>209.2</v>
      </c>
      <c r="F16">
        <v>169.7</v>
      </c>
      <c r="G16">
        <v>169.7</v>
      </c>
      <c r="H16">
        <v>188.7</v>
      </c>
      <c r="I16">
        <v>165.7</v>
      </c>
      <c r="J16">
        <v>191.8</v>
      </c>
      <c r="K16">
        <v>169.1</v>
      </c>
      <c r="L16">
        <v>121.6</v>
      </c>
      <c r="M16">
        <v>197.3</v>
      </c>
      <c r="N16">
        <v>169.4</v>
      </c>
      <c r="O16">
        <v>187.4</v>
      </c>
      <c r="P16">
        <v>177.8</v>
      </c>
      <c r="Q16">
        <v>195.9</v>
      </c>
      <c r="R16">
        <v>180.9</v>
      </c>
      <c r="S16">
        <v>174.3</v>
      </c>
      <c r="T16">
        <v>179.9</v>
      </c>
      <c r="U16">
        <v>169.5</v>
      </c>
      <c r="V16">
        <v>179.5</v>
      </c>
      <c r="W16">
        <v>169.5</v>
      </c>
      <c r="X16">
        <v>177.8</v>
      </c>
      <c r="Y16">
        <v>162.30000000000001</v>
      </c>
      <c r="Z16">
        <v>167.6</v>
      </c>
      <c r="AA16">
        <v>173.1</v>
      </c>
      <c r="AB16">
        <v>170.9</v>
      </c>
      <c r="AC16">
        <v>169.7</v>
      </c>
      <c r="AD16" s="1">
        <v>175.3</v>
      </c>
      <c r="AE16" s="1">
        <v>176.91428571428574</v>
      </c>
      <c r="AF16" s="1">
        <v>178.36666666666667</v>
      </c>
      <c r="AG16" s="1">
        <v>169.5</v>
      </c>
      <c r="AH16" s="2">
        <f>All_India_Index_Upto_April23__1[[#This Row],[House]]/All_India_Index_Upto_April23__1[[#This Row],[TOTAL BROADER CATEGORIES]]</f>
        <v>9.8222095901410914E-2</v>
      </c>
      <c r="AI16" s="2">
        <f>All_India_Index_Upto_April23__1[[#This Row],[Cloth]]/All_India_Index_Upto_April23__1[[#This Row],[TOTAL BROADER CATEGORIES]]</f>
        <v>0.10336016424158305</v>
      </c>
      <c r="AJ16" s="2">
        <f>All_India_Index_Upto_April23__1[[#This Row],[Food]]/All_India_Index_Upto_April23__1[[#This Row],[TOTAL BROADER CATEGORIES]]</f>
        <v>0.10251853650594799</v>
      </c>
      <c r="AK16" s="2">
        <f>All_India_Index_Upto_April23__1[[#This Row],[Miscellaneous]]/All_India_Index_Upto_April23__1[[#This Row],[TOTAL BROADER CATEGORIES]]</f>
        <v>9.833799217976065E-2</v>
      </c>
      <c r="AL16" s="2">
        <f>All_India_Index_Upto_April23__1[[#This Row],[Personal care and effects]]/All_India_Index_Upto_April23__1[[#This Row],[TOTAL BROADER CATEGORIES]]</f>
        <v>9.9033369849859137E-2</v>
      </c>
      <c r="AM16" s="2">
        <f>All_India_Index_Upto_April23__1[[#This Row],[Education]]/All_India_Index_Upto_April23__1[[#This Row],[TOTAL BROADER CATEGORIES]]</f>
        <v>0.10030822891170636</v>
      </c>
      <c r="AN16" s="2">
        <f>All_India_Index_Upto_April23__1[[#This Row],[Recreation and amusement]]/All_India_Index_Upto_April23__1[[#This Row],[TOTAL BROADER CATEGORIES]]</f>
        <v>9.7121081257088307E-2</v>
      </c>
      <c r="AO16" s="2">
        <f>All_India_Index_Upto_April23__1[[#This Row],[Transport and communication]]/All_India_Index_Upto_April23__1[[#This Row],[TOTAL BROADER CATEGORIES]]</f>
        <v>9.4049829880820002E-2</v>
      </c>
      <c r="AP16" s="2">
        <f>All_India_Index_Upto_April23__1[[#This Row],[Health]]/All_India_Index_Upto_April23__1[[#This Row],[TOTAL BROADER CATEGORIES]]</f>
        <v>0.10303179145292543</v>
      </c>
      <c r="AQ16" s="2">
        <f>All_India_Index_Upto_April23__1[[#This Row],[Fuel and light]]/All_India_Index_Upto_April23__1[[#This Row],[TOTAL BROADER CATEGORIES]]</f>
        <v>0.10401690981889827</v>
      </c>
      <c r="AR16">
        <f>MONTH(1 &amp; All_India_Index_Upto_April23__1[[#This Row],[Month]])</f>
        <v>9</v>
      </c>
      <c r="AS16" s="19" t="str">
        <f>All_India_Index_Upto_April23__1[[#This Row],[MONTH IN NUM]]&amp;"/"&amp;All_India_Index_Upto_April23__1[[#This Row],[Year]]</f>
        <v>9/2022</v>
      </c>
      <c r="AT1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175.24285714285716</v>
      </c>
      <c r="AU1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1725.6809523809522</v>
      </c>
    </row>
    <row r="17" spans="1:47" x14ac:dyDescent="0.3">
      <c r="A17" t="s">
        <v>32</v>
      </c>
      <c r="B17">
        <v>2022</v>
      </c>
      <c r="C17" t="s">
        <v>44</v>
      </c>
      <c r="D17">
        <v>170.2</v>
      </c>
      <c r="E17">
        <v>212.9</v>
      </c>
      <c r="F17">
        <v>191.9</v>
      </c>
      <c r="G17">
        <v>173.9</v>
      </c>
      <c r="H17">
        <v>179.1</v>
      </c>
      <c r="I17">
        <v>159.5</v>
      </c>
      <c r="J17">
        <v>178.7</v>
      </c>
      <c r="K17">
        <v>171.3</v>
      </c>
      <c r="L17">
        <v>123.1</v>
      </c>
      <c r="M17">
        <v>200.5</v>
      </c>
      <c r="N17">
        <v>162.80000000000001</v>
      </c>
      <c r="O17">
        <v>193.3</v>
      </c>
      <c r="P17">
        <v>178.6</v>
      </c>
      <c r="Q17">
        <v>201.1</v>
      </c>
      <c r="R17">
        <v>177.7</v>
      </c>
      <c r="S17">
        <v>164.5</v>
      </c>
      <c r="T17">
        <v>175.7</v>
      </c>
      <c r="U17">
        <v>170.7</v>
      </c>
      <c r="V17">
        <v>180.6</v>
      </c>
      <c r="W17">
        <v>167.3</v>
      </c>
      <c r="X17">
        <v>177.2</v>
      </c>
      <c r="Y17">
        <v>159.4</v>
      </c>
      <c r="Z17">
        <v>167.1</v>
      </c>
      <c r="AA17">
        <v>171.8</v>
      </c>
      <c r="AB17">
        <v>176</v>
      </c>
      <c r="AC17">
        <v>168.2</v>
      </c>
      <c r="AD17" s="1">
        <v>174.1</v>
      </c>
      <c r="AE17" s="1">
        <v>178.34999999999997</v>
      </c>
      <c r="AF17" s="1">
        <v>172.63333333333333</v>
      </c>
      <c r="AG17" s="1">
        <v>169</v>
      </c>
      <c r="AH17" s="2">
        <f>All_India_Index_Upto_April23__1[[#This Row],[House]]/All_India_Index_Upto_April23__1[[#This Row],[TOTAL BROADER CATEGORIES]]</f>
        <v>9.823963106852554E-2</v>
      </c>
      <c r="AI17" s="2">
        <f>All_India_Index_Upto_April23__1[[#This Row],[Cloth]]/All_India_Index_Upto_April23__1[[#This Row],[TOTAL BROADER CATEGORIES]]</f>
        <v>0.10035168625323347</v>
      </c>
      <c r="AJ17" s="2">
        <f>All_India_Index_Upto_April23__1[[#This Row],[Food]]/All_India_Index_Upto_April23__1[[#This Row],[TOTAL BROADER CATEGORIES]]</f>
        <v>0.1036747822548611</v>
      </c>
      <c r="AK17" s="2">
        <f>All_India_Index_Upto_April23__1[[#This Row],[Miscellaneous]]/All_India_Index_Upto_April23__1[[#This Row],[TOTAL BROADER CATEGORIES]]</f>
        <v>9.7774591394828372E-2</v>
      </c>
      <c r="AL17" s="2">
        <f>All_India_Index_Upto_April23__1[[#This Row],[Personal care and effects]]/All_India_Index_Upto_April23__1[[#This Row],[TOTAL BROADER CATEGORIES]]</f>
        <v>0.10230872821337571</v>
      </c>
      <c r="AM17" s="2">
        <f>All_India_Index_Upto_April23__1[[#This Row],[Education]]/All_India_Index_Upto_April23__1[[#This Row],[TOTAL BROADER CATEGORIES]]</f>
        <v>9.9867269926465607E-2</v>
      </c>
      <c r="AN17" s="2">
        <f>All_India_Index_Upto_April23__1[[#This Row],[Recreation and amusement]]/All_India_Index_Upto_April23__1[[#This Row],[TOTAL BROADER CATEGORIES]]</f>
        <v>9.7135161843494772E-2</v>
      </c>
      <c r="AO17" s="2">
        <f>All_India_Index_Upto_April23__1[[#This Row],[Transport and communication]]/All_India_Index_Upto_April23__1[[#This Row],[TOTAL BROADER CATEGORIES]]</f>
        <v>9.2659154984159595E-2</v>
      </c>
      <c r="AP17" s="2">
        <f>All_India_Index_Upto_April23__1[[#This Row],[Health]]/All_India_Index_Upto_April23__1[[#This Row],[TOTAL BROADER CATEGORIES]]</f>
        <v>0.10300628772392144</v>
      </c>
      <c r="AQ17" s="2">
        <f>All_India_Index_Upto_April23__1[[#This Row],[Fuel and light]]/All_India_Index_Upto_April23__1[[#This Row],[TOTAL BROADER CATEGORIES]]</f>
        <v>0.10498270633713438</v>
      </c>
      <c r="AR17">
        <f>MONTH(1 &amp; All_India_Index_Upto_April23__1[[#This Row],[Month]])</f>
        <v>12</v>
      </c>
      <c r="AS17" s="19" t="str">
        <f>All_India_Index_Upto_April23__1[[#This Row],[MONTH IN NUM]]&amp;"/"&amp;All_India_Index_Upto_April23__1[[#This Row],[Year]]</f>
        <v>12/2022</v>
      </c>
      <c r="AT1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172.61428571428573</v>
      </c>
      <c r="AU1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1720.2833333333333</v>
      </c>
    </row>
    <row r="18" spans="1:47" x14ac:dyDescent="0.3">
      <c r="A18" t="s">
        <v>33</v>
      </c>
      <c r="B18">
        <v>2022</v>
      </c>
      <c r="C18" t="s">
        <v>42</v>
      </c>
      <c r="D18">
        <v>165.2</v>
      </c>
      <c r="E18">
        <v>210.9</v>
      </c>
      <c r="F18">
        <v>170.9</v>
      </c>
      <c r="G18">
        <v>170.9</v>
      </c>
      <c r="H18">
        <v>186.5</v>
      </c>
      <c r="I18">
        <v>163.80000000000001</v>
      </c>
      <c r="J18">
        <v>199.7</v>
      </c>
      <c r="K18">
        <v>169.8</v>
      </c>
      <c r="L18">
        <v>121.9</v>
      </c>
      <c r="M18">
        <v>199.9</v>
      </c>
      <c r="N18">
        <v>169.9</v>
      </c>
      <c r="O18">
        <v>188.3</v>
      </c>
      <c r="P18">
        <v>179.6</v>
      </c>
      <c r="Q18">
        <v>196.3</v>
      </c>
      <c r="R18">
        <v>181.9</v>
      </c>
      <c r="S18">
        <v>175.3</v>
      </c>
      <c r="T18">
        <v>181</v>
      </c>
      <c r="U18">
        <v>171.2</v>
      </c>
      <c r="V18">
        <v>180.5</v>
      </c>
      <c r="W18">
        <v>170.4</v>
      </c>
      <c r="X18">
        <v>178.7</v>
      </c>
      <c r="Y18">
        <v>162.9</v>
      </c>
      <c r="Z18">
        <v>168.2</v>
      </c>
      <c r="AA18">
        <v>173.4</v>
      </c>
      <c r="AB18">
        <v>172.1</v>
      </c>
      <c r="AC18">
        <v>170.5</v>
      </c>
      <c r="AD18" s="1">
        <v>176.7</v>
      </c>
      <c r="AE18" s="1">
        <v>178.11428571428573</v>
      </c>
      <c r="AF18" s="1">
        <v>179.4</v>
      </c>
      <c r="AG18" s="1">
        <v>170.8</v>
      </c>
      <c r="AH18" s="2">
        <f>All_India_Index_Upto_April23__1[[#This Row],[House]]/All_India_Index_Upto_April23__1[[#This Row],[TOTAL BROADER CATEGORIES]]</f>
        <v>9.8465694308327079E-2</v>
      </c>
      <c r="AI18" s="2">
        <f>All_India_Index_Upto_April23__1[[#This Row],[Cloth]]/All_India_Index_Upto_April23__1[[#This Row],[TOTAL BROADER CATEGORIES]]</f>
        <v>0.10342356884609998</v>
      </c>
      <c r="AJ18" s="2">
        <f>All_India_Index_Upto_April23__1[[#This Row],[Food]]/All_India_Index_Upto_April23__1[[#This Row],[TOTAL BROADER CATEGORIES]]</f>
        <v>0.10268235836703095</v>
      </c>
      <c r="AK18" s="2">
        <f>All_India_Index_Upto_April23__1[[#This Row],[Miscellaneous]]/All_India_Index_Upto_April23__1[[#This Row],[TOTAL BROADER CATEGORIES]]</f>
        <v>9.8292745196544296E-2</v>
      </c>
      <c r="AL18" s="2">
        <f>All_India_Index_Upto_April23__1[[#This Row],[Personal care and effects]]/All_India_Index_Upto_April23__1[[#This Row],[TOTAL BROADER CATEGORIES]]</f>
        <v>9.9215140459385759E-2</v>
      </c>
      <c r="AM18" s="2">
        <f>All_India_Index_Upto_April23__1[[#This Row],[Education]]/All_India_Index_Upto_April23__1[[#This Row],[TOTAL BROADER CATEGORIES]]</f>
        <v>9.9964586610444467E-2</v>
      </c>
      <c r="AN18" s="2">
        <f>All_India_Index_Upto_April23__1[[#This Row],[Recreation and amusement]]/All_India_Index_Upto_April23__1[[#This Row],[TOTAL BROADER CATEGORIES]]</f>
        <v>9.6966802006209663E-2</v>
      </c>
      <c r="AO18" s="2">
        <f>All_India_Index_Upto_April23__1[[#This Row],[Transport and communication]]/All_India_Index_Upto_April23__1[[#This Row],[TOTAL BROADER CATEGORIES]]</f>
        <v>9.391136769804731E-2</v>
      </c>
      <c r="AP18" s="2">
        <f>All_India_Index_Upto_April23__1[[#This Row],[Health]]/All_India_Index_Upto_April23__1[[#This Row],[TOTAL BROADER CATEGORIES]]</f>
        <v>0.10302002091860682</v>
      </c>
      <c r="AQ18" s="2">
        <f>All_India_Index_Upto_April23__1[[#This Row],[Fuel and light]]/All_India_Index_Upto_April23__1[[#This Row],[TOTAL BROADER CATEGORIES]]</f>
        <v>0.10405771558930349</v>
      </c>
      <c r="AR18">
        <f>MONTH(1 &amp; All_India_Index_Upto_April23__1[[#This Row],[Month]])</f>
        <v>10</v>
      </c>
      <c r="AS18" s="19" t="str">
        <f>All_India_Index_Upto_April23__1[[#This Row],[MONTH IN NUM]]&amp;"/"&amp;All_India_Index_Upto_April23__1[[#This Row],[Year]]</f>
        <v>10/2022</v>
      </c>
      <c r="AT1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176.24285714285716</v>
      </c>
      <c r="AU1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1734.6142857142861</v>
      </c>
    </row>
    <row r="19" spans="1:47" x14ac:dyDescent="0.3">
      <c r="A19" t="s">
        <v>30</v>
      </c>
      <c r="B19">
        <v>2022</v>
      </c>
      <c r="C19" t="s">
        <v>44</v>
      </c>
      <c r="D19">
        <v>168.8</v>
      </c>
      <c r="E19">
        <v>206.9</v>
      </c>
      <c r="F19">
        <v>189.1</v>
      </c>
      <c r="G19">
        <v>173.4</v>
      </c>
      <c r="H19">
        <v>189.67500000000001</v>
      </c>
      <c r="I19">
        <v>156.69999999999999</v>
      </c>
      <c r="J19">
        <v>150.19999999999999</v>
      </c>
      <c r="K19">
        <v>170.5</v>
      </c>
      <c r="L19">
        <v>121.2</v>
      </c>
      <c r="M19">
        <v>207.5</v>
      </c>
      <c r="N19">
        <v>176.8</v>
      </c>
      <c r="O19">
        <v>187.7</v>
      </c>
      <c r="P19">
        <v>174.4</v>
      </c>
      <c r="Q19">
        <v>195.9</v>
      </c>
      <c r="R19">
        <v>188.1</v>
      </c>
      <c r="S19">
        <v>185.35</v>
      </c>
      <c r="T19">
        <v>187.8</v>
      </c>
      <c r="U19">
        <v>140.85</v>
      </c>
      <c r="V19">
        <v>182.8</v>
      </c>
      <c r="W19">
        <v>176.4</v>
      </c>
      <c r="X19">
        <v>183.5</v>
      </c>
      <c r="Y19">
        <v>167.8</v>
      </c>
      <c r="Z19">
        <v>171.2</v>
      </c>
      <c r="AA19">
        <v>177.3</v>
      </c>
      <c r="AB19">
        <v>175.7</v>
      </c>
      <c r="AC19">
        <v>175.5</v>
      </c>
      <c r="AD19" s="1">
        <v>177.1</v>
      </c>
      <c r="AE19" s="1">
        <v>176.64285714285714</v>
      </c>
      <c r="AF19" s="1">
        <v>187.26666666666665</v>
      </c>
      <c r="AG19" s="1">
        <v>158.625</v>
      </c>
      <c r="AH19" s="2">
        <f>All_India_Index_Upto_April23__1[[#This Row],[House]]/All_India_Index_Upto_April23__1[[#This Row],[TOTAL BROADER CATEGORIES]]</f>
        <v>9.0315938022979408E-2</v>
      </c>
      <c r="AI19" s="2">
        <f>All_India_Index_Upto_April23__1[[#This Row],[Cloth]]/All_India_Index_Upto_April23__1[[#This Row],[TOTAL BROADER CATEGORIES]]</f>
        <v>0.10662357547950581</v>
      </c>
      <c r="AJ19" s="2">
        <f>All_India_Index_Upto_April23__1[[#This Row],[Food]]/All_India_Index_Upto_April23__1[[#This Row],[TOTAL BROADER CATEGORIES]]</f>
        <v>0.10057472238245101</v>
      </c>
      <c r="AK19" s="2">
        <f>All_India_Index_Upto_April23__1[[#This Row],[Miscellaneous]]/All_India_Index_Upto_April23__1[[#This Row],[TOTAL BROADER CATEGORIES]]</f>
        <v>9.9924016536062324E-2</v>
      </c>
      <c r="AL19" s="2">
        <f>All_India_Index_Upto_April23__1[[#This Row],[Personal care and effects]]/All_India_Index_Upto_April23__1[[#This Row],[TOTAL BROADER CATEGORIES]]</f>
        <v>0.10003789005918035</v>
      </c>
      <c r="AM19" s="2">
        <f>All_India_Index_Upto_April23__1[[#This Row],[Education]]/All_India_Index_Upto_April23__1[[#This Row],[TOTAL BROADER CATEGORIES]]</f>
        <v>0.1009488782441245</v>
      </c>
      <c r="AN19" s="2">
        <f>All_India_Index_Upto_April23__1[[#This Row],[Recreation and amusement]]/All_India_Index_Upto_April23__1[[#This Row],[TOTAL BROADER CATEGORIES]]</f>
        <v>9.7475735789024895E-2</v>
      </c>
      <c r="AO19" s="2">
        <f>All_India_Index_Upto_April23__1[[#This Row],[Transport and communication]]/All_India_Index_Upto_April23__1[[#This Row],[TOTAL BROADER CATEGORIES]]</f>
        <v>9.553988589601857E-2</v>
      </c>
      <c r="AP19" s="2">
        <f>All_India_Index_Upto_April23__1[[#This Row],[Health]]/All_India_Index_Upto_April23__1[[#This Row],[TOTAL BROADER CATEGORIES]]</f>
        <v>0.10447895746078312</v>
      </c>
      <c r="AQ19" s="2">
        <f>All_India_Index_Upto_April23__1[[#This Row],[Fuel and light]]/All_India_Index_Upto_April23__1[[#This Row],[TOTAL BROADER CATEGORIES]]</f>
        <v>0.10408040012987005</v>
      </c>
      <c r="AR19">
        <f>MONTH(1 &amp; All_India_Index_Upto_April23__1[[#This Row],[Month]])</f>
        <v>12</v>
      </c>
      <c r="AS19" s="19" t="str">
        <f>All_India_Index_Upto_April23__1[[#This Row],[MONTH IN NUM]]&amp;"/"&amp;All_India_Index_Upto_April23__1[[#This Row],[Year]]</f>
        <v>12/2022</v>
      </c>
      <c r="AT1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176.94285714285712</v>
      </c>
      <c r="AU1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1756.3345238095237</v>
      </c>
    </row>
    <row r="20" spans="1:47" x14ac:dyDescent="0.3">
      <c r="A20" t="s">
        <v>30</v>
      </c>
      <c r="B20">
        <v>2022</v>
      </c>
      <c r="C20" t="s">
        <v>43</v>
      </c>
      <c r="D20">
        <v>166.9</v>
      </c>
      <c r="E20">
        <v>207.2</v>
      </c>
      <c r="F20">
        <v>180.2</v>
      </c>
      <c r="G20">
        <v>172.3</v>
      </c>
      <c r="H20">
        <v>189.67500000000001</v>
      </c>
      <c r="I20">
        <v>159.1</v>
      </c>
      <c r="J20">
        <v>171.6</v>
      </c>
      <c r="K20">
        <v>170.2</v>
      </c>
      <c r="L20">
        <v>121.5</v>
      </c>
      <c r="M20">
        <v>204.8</v>
      </c>
      <c r="N20">
        <v>176.4</v>
      </c>
      <c r="O20">
        <v>186.9</v>
      </c>
      <c r="P20">
        <v>176.6</v>
      </c>
      <c r="Q20">
        <v>195.5</v>
      </c>
      <c r="R20">
        <v>187.2</v>
      </c>
      <c r="S20">
        <v>185.2</v>
      </c>
      <c r="T20">
        <v>186.9</v>
      </c>
      <c r="U20">
        <v>140.85</v>
      </c>
      <c r="V20">
        <v>181.9</v>
      </c>
      <c r="W20">
        <v>175.5</v>
      </c>
      <c r="X20">
        <v>182.3</v>
      </c>
      <c r="Y20">
        <v>167.5</v>
      </c>
      <c r="Z20">
        <v>170.8</v>
      </c>
      <c r="AA20">
        <v>176.9</v>
      </c>
      <c r="AB20">
        <v>173.4</v>
      </c>
      <c r="AC20">
        <v>174.6</v>
      </c>
      <c r="AD20" s="1">
        <v>177.8</v>
      </c>
      <c r="AE20" s="1">
        <v>177.37142857142857</v>
      </c>
      <c r="AF20" s="1">
        <v>186.43333333333331</v>
      </c>
      <c r="AG20" s="1">
        <v>158.17500000000001</v>
      </c>
      <c r="AH20" s="2">
        <f>All_India_Index_Upto_April23__1[[#This Row],[House]]/All_India_Index_Upto_April23__1[[#This Row],[TOTAL BROADER CATEGORIES]]</f>
        <v>9.0417760308245304E-2</v>
      </c>
      <c r="AI20" s="2">
        <f>All_India_Index_Upto_April23__1[[#This Row],[Cloth]]/All_India_Index_Upto_April23__1[[#This Row],[TOTAL BROADER CATEGORIES]]</f>
        <v>0.10657110445266653</v>
      </c>
      <c r="AJ20" s="2">
        <f>All_India_Index_Upto_April23__1[[#This Row],[Food]]/All_India_Index_Upto_April23__1[[#This Row],[TOTAL BROADER CATEGORIES]]</f>
        <v>0.10139103723156301</v>
      </c>
      <c r="AK20" s="2">
        <f>All_India_Index_Upto_April23__1[[#This Row],[Miscellaneous]]/All_India_Index_Upto_April23__1[[#This Row],[TOTAL BROADER CATEGORIES]]</f>
        <v>9.9806802274819834E-2</v>
      </c>
      <c r="AL20" s="2">
        <f>All_India_Index_Upto_April23__1[[#This Row],[Personal care and effects]]/All_India_Index_Upto_April23__1[[#This Row],[TOTAL BROADER CATEGORIES]]</f>
        <v>9.9120844870869196E-2</v>
      </c>
      <c r="AM20" s="2">
        <f>All_India_Index_Upto_April23__1[[#This Row],[Education]]/All_India_Index_Upto_April23__1[[#This Row],[TOTAL BROADER CATEGORIES]]</f>
        <v>0.10112155396572527</v>
      </c>
      <c r="AN20" s="2">
        <f>All_India_Index_Upto_April23__1[[#This Row],[Recreation and amusement]]/All_India_Index_Upto_April23__1[[#This Row],[TOTAL BROADER CATEGORIES]]</f>
        <v>9.7634603828976124E-2</v>
      </c>
      <c r="AO20" s="2">
        <f>All_India_Index_Upto_April23__1[[#This Row],[Transport and communication]]/All_India_Index_Upto_April23__1[[#This Row],[TOTAL BROADER CATEGORIES]]</f>
        <v>9.5748220968111822E-2</v>
      </c>
      <c r="AP20" s="2">
        <f>All_India_Index_Upto_April23__1[[#This Row],[Health]]/All_India_Index_Upto_April23__1[[#This Row],[TOTAL BROADER CATEGORIES]]</f>
        <v>0.10420836228350319</v>
      </c>
      <c r="AQ20" s="2">
        <f>All_India_Index_Upto_April23__1[[#This Row],[Fuel and light]]/All_India_Index_Upto_April23__1[[#This Row],[TOTAL BROADER CATEGORIES]]</f>
        <v>0.10397970981551964</v>
      </c>
      <c r="AR20">
        <f>MONTH(1 &amp; All_India_Index_Upto_April23__1[[#This Row],[Month]])</f>
        <v>11</v>
      </c>
      <c r="AS20" s="19" t="str">
        <f>All_India_Index_Upto_April23__1[[#This Row],[MONTH IN NUM]]&amp;"/"&amp;All_India_Index_Upto_April23__1[[#This Row],[Year]]</f>
        <v>11/2022</v>
      </c>
      <c r="AT2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176.35</v>
      </c>
      <c r="AU2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1749.3797619047621</v>
      </c>
    </row>
    <row r="21" spans="1:47" x14ac:dyDescent="0.3">
      <c r="A21" t="s">
        <v>32</v>
      </c>
      <c r="B21">
        <v>2022</v>
      </c>
      <c r="C21" t="s">
        <v>43</v>
      </c>
      <c r="D21">
        <v>168.4</v>
      </c>
      <c r="E21">
        <v>213.4</v>
      </c>
      <c r="F21">
        <v>183.2</v>
      </c>
      <c r="G21">
        <v>172.3</v>
      </c>
      <c r="H21">
        <v>180</v>
      </c>
      <c r="I21">
        <v>162.6</v>
      </c>
      <c r="J21">
        <v>205.5</v>
      </c>
      <c r="K21">
        <v>171</v>
      </c>
      <c r="L21">
        <v>123.4</v>
      </c>
      <c r="M21">
        <v>198.8</v>
      </c>
      <c r="N21">
        <v>162.1</v>
      </c>
      <c r="O21">
        <v>192.4</v>
      </c>
      <c r="P21">
        <v>181.3</v>
      </c>
      <c r="Q21">
        <v>200.6</v>
      </c>
      <c r="R21">
        <v>176.7</v>
      </c>
      <c r="S21">
        <v>163.5</v>
      </c>
      <c r="T21">
        <v>174.7</v>
      </c>
      <c r="U21">
        <v>171.8</v>
      </c>
      <c r="V21">
        <v>180.3</v>
      </c>
      <c r="W21">
        <v>166.9</v>
      </c>
      <c r="X21">
        <v>175.8</v>
      </c>
      <c r="Y21">
        <v>158.9</v>
      </c>
      <c r="Z21">
        <v>166.7</v>
      </c>
      <c r="AA21">
        <v>171.5</v>
      </c>
      <c r="AB21">
        <v>173.8</v>
      </c>
      <c r="AC21">
        <v>167.4</v>
      </c>
      <c r="AD21" s="1">
        <v>174.1</v>
      </c>
      <c r="AE21" s="1">
        <v>179.64285714285714</v>
      </c>
      <c r="AF21" s="1">
        <v>171.63333333333333</v>
      </c>
      <c r="AG21" s="1">
        <v>169.35000000000002</v>
      </c>
      <c r="AH21" s="2">
        <f>All_India_Index_Upto_April23__1[[#This Row],[House]]/All_India_Index_Upto_April23__1[[#This Row],[TOTAL BROADER CATEGORIES]]</f>
        <v>9.8744847711613459E-2</v>
      </c>
      <c r="AI21" s="2">
        <f>All_India_Index_Upto_April23__1[[#This Row],[Cloth]]/All_India_Index_Upto_April23__1[[#This Row],[TOTAL BROADER CATEGORIES]]</f>
        <v>0.10007621707845638</v>
      </c>
      <c r="AJ21" s="2">
        <f>All_India_Index_Upto_April23__1[[#This Row],[Food]]/All_India_Index_Upto_April23__1[[#This Row],[TOTAL BROADER CATEGORIES]]</f>
        <v>0.10474642203159468</v>
      </c>
      <c r="AK21" s="2">
        <f>All_India_Index_Upto_April23__1[[#This Row],[Miscellaneous]]/All_India_Index_Upto_April23__1[[#This Row],[TOTAL BROADER CATEGORIES]]</f>
        <v>9.7607838836280436E-2</v>
      </c>
      <c r="AL21" s="2">
        <f>All_India_Index_Upto_April23__1[[#This Row],[Personal care and effects]]/All_India_Index_Upto_April23__1[[#This Row],[TOTAL BROADER CATEGORIES]]</f>
        <v>0.10133956027327086</v>
      </c>
      <c r="AM21" s="2">
        <f>All_India_Index_Upto_April23__1[[#This Row],[Education]]/All_India_Index_Upto_April23__1[[#This Row],[TOTAL BROADER CATEGORIES]]</f>
        <v>9.9998472881852415E-2</v>
      </c>
      <c r="AN21" s="2">
        <f>All_India_Index_Upto_April23__1[[#This Row],[Recreation and amusement]]/All_India_Index_Upto_April23__1[[#This Row],[TOTAL BROADER CATEGORIES]]</f>
        <v>9.7199681804109608E-2</v>
      </c>
      <c r="AO21" s="2">
        <f>All_India_Index_Upto_April23__1[[#This Row],[Transport and communication]]/All_India_Index_Upto_April23__1[[#This Row],[TOTAL BROADER CATEGORIES]]</f>
        <v>9.2651646302777543E-2</v>
      </c>
      <c r="AP21" s="2">
        <f>All_India_Index_Upto_April23__1[[#This Row],[Health]]/All_India_Index_Upto_April23__1[[#This Row],[TOTAL BROADER CATEGORIES]]</f>
        <v>0.10250572322233036</v>
      </c>
      <c r="AQ21" s="2">
        <f>All_India_Index_Upto_April23__1[[#This Row],[Fuel and light]]/All_India_Index_Upto_April23__1[[#This Row],[TOTAL BROADER CATEGORIES]]</f>
        <v>0.10512958985771424</v>
      </c>
      <c r="AR21">
        <f>MONTH(1 &amp; All_India_Index_Upto_April23__1[[#This Row],[Month]])</f>
        <v>11</v>
      </c>
      <c r="AS21" s="19" t="str">
        <f>All_India_Index_Upto_April23__1[[#This Row],[MONTH IN NUM]]&amp;"/"&amp;All_India_Index_Upto_April23__1[[#This Row],[Year]]</f>
        <v>11/2022</v>
      </c>
      <c r="AT2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172.20000000000002</v>
      </c>
      <c r="AU2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1715.0261904761905</v>
      </c>
    </row>
    <row r="22" spans="1:47" x14ac:dyDescent="0.3">
      <c r="A22" t="s">
        <v>33</v>
      </c>
      <c r="B22">
        <v>2022</v>
      </c>
      <c r="C22" t="s">
        <v>43</v>
      </c>
      <c r="D22">
        <v>167.4</v>
      </c>
      <c r="E22">
        <v>209.4</v>
      </c>
      <c r="F22">
        <v>181.4</v>
      </c>
      <c r="G22">
        <v>172.3</v>
      </c>
      <c r="H22">
        <v>188.9</v>
      </c>
      <c r="I22">
        <v>160.69999999999999</v>
      </c>
      <c r="J22">
        <v>183.1</v>
      </c>
      <c r="K22">
        <v>170.5</v>
      </c>
      <c r="L22">
        <v>122.1</v>
      </c>
      <c r="M22">
        <v>202.8</v>
      </c>
      <c r="N22">
        <v>170.4</v>
      </c>
      <c r="O22">
        <v>189.5</v>
      </c>
      <c r="P22">
        <v>178.3</v>
      </c>
      <c r="Q22">
        <v>196.9</v>
      </c>
      <c r="R22">
        <v>183.1</v>
      </c>
      <c r="S22">
        <v>176.2</v>
      </c>
      <c r="T22">
        <v>182.1</v>
      </c>
      <c r="U22">
        <v>171.8</v>
      </c>
      <c r="V22">
        <v>181.3</v>
      </c>
      <c r="W22">
        <v>171.4</v>
      </c>
      <c r="X22">
        <v>179.8</v>
      </c>
      <c r="Y22">
        <v>163</v>
      </c>
      <c r="Z22">
        <v>168.5</v>
      </c>
      <c r="AA22">
        <v>173.7</v>
      </c>
      <c r="AB22">
        <v>173.6</v>
      </c>
      <c r="AC22">
        <v>171.1</v>
      </c>
      <c r="AD22" s="1">
        <v>176.5</v>
      </c>
      <c r="AE22" s="1">
        <v>178.12142857142859</v>
      </c>
      <c r="AF22" s="1">
        <v>180.46666666666667</v>
      </c>
      <c r="AG22" s="1">
        <v>171.60000000000002</v>
      </c>
      <c r="AH22" s="2">
        <f>All_India_Index_Upto_April23__1[[#This Row],[House]]/All_India_Index_Upto_April23__1[[#This Row],[TOTAL BROADER CATEGORIES]]</f>
        <v>9.8553396080125921E-2</v>
      </c>
      <c r="AI22" s="2">
        <f>All_India_Index_Upto_April23__1[[#This Row],[Cloth]]/All_India_Index_Upto_April23__1[[#This Row],[TOTAL BROADER CATEGORIES]]</f>
        <v>0.10364570442459241</v>
      </c>
      <c r="AJ22" s="2">
        <f>All_India_Index_Upto_April23__1[[#This Row],[Food]]/All_India_Index_Upto_April23__1[[#This Row],[TOTAL BROADER CATEGORIES]]</f>
        <v>0.10229878613262156</v>
      </c>
      <c r="AK22" s="2">
        <f>All_India_Index_Upto_April23__1[[#This Row],[Miscellaneous]]/All_India_Index_Upto_April23__1[[#This Row],[TOTAL BROADER CATEGORIES]]</f>
        <v>9.8266235835137203E-2</v>
      </c>
      <c r="AL22" s="2">
        <f>All_India_Index_Upto_April23__1[[#This Row],[Personal care and effects]]/All_India_Index_Upto_April23__1[[#This Row],[TOTAL BROADER CATEGORIES]]</f>
        <v>9.9702037060080753E-2</v>
      </c>
      <c r="AM22" s="2">
        <f>All_India_Index_Upto_April23__1[[#This Row],[Education]]/All_India_Index_Upto_April23__1[[#This Row],[TOTAL BROADER CATEGORIES]]</f>
        <v>9.97594691090785E-2</v>
      </c>
      <c r="AN22" s="2">
        <f>All_India_Index_Upto_April23__1[[#This Row],[Recreation and amusement]]/All_India_Index_Upto_April23__1[[#This Row],[TOTAL BROADER CATEGORIES]]</f>
        <v>9.6773002561195906E-2</v>
      </c>
      <c r="AO22" s="2">
        <f>All_India_Index_Upto_April23__1[[#This Row],[Transport and communication]]/All_India_Index_Upto_April23__1[[#This Row],[TOTAL BROADER CATEGORIES]]</f>
        <v>9.3614239866320073E-2</v>
      </c>
      <c r="AP22" s="2">
        <f>All_India_Index_Upto_April23__1[[#This Row],[Health]]/All_India_Index_Upto_April23__1[[#This Row],[TOTAL BROADER CATEGORIES]]</f>
        <v>0.1032628240979408</v>
      </c>
      <c r="AQ22" s="2">
        <f>All_India_Index_Upto_April23__1[[#This Row],[Fuel and light]]/All_India_Index_Upto_April23__1[[#This Row],[TOTAL BROADER CATEGORIES]]</f>
        <v>0.10412430483290692</v>
      </c>
      <c r="AR22">
        <f>MONTH(1 &amp; All_India_Index_Upto_April23__1[[#This Row],[Month]])</f>
        <v>11</v>
      </c>
      <c r="AS22" s="19" t="str">
        <f>All_India_Index_Upto_April23__1[[#This Row],[MONTH IN NUM]]&amp;"/"&amp;All_India_Index_Upto_April23__1[[#This Row],[Year]]</f>
        <v>11/2022</v>
      </c>
      <c r="AT2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177.08571428571426</v>
      </c>
      <c r="AU2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1741.1880952380952</v>
      </c>
    </row>
    <row r="23" spans="1:47" x14ac:dyDescent="0.3">
      <c r="A23" t="s">
        <v>33</v>
      </c>
      <c r="B23">
        <v>2022</v>
      </c>
      <c r="C23" t="s">
        <v>44</v>
      </c>
      <c r="D23">
        <v>169.2</v>
      </c>
      <c r="E23">
        <v>209</v>
      </c>
      <c r="F23">
        <v>190.2</v>
      </c>
      <c r="G23">
        <v>173.6</v>
      </c>
      <c r="H23">
        <v>188.5</v>
      </c>
      <c r="I23">
        <v>158</v>
      </c>
      <c r="J23">
        <v>159.9</v>
      </c>
      <c r="K23">
        <v>170.8</v>
      </c>
      <c r="L23">
        <v>121.8</v>
      </c>
      <c r="M23">
        <v>205.2</v>
      </c>
      <c r="N23">
        <v>171</v>
      </c>
      <c r="O23">
        <v>190.3</v>
      </c>
      <c r="P23">
        <v>175.9</v>
      </c>
      <c r="Q23">
        <v>197.3</v>
      </c>
      <c r="R23">
        <v>184</v>
      </c>
      <c r="S23">
        <v>177</v>
      </c>
      <c r="T23">
        <v>183</v>
      </c>
      <c r="U23">
        <v>170.7</v>
      </c>
      <c r="V23">
        <v>182</v>
      </c>
      <c r="W23">
        <v>172.1</v>
      </c>
      <c r="X23">
        <v>181.1</v>
      </c>
      <c r="Y23">
        <v>163.4</v>
      </c>
      <c r="Z23">
        <v>168.9</v>
      </c>
      <c r="AA23">
        <v>174.1</v>
      </c>
      <c r="AB23">
        <v>175.8</v>
      </c>
      <c r="AC23">
        <v>172</v>
      </c>
      <c r="AD23" s="1">
        <v>175.7</v>
      </c>
      <c r="AE23" s="1">
        <v>177.19285714285715</v>
      </c>
      <c r="AF23" s="1">
        <v>181.33333333333334</v>
      </c>
      <c r="AG23" s="1">
        <v>171.39999999999998</v>
      </c>
      <c r="AH23" s="2">
        <f>All_India_Index_Upto_April23__1[[#This Row],[House]]/All_India_Index_Upto_April23__1[[#This Row],[TOTAL BROADER CATEGORIES]]</f>
        <v>9.8098346358513819E-2</v>
      </c>
      <c r="AI23" s="2">
        <f>All_India_Index_Upto_April23__1[[#This Row],[Cloth]]/All_India_Index_Upto_April23__1[[#This Row],[TOTAL BROADER CATEGORIES]]</f>
        <v>0.10378354807279565</v>
      </c>
      <c r="AJ23" s="2">
        <f>All_India_Index_Upto_April23__1[[#This Row],[Food]]/All_India_Index_Upto_April23__1[[#This Row],[TOTAL BROADER CATEGORIES]]</f>
        <v>0.10141380555574482</v>
      </c>
      <c r="AK23" s="2">
        <f>All_India_Index_Upto_April23__1[[#This Row],[Miscellaneous]]/All_India_Index_Upto_April23__1[[#This Row],[TOTAL BROADER CATEGORIES]]</f>
        <v>9.8441747804342936E-2</v>
      </c>
      <c r="AL23" s="2">
        <f>All_India_Index_Upto_April23__1[[#This Row],[Personal care and effects]]/All_India_Index_Upto_April23__1[[#This Row],[TOTAL BROADER CATEGORIES]]</f>
        <v>0.10061662362792725</v>
      </c>
      <c r="AM23" s="2">
        <f>All_India_Index_Upto_April23__1[[#This Row],[Education]]/All_India_Index_Upto_April23__1[[#This Row],[TOTAL BROADER CATEGORIES]]</f>
        <v>9.9643652864744789E-2</v>
      </c>
      <c r="AN23" s="2">
        <f>All_India_Index_Upto_April23__1[[#This Row],[Recreation and amusement]]/All_India_Index_Upto_April23__1[[#This Row],[TOTAL BROADER CATEGORIES]]</f>
        <v>9.6667507000892564E-2</v>
      </c>
      <c r="AO23" s="2">
        <f>All_India_Index_Upto_April23__1[[#This Row],[Transport and communication]]/All_India_Index_Upto_April23__1[[#This Row],[TOTAL BROADER CATEGORIES]]</f>
        <v>9.3519660414125794E-2</v>
      </c>
      <c r="AP23" s="2">
        <f>All_India_Index_Upto_April23__1[[#This Row],[Health]]/All_India_Index_Upto_April23__1[[#This Row],[TOTAL BROADER CATEGORIES]]</f>
        <v>0.10365000306608432</v>
      </c>
      <c r="AQ23" s="2">
        <f>All_India_Index_Upto_April23__1[[#This Row],[Fuel and light]]/All_India_Index_Upto_April23__1[[#This Row],[TOTAL BROADER CATEGORIES]]</f>
        <v>0.10416510523482798</v>
      </c>
      <c r="AR23">
        <f>MONTH(1 &amp; All_India_Index_Upto_April23__1[[#This Row],[Month]])</f>
        <v>12</v>
      </c>
      <c r="AS23" s="19" t="str">
        <f>All_India_Index_Upto_April23__1[[#This Row],[MONTH IN NUM]]&amp;"/"&amp;All_India_Index_Upto_April23__1[[#This Row],[Year]]</f>
        <v>12/2022</v>
      </c>
      <c r="AT2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177.55714285714288</v>
      </c>
      <c r="AU2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1747.2261904761906</v>
      </c>
    </row>
    <row r="24" spans="1:47" x14ac:dyDescent="0.3">
      <c r="A24" t="s">
        <v>30</v>
      </c>
      <c r="B24">
        <v>2022</v>
      </c>
      <c r="C24" t="s">
        <v>42</v>
      </c>
      <c r="D24">
        <v>164.7</v>
      </c>
      <c r="E24">
        <v>208.8</v>
      </c>
      <c r="F24">
        <v>170.3</v>
      </c>
      <c r="G24">
        <v>170.9</v>
      </c>
      <c r="H24">
        <v>189.67500000000001</v>
      </c>
      <c r="I24">
        <v>162.19999999999999</v>
      </c>
      <c r="J24">
        <v>184.8</v>
      </c>
      <c r="K24">
        <v>169.7</v>
      </c>
      <c r="L24">
        <v>121.1</v>
      </c>
      <c r="M24">
        <v>201.6</v>
      </c>
      <c r="N24">
        <v>175.8</v>
      </c>
      <c r="O24">
        <v>185.6</v>
      </c>
      <c r="P24">
        <v>177.4</v>
      </c>
      <c r="Q24">
        <v>194.9</v>
      </c>
      <c r="R24">
        <v>186.1</v>
      </c>
      <c r="S24">
        <v>184.4</v>
      </c>
      <c r="T24">
        <v>185.9</v>
      </c>
      <c r="U24">
        <v>140.85</v>
      </c>
      <c r="V24">
        <v>180.8</v>
      </c>
      <c r="W24">
        <v>174.4</v>
      </c>
      <c r="X24">
        <v>181.2</v>
      </c>
      <c r="Y24">
        <v>167.4</v>
      </c>
      <c r="Z24">
        <v>170.6</v>
      </c>
      <c r="AA24">
        <v>176.5</v>
      </c>
      <c r="AB24">
        <v>172</v>
      </c>
      <c r="AC24">
        <v>173.9</v>
      </c>
      <c r="AD24" s="1">
        <v>177.9</v>
      </c>
      <c r="AE24" s="1">
        <v>177.1</v>
      </c>
      <c r="AF24" s="1">
        <v>185.46666666666667</v>
      </c>
      <c r="AG24" s="1">
        <v>157.625</v>
      </c>
      <c r="AH24" s="2">
        <f>All_India_Index_Upto_April23__1[[#This Row],[House]]/All_India_Index_Upto_April23__1[[#This Row],[TOTAL BROADER CATEGORIES]]</f>
        <v>9.0454351994873533E-2</v>
      </c>
      <c r="AI24" s="2">
        <f>All_India_Index_Upto_April23__1[[#This Row],[Cloth]]/All_India_Index_Upto_April23__1[[#This Row],[TOTAL BROADER CATEGORIES]]</f>
        <v>0.10643151245032542</v>
      </c>
      <c r="AJ24" s="2">
        <f>All_India_Index_Upto_April23__1[[#This Row],[Food]]/All_India_Index_Upto_April23__1[[#This Row],[TOTAL BROADER CATEGORIES]]</f>
        <v>0.10163023466006092</v>
      </c>
      <c r="AK24" s="2">
        <f>All_India_Index_Upto_April23__1[[#This Row],[Miscellaneous]]/All_India_Index_Upto_April23__1[[#This Row],[TOTAL BROADER CATEGORIES]]</f>
        <v>9.9793889369760566E-2</v>
      </c>
      <c r="AL24" s="2">
        <f>All_India_Index_Upto_April23__1[[#This Row],[Personal care and effects]]/All_India_Index_Upto_April23__1[[#This Row],[TOTAL BROADER CATEGORIES]]</f>
        <v>9.8703559353644707E-2</v>
      </c>
      <c r="AM24" s="2">
        <f>All_India_Index_Upto_April23__1[[#This Row],[Education]]/All_India_Index_Upto_April23__1[[#This Row],[TOTAL BROADER CATEGORIES]]</f>
        <v>0.1012859199181296</v>
      </c>
      <c r="AN24" s="2">
        <f>All_India_Index_Upto_April23__1[[#This Row],[Recreation and amusement]]/All_India_Index_Upto_April23__1[[#This Row],[TOTAL BROADER CATEGORIES]]</f>
        <v>9.7900158289138298E-2</v>
      </c>
      <c r="AO24" s="2">
        <f>All_India_Index_Upto_April23__1[[#This Row],[Transport and communication]]/All_India_Index_Upto_April23__1[[#This Row],[TOTAL BROADER CATEGORIES]]</f>
        <v>9.6063812998837941E-2</v>
      </c>
      <c r="AP24" s="2">
        <f>All_India_Index_Upto_April23__1[[#This Row],[Health]]/All_India_Index_Upto_April23__1[[#This Row],[TOTAL BROADER CATEGORIES]]</f>
        <v>0.10398305206325827</v>
      </c>
      <c r="AQ24" s="2">
        <f>All_India_Index_Upto_April23__1[[#This Row],[Fuel and light]]/All_India_Index_Upto_April23__1[[#This Row],[TOTAL BROADER CATEGORIES]]</f>
        <v>0.10375350890197073</v>
      </c>
      <c r="AR24">
        <f>MONTH(1 &amp; All_India_Index_Upto_April23__1[[#This Row],[Month]])</f>
        <v>10</v>
      </c>
      <c r="AS24" s="19" t="str">
        <f>All_India_Index_Upto_April23__1[[#This Row],[MONTH IN NUM]]&amp;"/"&amp;All_India_Index_Upto_April23__1[[#This Row],[Year]]</f>
        <v>10/2022</v>
      </c>
      <c r="AT2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175.56428571428572</v>
      </c>
      <c r="AU2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1742.5916666666667</v>
      </c>
    </row>
    <row r="25" spans="1:47" x14ac:dyDescent="0.3">
      <c r="A25" t="s">
        <v>32</v>
      </c>
      <c r="B25">
        <v>2022</v>
      </c>
      <c r="C25" t="s">
        <v>42</v>
      </c>
      <c r="D25">
        <v>166.4</v>
      </c>
      <c r="E25">
        <v>214.9</v>
      </c>
      <c r="F25">
        <v>171.9</v>
      </c>
      <c r="G25">
        <v>171</v>
      </c>
      <c r="H25">
        <v>177.7</v>
      </c>
      <c r="I25">
        <v>165.7</v>
      </c>
      <c r="J25">
        <v>225.46299999999999</v>
      </c>
      <c r="K25">
        <v>169.9</v>
      </c>
      <c r="L25">
        <v>123.4</v>
      </c>
      <c r="M25">
        <v>196.4</v>
      </c>
      <c r="N25">
        <v>161.6</v>
      </c>
      <c r="O25">
        <v>191.5</v>
      </c>
      <c r="P25">
        <v>183.3</v>
      </c>
      <c r="Q25">
        <v>200.1</v>
      </c>
      <c r="R25">
        <v>175.5</v>
      </c>
      <c r="S25">
        <v>162.6</v>
      </c>
      <c r="T25">
        <v>173.6</v>
      </c>
      <c r="U25">
        <v>171.2</v>
      </c>
      <c r="V25">
        <v>180</v>
      </c>
      <c r="W25">
        <v>166</v>
      </c>
      <c r="X25">
        <v>174.7</v>
      </c>
      <c r="Y25">
        <v>158.80000000000001</v>
      </c>
      <c r="Z25">
        <v>166.3</v>
      </c>
      <c r="AA25">
        <v>171.2</v>
      </c>
      <c r="AB25">
        <v>172.3</v>
      </c>
      <c r="AC25">
        <v>166.8</v>
      </c>
      <c r="AD25" s="1">
        <v>175.3</v>
      </c>
      <c r="AE25" s="1">
        <v>180.17142857142858</v>
      </c>
      <c r="AF25" s="1">
        <v>170.56666666666669</v>
      </c>
      <c r="AG25" s="1">
        <v>168.6</v>
      </c>
      <c r="AH25" s="2">
        <f>All_India_Index_Upto_April23__1[[#This Row],[House]]/All_India_Index_Upto_April23__1[[#This Row],[TOTAL BROADER CATEGORIES]]</f>
        <v>9.8628900613401224E-2</v>
      </c>
      <c r="AI25" s="2">
        <f>All_India_Index_Upto_April23__1[[#This Row],[Cloth]]/All_India_Index_Upto_April23__1[[#This Row],[TOTAL BROADER CATEGORIES]]</f>
        <v>9.9779376124708219E-2</v>
      </c>
      <c r="AJ25" s="2">
        <f>All_India_Index_Upto_April23__1[[#This Row],[Food]]/All_India_Index_Upto_April23__1[[#This Row],[TOTAL BROADER CATEGORIES]]</f>
        <v>0.10539804224167229</v>
      </c>
      <c r="AK25" s="2">
        <f>All_India_Index_Upto_April23__1[[#This Row],[Miscellaneous]]/All_India_Index_Upto_April23__1[[#This Row],[TOTAL BROADER CATEGORIES]]</f>
        <v>9.7575923026781294E-2</v>
      </c>
      <c r="AL25" s="2">
        <f>All_India_Index_Upto_April23__1[[#This Row],[Personal care and effects]]/All_India_Index_Upto_April23__1[[#This Row],[TOTAL BROADER CATEGORIES]]</f>
        <v>0.10079335454145334</v>
      </c>
      <c r="AM25" s="2">
        <f>All_India_Index_Upto_April23__1[[#This Row],[Education]]/All_India_Index_Upto_April23__1[[#This Row],[TOTAL BROADER CATEGORIES]]</f>
        <v>0.10014986823851892</v>
      </c>
      <c r="AN25" s="2">
        <f>All_India_Index_Upto_April23__1[[#This Row],[Recreation and amusement]]/All_India_Index_Upto_April23__1[[#This Row],[TOTAL BROADER CATEGORIES]]</f>
        <v>9.7283429252720197E-2</v>
      </c>
      <c r="AO25" s="2">
        <f>All_India_Index_Upto_April23__1[[#This Row],[Transport and communication]]/All_India_Index_Upto_April23__1[[#This Row],[TOTAL BROADER CATEGORIES]]</f>
        <v>9.2896022641803772E-2</v>
      </c>
      <c r="AP25" s="2">
        <f>All_India_Index_Upto_April23__1[[#This Row],[Health]]/All_India_Index_Upto_April23__1[[#This Row],[TOTAL BROADER CATEGORIES]]</f>
        <v>0.10219732465694659</v>
      </c>
      <c r="AQ25" s="2">
        <f>All_India_Index_Upto_April23__1[[#This Row],[Fuel and light]]/All_India_Index_Upto_April23__1[[#This Row],[TOTAL BROADER CATEGORIES]]</f>
        <v>0.1052977586619942</v>
      </c>
      <c r="AR25">
        <f>MONTH(1 &amp; All_India_Index_Upto_April23__1[[#This Row],[Month]])</f>
        <v>10</v>
      </c>
      <c r="AS25" s="19" t="str">
        <f>All_India_Index_Upto_April23__1[[#This Row],[MONTH IN NUM]]&amp;"/"&amp;All_India_Index_Upto_April23__1[[#This Row],[Year]]</f>
        <v>10/2022</v>
      </c>
      <c r="AT2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171.44285714285715</v>
      </c>
      <c r="AU2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1709.4380952380952</v>
      </c>
    </row>
    <row r="26" spans="1:47" x14ac:dyDescent="0.3">
      <c r="A26" t="s">
        <v>32</v>
      </c>
      <c r="B26">
        <v>2022</v>
      </c>
      <c r="C26" t="s">
        <v>41</v>
      </c>
      <c r="D26">
        <v>164.9</v>
      </c>
      <c r="E26">
        <v>213.7</v>
      </c>
      <c r="F26">
        <v>170.9</v>
      </c>
      <c r="G26">
        <v>170.1</v>
      </c>
      <c r="H26">
        <v>179.3</v>
      </c>
      <c r="I26">
        <v>167.5</v>
      </c>
      <c r="J26">
        <v>220.8</v>
      </c>
      <c r="K26">
        <v>169.2</v>
      </c>
      <c r="L26">
        <v>123.1</v>
      </c>
      <c r="M26">
        <v>193.6</v>
      </c>
      <c r="N26">
        <v>161.1</v>
      </c>
      <c r="O26">
        <v>190.4</v>
      </c>
      <c r="P26">
        <v>181.8</v>
      </c>
      <c r="Q26">
        <v>199.7</v>
      </c>
      <c r="R26">
        <v>175</v>
      </c>
      <c r="S26">
        <v>161.69999999999999</v>
      </c>
      <c r="T26">
        <v>173</v>
      </c>
      <c r="U26">
        <v>169.5</v>
      </c>
      <c r="V26">
        <v>179.2</v>
      </c>
      <c r="W26">
        <v>165</v>
      </c>
      <c r="X26">
        <v>173.8</v>
      </c>
      <c r="Y26">
        <v>158.19999999999999</v>
      </c>
      <c r="Z26">
        <v>165.8</v>
      </c>
      <c r="AA26">
        <v>170.9</v>
      </c>
      <c r="AB26">
        <v>171.1</v>
      </c>
      <c r="AC26">
        <v>166.1</v>
      </c>
      <c r="AD26" s="1">
        <v>174.1</v>
      </c>
      <c r="AE26" s="1">
        <v>179.00714285714284</v>
      </c>
      <c r="AF26" s="1">
        <v>169.9</v>
      </c>
      <c r="AG26" s="1">
        <v>167.25</v>
      </c>
      <c r="AH26" s="2">
        <f>All_India_Index_Upto_April23__1[[#This Row],[House]]/All_India_Index_Upto_April23__1[[#This Row],[TOTAL BROADER CATEGORIES]]</f>
        <v>9.8309653365578384E-2</v>
      </c>
      <c r="AI26" s="2">
        <f>All_India_Index_Upto_April23__1[[#This Row],[Cloth]]/All_India_Index_Upto_April23__1[[#This Row],[TOTAL BROADER CATEGORIES]]</f>
        <v>9.9867325003358862E-2</v>
      </c>
      <c r="AJ26" s="2">
        <f>All_India_Index_Upto_April23__1[[#This Row],[Food]]/All_India_Index_Upto_April23__1[[#This Row],[TOTAL BROADER CATEGORIES]]</f>
        <v>0.10522050920327823</v>
      </c>
      <c r="AK26" s="2">
        <f>All_India_Index_Upto_April23__1[[#This Row],[Miscellaneous]]/All_India_Index_Upto_April23__1[[#This Row],[TOTAL BROADER CATEGORIES]]</f>
        <v>9.7633682654843471E-2</v>
      </c>
      <c r="AL26" s="2">
        <f>All_India_Index_Upto_April23__1[[#This Row],[Personal care and effects]]/All_India_Index_Upto_April23__1[[#This Row],[TOTAL BROADER CATEGORIES]]</f>
        <v>0.10057268574499528</v>
      </c>
      <c r="AM26" s="2">
        <f>All_India_Index_Upto_April23__1[[#This Row],[Education]]/All_India_Index_Upto_April23__1[[#This Row],[TOTAL BROADER CATEGORIES]]</f>
        <v>0.10045512562138922</v>
      </c>
      <c r="AN26" s="2">
        <f>All_India_Index_Upto_April23__1[[#This Row],[Recreation and amusement]]/All_India_Index_Upto_April23__1[[#This Row],[TOTAL BROADER CATEGORIES]]</f>
        <v>9.7457342469434369E-2</v>
      </c>
      <c r="AO26" s="2">
        <f>All_India_Index_Upto_April23__1[[#This Row],[Transport and communication]]/All_India_Index_Upto_April23__1[[#This Row],[TOTAL BROADER CATEGORIES]]</f>
        <v>9.2990057772403587E-2</v>
      </c>
      <c r="AP26" s="2">
        <f>All_India_Index_Upto_April23__1[[#This Row],[Health]]/All_India_Index_Upto_April23__1[[#This Row],[TOTAL BROADER CATEGORIES]]</f>
        <v>0.10215974741367728</v>
      </c>
      <c r="AQ26" s="2">
        <f>All_India_Index_Upto_April23__1[[#This Row],[Fuel and light]]/All_India_Index_Upto_April23__1[[#This Row],[TOTAL BROADER CATEGORIES]]</f>
        <v>0.10533387075104124</v>
      </c>
      <c r="AR26">
        <f>MONTH(1 &amp; All_India_Index_Upto_April23__1[[#This Row],[Month]])</f>
        <v>9</v>
      </c>
      <c r="AS26" s="19" t="str">
        <f>All_India_Index_Upto_April23__1[[#This Row],[MONTH IN NUM]]&amp;"/"&amp;All_India_Index_Upto_April23__1[[#This Row],[Year]]</f>
        <v>9/2022</v>
      </c>
      <c r="AT2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170.6142857142857</v>
      </c>
      <c r="AU2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1701.257142857143</v>
      </c>
    </row>
    <row r="27" spans="1:47" x14ac:dyDescent="0.3">
      <c r="A27" t="s">
        <v>33</v>
      </c>
      <c r="B27">
        <v>2023</v>
      </c>
      <c r="C27" t="s">
        <v>31</v>
      </c>
      <c r="D27">
        <v>173.8</v>
      </c>
      <c r="E27">
        <v>210.7</v>
      </c>
      <c r="F27">
        <v>194.5</v>
      </c>
      <c r="G27">
        <v>174.6</v>
      </c>
      <c r="H27">
        <v>187.2</v>
      </c>
      <c r="I27">
        <v>158.30000000000001</v>
      </c>
      <c r="J27">
        <v>153.9</v>
      </c>
      <c r="K27">
        <v>170.9</v>
      </c>
      <c r="L27">
        <v>121.1</v>
      </c>
      <c r="M27">
        <v>208.4</v>
      </c>
      <c r="N27">
        <v>171.4</v>
      </c>
      <c r="O27">
        <v>191.2</v>
      </c>
      <c r="P27">
        <v>176.7</v>
      </c>
      <c r="Q27">
        <v>198.2</v>
      </c>
      <c r="R27">
        <v>184.9</v>
      </c>
      <c r="S27">
        <v>177.6</v>
      </c>
      <c r="T27">
        <v>183.8</v>
      </c>
      <c r="U27">
        <v>172.1</v>
      </c>
      <c r="V27">
        <v>182</v>
      </c>
      <c r="W27">
        <v>172.9</v>
      </c>
      <c r="X27">
        <v>182.3</v>
      </c>
      <c r="Y27">
        <v>163.6</v>
      </c>
      <c r="Z27">
        <v>169.5</v>
      </c>
      <c r="AA27">
        <v>174.3</v>
      </c>
      <c r="AB27">
        <v>178.6</v>
      </c>
      <c r="AC27">
        <v>172.8</v>
      </c>
      <c r="AD27" s="1">
        <v>176.5</v>
      </c>
      <c r="AE27" s="1">
        <v>177.92142857142855</v>
      </c>
      <c r="AF27" s="1">
        <v>182.1</v>
      </c>
      <c r="AG27" s="1">
        <v>172.5</v>
      </c>
      <c r="AH27" s="2">
        <f>All_India_Index_Upto_April23__1[[#This Row],[House]]/All_India_Index_Upto_April23__1[[#This Row],[TOTAL BROADER CATEGORIES]]</f>
        <v>9.8255806857156805E-2</v>
      </c>
      <c r="AI27" s="2">
        <f>All_India_Index_Upto_April23__1[[#This Row],[Cloth]]/All_India_Index_Upto_April23__1[[#This Row],[TOTAL BROADER CATEGORIES]]</f>
        <v>0.10372395610833771</v>
      </c>
      <c r="AJ27" s="2">
        <f>All_India_Index_Upto_April23__1[[#This Row],[Food]]/All_India_Index_Upto_April23__1[[#This Row],[TOTAL BROADER CATEGORIES]]</f>
        <v>0.10134384650123886</v>
      </c>
      <c r="AK27" s="2">
        <f>All_India_Index_Upto_April23__1[[#This Row],[Miscellaneous]]/All_India_Index_Upto_April23__1[[#This Row],[TOTAL BROADER CATEGORIES]]</f>
        <v>9.8426686521256218E-2</v>
      </c>
      <c r="AL27" s="2">
        <f>All_India_Index_Upto_April23__1[[#This Row],[Personal care and effects]]/All_India_Index_Upto_April23__1[[#This Row],[TOTAL BROADER CATEGORIES]]</f>
        <v>0.101730360027178</v>
      </c>
      <c r="AM27" s="2">
        <f>All_India_Index_Upto_April23__1[[#This Row],[Education]]/All_India_Index_Upto_April23__1[[#This Row],[TOTAL BROADER CATEGORIES]]</f>
        <v>9.9281084841753228E-2</v>
      </c>
      <c r="AN27" s="2">
        <f>All_India_Index_Upto_April23__1[[#This Row],[Recreation and amusement]]/All_India_Index_Upto_April23__1[[#This Row],[TOTAL BROADER CATEGORIES]]</f>
        <v>9.6547010216162771E-2</v>
      </c>
      <c r="AO27" s="2">
        <f>All_India_Index_Upto_April23__1[[#This Row],[Transport and communication]]/All_India_Index_Upto_April23__1[[#This Row],[TOTAL BROADER CATEGORIES]]</f>
        <v>9.3186376822207845E-2</v>
      </c>
      <c r="AP27" s="2">
        <f>All_India_Index_Upto_April23__1[[#This Row],[Health]]/All_India_Index_Upto_April23__1[[#This Row],[TOTAL BROADER CATEGORIES]]</f>
        <v>0.10383787588440398</v>
      </c>
      <c r="AQ27" s="2">
        <f>All_India_Index_Upto_April23__1[[#This Row],[Fuel and light]]/All_India_Index_Upto_April23__1[[#This Row],[TOTAL BROADER CATEGORIES]]</f>
        <v>0.10366699622030456</v>
      </c>
      <c r="AR27">
        <f>MONTH(1 &amp; All_India_Index_Upto_April23__1[[#This Row],[Month]])</f>
        <v>1</v>
      </c>
      <c r="AS27" s="19" t="str">
        <f>All_India_Index_Upto_April23__1[[#This Row],[MONTH IN NUM]]&amp;"/"&amp;All_India_Index_Upto_April23__1[[#This Row],[Year]]</f>
        <v>1/2023</v>
      </c>
      <c r="AT2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178.22857142857146</v>
      </c>
      <c r="AU2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1755.6214285714286</v>
      </c>
    </row>
    <row r="28" spans="1:47" x14ac:dyDescent="0.3">
      <c r="A28" t="s">
        <v>30</v>
      </c>
      <c r="B28">
        <v>2022</v>
      </c>
      <c r="C28" t="s">
        <v>41</v>
      </c>
      <c r="D28">
        <v>162.9</v>
      </c>
      <c r="E28">
        <v>206.7</v>
      </c>
      <c r="F28">
        <v>169</v>
      </c>
      <c r="G28">
        <v>169.5</v>
      </c>
      <c r="H28">
        <v>189.67500000000001</v>
      </c>
      <c r="I28">
        <v>164.1</v>
      </c>
      <c r="J28">
        <v>176.9</v>
      </c>
      <c r="K28">
        <v>169</v>
      </c>
      <c r="L28">
        <v>120.8</v>
      </c>
      <c r="M28">
        <v>199.1</v>
      </c>
      <c r="N28">
        <v>175.4</v>
      </c>
      <c r="O28">
        <v>184.8</v>
      </c>
      <c r="P28">
        <v>175.5</v>
      </c>
      <c r="Q28">
        <v>194.5</v>
      </c>
      <c r="R28">
        <v>184.7</v>
      </c>
      <c r="S28">
        <v>183.3</v>
      </c>
      <c r="T28">
        <v>184.5</v>
      </c>
      <c r="U28">
        <v>140.85</v>
      </c>
      <c r="V28">
        <v>179.7</v>
      </c>
      <c r="W28">
        <v>173.6</v>
      </c>
      <c r="X28">
        <v>180.2</v>
      </c>
      <c r="Y28">
        <v>166.9</v>
      </c>
      <c r="Z28">
        <v>170</v>
      </c>
      <c r="AA28">
        <v>176.2</v>
      </c>
      <c r="AB28">
        <v>170.8</v>
      </c>
      <c r="AC28">
        <v>173.1</v>
      </c>
      <c r="AD28" s="1">
        <v>176.4</v>
      </c>
      <c r="AE28" s="1">
        <v>175.87857142857143</v>
      </c>
      <c r="AF28" s="1">
        <v>184.16666666666666</v>
      </c>
      <c r="AG28" s="1">
        <v>157.22499999999999</v>
      </c>
      <c r="AH28" s="2">
        <f>All_India_Index_Upto_April23__1[[#This Row],[House]]/All_India_Index_Upto_April23__1[[#This Row],[TOTAL BROADER CATEGORIES]]</f>
        <v>9.066295600407219E-2</v>
      </c>
      <c r="AI28" s="2">
        <f>All_India_Index_Upto_April23__1[[#This Row],[Cloth]]/All_India_Index_Upto_April23__1[[#This Row],[TOTAL BROADER CATEGORIES]]</f>
        <v>0.10619872410505091</v>
      </c>
      <c r="AJ28" s="2">
        <f>All_India_Index_Upto_April23__1[[#This Row],[Food]]/All_India_Index_Upto_April23__1[[#This Row],[TOTAL BROADER CATEGORIES]]</f>
        <v>0.1014194382794571</v>
      </c>
      <c r="AK28" s="2">
        <f>All_India_Index_Upto_April23__1[[#This Row],[Miscellaneous]]/All_India_Index_Upto_April23__1[[#This Row],[TOTAL BROADER CATEGORIES]]</f>
        <v>9.9817189914484947E-2</v>
      </c>
      <c r="AL28" s="2">
        <f>All_India_Index_Upto_April23__1[[#This Row],[Personal care and effects]]/All_India_Index_Upto_April23__1[[#This Row],[TOTAL BROADER CATEGORIES]]</f>
        <v>9.8490907206204695E-2</v>
      </c>
      <c r="AM28" s="2">
        <f>All_India_Index_Upto_April23__1[[#This Row],[Education]]/All_India_Index_Upto_April23__1[[#This Row],[TOTAL BROADER CATEGORIES]]</f>
        <v>0.10160478834738444</v>
      </c>
      <c r="AN28" s="2">
        <f>All_India_Index_Upto_April23__1[[#This Row],[Recreation and amusement]]/All_India_Index_Upto_April23__1[[#This Row],[TOTAL BROADER CATEGORIES]]</f>
        <v>9.8029591481585451E-2</v>
      </c>
      <c r="AO28" s="2">
        <f>All_India_Index_Upto_April23__1[[#This Row],[Transport and communication]]/All_India_Index_Upto_April23__1[[#This Row],[TOTAL BROADER CATEGORIES]]</f>
        <v>9.6241993048685956E-2</v>
      </c>
      <c r="AP28" s="2">
        <f>All_India_Index_Upto_April23__1[[#This Row],[Health]]/All_India_Index_Upto_April23__1[[#This Row],[TOTAL BROADER CATEGORIES]]</f>
        <v>0.10391136697048058</v>
      </c>
      <c r="AQ28" s="2">
        <f>All_India_Index_Upto_April23__1[[#This Row],[Fuel and light]]/All_India_Index_Upto_April23__1[[#This Row],[TOTAL BROADER CATEGORIES]]</f>
        <v>0.10362304464259356</v>
      </c>
      <c r="AR28">
        <f>MONTH(1 &amp; All_India_Index_Upto_April23__1[[#This Row],[Month]])</f>
        <v>9</v>
      </c>
      <c r="AS28" s="19" t="str">
        <f>All_India_Index_Upto_April23__1[[#This Row],[MONTH IN NUM]]&amp;"/"&amp;All_India_Index_Upto_April23__1[[#This Row],[Year]]</f>
        <v>9/2022</v>
      </c>
      <c r="AT2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174.69285714285715</v>
      </c>
      <c r="AU2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1734.1702380952383</v>
      </c>
    </row>
    <row r="29" spans="1:47" x14ac:dyDescent="0.3">
      <c r="A29" t="s">
        <v>30</v>
      </c>
      <c r="B29">
        <v>2022</v>
      </c>
      <c r="C29" t="s">
        <v>40</v>
      </c>
      <c r="D29">
        <v>159.5</v>
      </c>
      <c r="E29">
        <v>204.1</v>
      </c>
      <c r="F29">
        <v>168.3</v>
      </c>
      <c r="G29">
        <v>167.9</v>
      </c>
      <c r="H29">
        <v>189.67500000000001</v>
      </c>
      <c r="I29">
        <v>169.2</v>
      </c>
      <c r="J29">
        <v>173.1</v>
      </c>
      <c r="K29">
        <v>167.1</v>
      </c>
      <c r="L29">
        <v>120.2</v>
      </c>
      <c r="M29">
        <v>195.6</v>
      </c>
      <c r="N29">
        <v>174.8</v>
      </c>
      <c r="O29">
        <v>184</v>
      </c>
      <c r="P29">
        <v>173.9</v>
      </c>
      <c r="Q29">
        <v>193.7</v>
      </c>
      <c r="R29">
        <v>183.2</v>
      </c>
      <c r="S29">
        <v>181.7</v>
      </c>
      <c r="T29">
        <v>183</v>
      </c>
      <c r="U29">
        <v>140.85</v>
      </c>
      <c r="V29">
        <v>179.1</v>
      </c>
      <c r="W29">
        <v>172.3</v>
      </c>
      <c r="X29">
        <v>179.4</v>
      </c>
      <c r="Y29">
        <v>166.6</v>
      </c>
      <c r="Z29">
        <v>169.3</v>
      </c>
      <c r="AA29">
        <v>175.7</v>
      </c>
      <c r="AB29">
        <v>171.1</v>
      </c>
      <c r="AC29">
        <v>172.6</v>
      </c>
      <c r="AD29" s="1">
        <v>175.3</v>
      </c>
      <c r="AE29" s="1">
        <v>174.96428571428569</v>
      </c>
      <c r="AF29" s="1">
        <v>182.63333333333333</v>
      </c>
      <c r="AG29" s="1">
        <v>156.57499999999999</v>
      </c>
      <c r="AH29" s="2">
        <f>All_India_Index_Upto_April23__1[[#This Row],[House]]/All_India_Index_Upto_April23__1[[#This Row],[TOTAL BROADER CATEGORIES]]</f>
        <v>9.0611968195593931E-2</v>
      </c>
      <c r="AI29" s="2">
        <f>All_India_Index_Upto_April23__1[[#This Row],[Cloth]]/All_India_Index_Upto_April23__1[[#This Row],[TOTAL BROADER CATEGORIES]]</f>
        <v>0.10569226116209679</v>
      </c>
      <c r="AJ29" s="2">
        <f>All_India_Index_Upto_April23__1[[#This Row],[Food]]/All_India_Index_Upto_April23__1[[#This Row],[TOTAL BROADER CATEGORIES]]</f>
        <v>0.10125408457613071</v>
      </c>
      <c r="AK29" s="2">
        <f>All_India_Index_Upto_April23__1[[#This Row],[Miscellaneous]]/All_India_Index_Upto_April23__1[[#This Row],[TOTAL BROADER CATEGORIES]]</f>
        <v>9.9885841996228728E-2</v>
      </c>
      <c r="AL29" s="2">
        <f>All_India_Index_Upto_April23__1[[#This Row],[Personal care and effects]]/All_India_Index_Upto_April23__1[[#This Row],[TOTAL BROADER CATEGORIES]]</f>
        <v>9.901777268571689E-2</v>
      </c>
      <c r="AM29" s="2">
        <f>All_India_Index_Upto_April23__1[[#This Row],[Education]]/All_India_Index_Upto_April23__1[[#This Row],[TOTAL BROADER CATEGORIES]]</f>
        <v>0.10167985190461985</v>
      </c>
      <c r="AN29" s="2">
        <f>All_India_Index_Upto_April23__1[[#This Row],[Recreation and amusement]]/All_India_Index_Upto_April23__1[[#This Row],[TOTAL BROADER CATEGORIES]]</f>
        <v>9.7976089513102688E-2</v>
      </c>
      <c r="AO29" s="2">
        <f>All_India_Index_Upto_April23__1[[#This Row],[Transport and communication]]/All_India_Index_Upto_April23__1[[#This Row],[TOTAL BROADER CATEGORIES]]</f>
        <v>9.6413564754181377E-2</v>
      </c>
      <c r="AP29" s="2">
        <f>All_India_Index_Upto_April23__1[[#This Row],[Health]]/All_India_Index_Upto_April23__1[[#This Row],[TOTAL BROADER CATEGORIES]]</f>
        <v>0.10382108953721572</v>
      </c>
      <c r="AQ29" s="2">
        <f>All_India_Index_Upto_April23__1[[#This Row],[Fuel and light]]/All_India_Index_Upto_April23__1[[#This Row],[TOTAL BROADER CATEGORIES]]</f>
        <v>0.10364747567511334</v>
      </c>
      <c r="AR29">
        <f>MONTH(1 &amp; All_India_Index_Upto_April23__1[[#This Row],[Month]])</f>
        <v>8</v>
      </c>
      <c r="AS29" s="19" t="str">
        <f>All_India_Index_Upto_April23__1[[#This Row],[MONTH IN NUM]]&amp;"/"&amp;All_India_Index_Upto_April23__1[[#This Row],[Year]]</f>
        <v>8/2022</v>
      </c>
      <c r="AT2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173.69285714285715</v>
      </c>
      <c r="AU2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1727.972619047619</v>
      </c>
    </row>
    <row r="30" spans="1:47" x14ac:dyDescent="0.3">
      <c r="A30" t="s">
        <v>32</v>
      </c>
      <c r="B30">
        <v>2022</v>
      </c>
      <c r="C30" t="s">
        <v>40</v>
      </c>
      <c r="D30">
        <v>162.1</v>
      </c>
      <c r="E30">
        <v>210.9</v>
      </c>
      <c r="F30">
        <v>170.6</v>
      </c>
      <c r="G30">
        <v>168.4</v>
      </c>
      <c r="H30">
        <v>182.5</v>
      </c>
      <c r="I30">
        <v>177.1</v>
      </c>
      <c r="J30">
        <v>213.1</v>
      </c>
      <c r="K30">
        <v>167.3</v>
      </c>
      <c r="L30">
        <v>122.2</v>
      </c>
      <c r="M30">
        <v>189.7</v>
      </c>
      <c r="N30">
        <v>160.5</v>
      </c>
      <c r="O30">
        <v>188.9</v>
      </c>
      <c r="P30">
        <v>180.4</v>
      </c>
      <c r="Q30">
        <v>198.7</v>
      </c>
      <c r="R30">
        <v>173.7</v>
      </c>
      <c r="S30">
        <v>160</v>
      </c>
      <c r="T30">
        <v>171.6</v>
      </c>
      <c r="U30">
        <v>169</v>
      </c>
      <c r="V30">
        <v>178.4</v>
      </c>
      <c r="W30">
        <v>164.2</v>
      </c>
      <c r="X30">
        <v>172.6</v>
      </c>
      <c r="Y30">
        <v>157.69999999999999</v>
      </c>
      <c r="Z30">
        <v>165.1</v>
      </c>
      <c r="AA30">
        <v>169.9</v>
      </c>
      <c r="AB30">
        <v>171.4</v>
      </c>
      <c r="AC30">
        <v>165.4</v>
      </c>
      <c r="AD30" s="1">
        <v>173.1</v>
      </c>
      <c r="AE30" s="1">
        <v>178.02857142857141</v>
      </c>
      <c r="AF30" s="1">
        <v>168.43333333333331</v>
      </c>
      <c r="AG30" s="1">
        <v>166.6</v>
      </c>
      <c r="AH30" s="2">
        <f>All_India_Index_Upto_April23__1[[#This Row],[House]]/All_India_Index_Upto_April23__1[[#This Row],[TOTAL BROADER CATEGORIES]]</f>
        <v>9.837254813748425E-2</v>
      </c>
      <c r="AI30" s="2">
        <f>All_India_Index_Upto_April23__1[[#This Row],[Cloth]]/All_India_Index_Upto_April23__1[[#This Row],[TOTAL BROADER CATEGORIES]]</f>
        <v>9.9455079179413333E-2</v>
      </c>
      <c r="AJ30" s="2">
        <f>All_India_Index_Upto_April23__1[[#This Row],[Food]]/All_India_Index_Upto_April23__1[[#This Row],[TOTAL BROADER CATEGORIES]]</f>
        <v>0.10512079359366563</v>
      </c>
      <c r="AK30" s="2">
        <f>All_India_Index_Upto_April23__1[[#This Row],[Miscellaneous]]/All_India_Index_Upto_April23__1[[#This Row],[TOTAL BROADER CATEGORIES]]</f>
        <v>9.7663982364585206E-2</v>
      </c>
      <c r="AL30" s="2">
        <f>All_India_Index_Upto_April23__1[[#This Row],[Personal care and effects]]/All_India_Index_Upto_April23__1[[#This Row],[TOTAL BROADER CATEGORIES]]</f>
        <v>0.10120681122908044</v>
      </c>
      <c r="AM30" s="2">
        <f>All_India_Index_Upto_April23__1[[#This Row],[Education]]/All_India_Index_Upto_April23__1[[#This Row],[TOTAL BROADER CATEGORIES]]</f>
        <v>0.10032110401295663</v>
      </c>
      <c r="AN30" s="2">
        <f>All_India_Index_Upto_April23__1[[#This Row],[Recreation and amusement]]/All_India_Index_Upto_April23__1[[#This Row],[TOTAL BROADER CATEGORIES]]</f>
        <v>9.7486840921360438E-2</v>
      </c>
      <c r="AO30" s="2">
        <f>All_India_Index_Upto_April23__1[[#This Row],[Transport and communication]]/All_India_Index_Upto_April23__1[[#This Row],[TOTAL BROADER CATEGORIES]]</f>
        <v>9.3117351988482991E-2</v>
      </c>
      <c r="AP30" s="2">
        <f>All_India_Index_Upto_April23__1[[#This Row],[Health]]/All_India_Index_Upto_April23__1[[#This Row],[TOTAL BROADER CATEGORIES]]</f>
        <v>0.10191537700197949</v>
      </c>
      <c r="AQ30" s="2">
        <f>All_India_Index_Upto_April23__1[[#This Row],[Fuel and light]]/All_India_Index_Upto_April23__1[[#This Row],[TOTAL BROADER CATEGORIES]]</f>
        <v>0.10534011157099155</v>
      </c>
      <c r="AR30">
        <f>MONTH(1 &amp; All_India_Index_Upto_April23__1[[#This Row],[Month]])</f>
        <v>8</v>
      </c>
      <c r="AS30" s="19" t="str">
        <f>All_India_Index_Upto_April23__1[[#This Row],[MONTH IN NUM]]&amp;"/"&amp;All_India_Index_Upto_April23__1[[#This Row],[Year]]</f>
        <v>8/2022</v>
      </c>
      <c r="AT3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169.54285714285714</v>
      </c>
      <c r="AU3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1693.5619047619048</v>
      </c>
    </row>
    <row r="31" spans="1:47" x14ac:dyDescent="0.3">
      <c r="A31" t="s">
        <v>33</v>
      </c>
      <c r="B31">
        <v>2023</v>
      </c>
      <c r="C31" t="s">
        <v>34</v>
      </c>
      <c r="D31">
        <v>174.4</v>
      </c>
      <c r="E31">
        <v>207.7</v>
      </c>
      <c r="F31">
        <v>175.2</v>
      </c>
      <c r="G31">
        <v>177.3</v>
      </c>
      <c r="H31">
        <v>179.3</v>
      </c>
      <c r="I31">
        <v>169.5</v>
      </c>
      <c r="J31">
        <v>152.69999999999999</v>
      </c>
      <c r="K31">
        <v>171</v>
      </c>
      <c r="L31">
        <v>120</v>
      </c>
      <c r="M31">
        <v>209.7</v>
      </c>
      <c r="N31">
        <v>172.3</v>
      </c>
      <c r="O31">
        <v>193</v>
      </c>
      <c r="P31">
        <v>177</v>
      </c>
      <c r="Q31">
        <v>199.5</v>
      </c>
      <c r="R31">
        <v>186.2</v>
      </c>
      <c r="S31">
        <v>178.7</v>
      </c>
      <c r="T31">
        <v>185.1</v>
      </c>
      <c r="U31">
        <v>173.5</v>
      </c>
      <c r="V31">
        <v>182.1</v>
      </c>
      <c r="W31">
        <v>174.2</v>
      </c>
      <c r="X31">
        <v>184.4</v>
      </c>
      <c r="Y31">
        <v>164.2</v>
      </c>
      <c r="Z31">
        <v>170.3</v>
      </c>
      <c r="AA31">
        <v>175</v>
      </c>
      <c r="AB31">
        <v>181</v>
      </c>
      <c r="AC31">
        <v>174.1</v>
      </c>
      <c r="AD31" s="1">
        <v>177.2</v>
      </c>
      <c r="AE31" s="1">
        <v>177.04285714285714</v>
      </c>
      <c r="AF31" s="1">
        <v>183.33333333333334</v>
      </c>
      <c r="AG31" s="1">
        <v>173.85</v>
      </c>
      <c r="AH31" s="2">
        <f>All_India_Index_Upto_April23__1[[#This Row],[House]]/All_India_Index_Upto_April23__1[[#This Row],[TOTAL BROADER CATEGORIES]]</f>
        <v>9.8480383363657331E-2</v>
      </c>
      <c r="AI31" s="2">
        <f>All_India_Index_Upto_April23__1[[#This Row],[Cloth]]/All_India_Index_Upto_April23__1[[#This Row],[TOTAL BROADER CATEGORIES]]</f>
        <v>0.1038523839517046</v>
      </c>
      <c r="AJ31" s="2">
        <f>All_India_Index_Upto_April23__1[[#This Row],[Food]]/All_India_Index_Upto_April23__1[[#This Row],[TOTAL BROADER CATEGORIES]]</f>
        <v>0.10028903332312793</v>
      </c>
      <c r="AK31" s="2">
        <f>All_India_Index_Upto_April23__1[[#This Row],[Miscellaneous]]/All_India_Index_Upto_April23__1[[#This Row],[TOTAL BROADER CATEGORIES]]</f>
        <v>9.8622000250864192E-2</v>
      </c>
      <c r="AL31" s="2">
        <f>All_India_Index_Upto_April23__1[[#This Row],[Personal care and effects]]/All_India_Index_Upto_April23__1[[#This Row],[TOTAL BROADER CATEGORIES]]</f>
        <v>0.10253062633777381</v>
      </c>
      <c r="AM31" s="2">
        <f>All_India_Index_Upto_April23__1[[#This Row],[Education]]/All_India_Index_Upto_April23__1[[#This Row],[TOTAL BROADER CATEGORIES]]</f>
        <v>9.9131821044808929E-2</v>
      </c>
      <c r="AN31" s="2">
        <f>All_India_Index_Upto_April23__1[[#This Row],[Recreation and amusement]]/All_India_Index_Upto_April23__1[[#This Row],[TOTAL BROADER CATEGORIES]]</f>
        <v>9.6469423565319776E-2</v>
      </c>
      <c r="AO31" s="2">
        <f>All_India_Index_Upto_April23__1[[#This Row],[Transport and communication]]/All_India_Index_Upto_April23__1[[#This Row],[TOTAL BROADER CATEGORIES]]</f>
        <v>9.3013971517472149E-2</v>
      </c>
      <c r="AP31" s="2">
        <f>All_India_Index_Upto_April23__1[[#This Row],[Health]]/All_India_Index_Upto_April23__1[[#This Row],[TOTAL BROADER CATEGORIES]]</f>
        <v>0.10445661600378724</v>
      </c>
      <c r="AQ31" s="2">
        <f>All_India_Index_Upto_April23__1[[#This Row],[Fuel and light]]/All_India_Index_Upto_April23__1[[#This Row],[TOTAL BROADER CATEGORIES]]</f>
        <v>0.10315374064148403</v>
      </c>
      <c r="AR31">
        <f>MONTH(1 &amp; All_India_Index_Upto_April23__1[[#This Row],[Month]])</f>
        <v>2</v>
      </c>
      <c r="AS31" s="19" t="str">
        <f>All_India_Index_Upto_April23__1[[#This Row],[MONTH IN NUM]]&amp;"/"&amp;All_India_Index_Upto_April23__1[[#This Row],[Year]]</f>
        <v>2/2023</v>
      </c>
      <c r="AT3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179.25714285714284</v>
      </c>
      <c r="AU3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1765.3261904761905</v>
      </c>
    </row>
    <row r="32" spans="1:47" x14ac:dyDescent="0.3">
      <c r="A32" t="s">
        <v>33</v>
      </c>
      <c r="B32">
        <v>2023</v>
      </c>
      <c r="C32" t="s">
        <v>35</v>
      </c>
      <c r="D32">
        <v>174.4</v>
      </c>
      <c r="E32">
        <v>207.7</v>
      </c>
      <c r="F32">
        <v>175.2</v>
      </c>
      <c r="G32">
        <v>177.3</v>
      </c>
      <c r="H32">
        <v>179.2</v>
      </c>
      <c r="I32">
        <v>169.5</v>
      </c>
      <c r="J32">
        <v>152.80000000000001</v>
      </c>
      <c r="K32">
        <v>171.1</v>
      </c>
      <c r="L32">
        <v>120</v>
      </c>
      <c r="M32">
        <v>209.7</v>
      </c>
      <c r="N32">
        <v>172.3</v>
      </c>
      <c r="O32">
        <v>193</v>
      </c>
      <c r="P32">
        <v>177</v>
      </c>
      <c r="Q32">
        <v>199.5</v>
      </c>
      <c r="R32">
        <v>186.1</v>
      </c>
      <c r="S32">
        <v>178.7</v>
      </c>
      <c r="T32">
        <v>185.1</v>
      </c>
      <c r="U32">
        <v>173.5</v>
      </c>
      <c r="V32">
        <v>181.9</v>
      </c>
      <c r="W32">
        <v>174.2</v>
      </c>
      <c r="X32">
        <v>184.4</v>
      </c>
      <c r="Y32">
        <v>164.2</v>
      </c>
      <c r="Z32">
        <v>170.3</v>
      </c>
      <c r="AA32">
        <v>175</v>
      </c>
      <c r="AB32">
        <v>181</v>
      </c>
      <c r="AC32">
        <v>174.1</v>
      </c>
      <c r="AD32" s="1">
        <v>177.2</v>
      </c>
      <c r="AE32" s="1">
        <v>177.04999999999998</v>
      </c>
      <c r="AF32" s="1">
        <v>183.29999999999998</v>
      </c>
      <c r="AG32" s="1">
        <v>173.85</v>
      </c>
      <c r="AH32" s="2">
        <f>All_India_Index_Upto_April23__1[[#This Row],[House]]/All_India_Index_Upto_April23__1[[#This Row],[TOTAL BROADER CATEGORIES]]</f>
        <v>9.8493003229278786E-2</v>
      </c>
      <c r="AI32" s="2">
        <f>All_India_Index_Upto_April23__1[[#This Row],[Cloth]]/All_India_Index_Upto_April23__1[[#This Row],[TOTAL BROADER CATEGORIES]]</f>
        <v>0.10384680754631465</v>
      </c>
      <c r="AJ32" s="2">
        <f>All_India_Index_Upto_April23__1[[#This Row],[Food]]/All_India_Index_Upto_April23__1[[#This Row],[TOTAL BROADER CATEGORIES]]</f>
        <v>0.10030593167525917</v>
      </c>
      <c r="AK32" s="2">
        <f>All_India_Index_Upto_April23__1[[#This Row],[Miscellaneous]]/All_India_Index_Upto_April23__1[[#This Row],[TOTAL BROADER CATEGORIES]]</f>
        <v>9.8634638264121E-2</v>
      </c>
      <c r="AL32" s="2">
        <f>All_India_Index_Upto_April23__1[[#This Row],[Personal care and effects]]/All_India_Index_Upto_April23__1[[#This Row],[TOTAL BROADER CATEGORIES]]</f>
        <v>0.10254376522576623</v>
      </c>
      <c r="AM32" s="2">
        <f>All_India_Index_Upto_April23__1[[#This Row],[Education]]/All_India_Index_Upto_April23__1[[#This Row],[TOTAL BROADER CATEGORIES]]</f>
        <v>9.9144524389552999E-2</v>
      </c>
      <c r="AN32" s="2">
        <f>All_India_Index_Upto_April23__1[[#This Row],[Recreation and amusement]]/All_India_Index_Upto_April23__1[[#This Row],[TOTAL BROADER CATEGORIES]]</f>
        <v>9.6481785734519293E-2</v>
      </c>
      <c r="AO32" s="2">
        <f>All_India_Index_Upto_April23__1[[#This Row],[Transport and communication]]/All_India_Index_Upto_April23__1[[#This Row],[TOTAL BROADER CATEGORIES]]</f>
        <v>9.3025890884369147E-2</v>
      </c>
      <c r="AP32" s="2">
        <f>All_India_Index_Upto_April23__1[[#This Row],[Health]]/All_India_Index_Upto_April23__1[[#This Row],[TOTAL BROADER CATEGORIES]]</f>
        <v>0.10447000169962041</v>
      </c>
      <c r="AQ32" s="2">
        <f>All_India_Index_Upto_April23__1[[#This Row],[Fuel and light]]/All_India_Index_Upto_April23__1[[#This Row],[TOTAL BROADER CATEGORIES]]</f>
        <v>0.10305365135119823</v>
      </c>
      <c r="AR32">
        <f>MONTH(1 &amp; All_India_Index_Upto_April23__1[[#This Row],[Month]])</f>
        <v>3</v>
      </c>
      <c r="AS32" s="19" t="str">
        <f>All_India_Index_Upto_April23__1[[#This Row],[MONTH IN NUM]]&amp;"/"&amp;All_India_Index_Upto_April23__1[[#This Row],[Year]]</f>
        <v>3/2023</v>
      </c>
      <c r="AT3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179.21428571428572</v>
      </c>
      <c r="AU3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1765.1000000000001</v>
      </c>
    </row>
    <row r="33" spans="1:47" x14ac:dyDescent="0.3">
      <c r="A33" t="s">
        <v>30</v>
      </c>
      <c r="B33">
        <v>2022</v>
      </c>
      <c r="C33" t="s">
        <v>39</v>
      </c>
      <c r="D33">
        <v>155.19999999999999</v>
      </c>
      <c r="E33">
        <v>210.8</v>
      </c>
      <c r="F33">
        <v>174.3</v>
      </c>
      <c r="G33">
        <v>166.3</v>
      </c>
      <c r="H33">
        <v>189.67500000000001</v>
      </c>
      <c r="I33">
        <v>169.6</v>
      </c>
      <c r="J33">
        <v>168.6</v>
      </c>
      <c r="K33">
        <v>164.4</v>
      </c>
      <c r="L33">
        <v>119.2</v>
      </c>
      <c r="M33">
        <v>191.8</v>
      </c>
      <c r="N33">
        <v>174.5</v>
      </c>
      <c r="O33">
        <v>183.1</v>
      </c>
      <c r="P33">
        <v>172.5</v>
      </c>
      <c r="Q33">
        <v>193.2</v>
      </c>
      <c r="R33">
        <v>182</v>
      </c>
      <c r="S33">
        <v>180.3</v>
      </c>
      <c r="T33">
        <v>181.7</v>
      </c>
      <c r="U33">
        <v>140.85</v>
      </c>
      <c r="V33">
        <v>179.6</v>
      </c>
      <c r="W33">
        <v>171.3</v>
      </c>
      <c r="X33">
        <v>178.8</v>
      </c>
      <c r="Y33">
        <v>166.3</v>
      </c>
      <c r="Z33">
        <v>168.6</v>
      </c>
      <c r="AA33">
        <v>174.7</v>
      </c>
      <c r="AB33">
        <v>169.7</v>
      </c>
      <c r="AC33">
        <v>171.8</v>
      </c>
      <c r="AD33" s="1">
        <v>174.3</v>
      </c>
      <c r="AE33" s="1">
        <v>174.69285714285712</v>
      </c>
      <c r="AF33" s="1">
        <v>181.33333333333334</v>
      </c>
      <c r="AG33" s="1">
        <v>156.07499999999999</v>
      </c>
      <c r="AH33" s="2">
        <f>All_India_Index_Upto_April23__1[[#This Row],[House]]/All_India_Index_Upto_April23__1[[#This Row],[TOTAL BROADER CATEGORIES]]</f>
        <v>9.0656884337324412E-2</v>
      </c>
      <c r="AI33" s="2">
        <f>All_India_Index_Upto_April23__1[[#This Row],[Cloth]]/All_India_Index_Upto_April23__1[[#This Row],[TOTAL BROADER CATEGORIES]]</f>
        <v>0.10532830386994391</v>
      </c>
      <c r="AJ33" s="2">
        <f>All_India_Index_Upto_April23__1[[#This Row],[Food]]/All_India_Index_Upto_April23__1[[#This Row],[TOTAL BROADER CATEGORIES]]</f>
        <v>0.10147115261609314</v>
      </c>
      <c r="AK33" s="2">
        <f>All_India_Index_Upto_April23__1[[#This Row],[Miscellaneous]]/All_India_Index_Upto_April23__1[[#This Row],[TOTAL BROADER CATEGORIES]]</f>
        <v>9.9790823188546124E-2</v>
      </c>
      <c r="AL33" s="2">
        <f>All_India_Index_Upto_April23__1[[#This Row],[Personal care and effects]]/All_India_Index_Upto_April23__1[[#This Row],[TOTAL BROADER CATEGORIES]]</f>
        <v>9.8571028492993457E-2</v>
      </c>
      <c r="AM33" s="2">
        <f>All_India_Index_Upto_April23__1[[#This Row],[Education]]/All_India_Index_Upto_April23__1[[#This Row],[TOTAL BROADER CATEGORIES]]</f>
        <v>0.10147530157764265</v>
      </c>
      <c r="AN33" s="2">
        <f>All_India_Index_Upto_April23__1[[#This Row],[Recreation and amusement]]/All_India_Index_Upto_April23__1[[#This Row],[TOTAL BROADER CATEGORIES]]</f>
        <v>9.7932088414370635E-2</v>
      </c>
      <c r="AO33" s="2">
        <f>All_India_Index_Upto_April23__1[[#This Row],[Transport and communication]]/All_India_Index_Upto_April23__1[[#This Row],[TOTAL BROADER CATEGORIES]]</f>
        <v>9.6596122795432018E-2</v>
      </c>
      <c r="AP33" s="2">
        <f>All_India_Index_Upto_April23__1[[#This Row],[Health]]/All_India_Index_Upto_April23__1[[#This Row],[TOTAL BROADER CATEGORIES]]</f>
        <v>0.10385680550705499</v>
      </c>
      <c r="AQ33" s="2">
        <f>All_India_Index_Upto_April23__1[[#This Row],[Fuel and light]]/All_India_Index_Upto_April23__1[[#This Row],[TOTAL BROADER CATEGORIES]]</f>
        <v>0.10432148920059885</v>
      </c>
      <c r="AR33">
        <f>MONTH(1 &amp; All_India_Index_Upto_April23__1[[#This Row],[Month]])</f>
        <v>7</v>
      </c>
      <c r="AS33" s="19" t="str">
        <f>All_India_Index_Upto_April23__1[[#This Row],[MONTH IN NUM]]&amp;"/"&amp;All_India_Index_Upto_April23__1[[#This Row],[Year]]</f>
        <v>7/2022</v>
      </c>
      <c r="AT3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172.92142857142858</v>
      </c>
      <c r="AU3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1721.6011904761901</v>
      </c>
    </row>
    <row r="34" spans="1:47" x14ac:dyDescent="0.3">
      <c r="A34" t="s">
        <v>32</v>
      </c>
      <c r="B34">
        <v>2022</v>
      </c>
      <c r="C34" t="s">
        <v>39</v>
      </c>
      <c r="D34">
        <v>159.30000000000001</v>
      </c>
      <c r="E34">
        <v>217.1</v>
      </c>
      <c r="F34">
        <v>176.6</v>
      </c>
      <c r="G34">
        <v>167.1</v>
      </c>
      <c r="H34">
        <v>184.8</v>
      </c>
      <c r="I34">
        <v>179.5</v>
      </c>
      <c r="J34">
        <v>208.5</v>
      </c>
      <c r="K34">
        <v>164</v>
      </c>
      <c r="L34">
        <v>121.5</v>
      </c>
      <c r="M34">
        <v>186.3</v>
      </c>
      <c r="N34">
        <v>159.80000000000001</v>
      </c>
      <c r="O34">
        <v>187.7</v>
      </c>
      <c r="P34">
        <v>179.4</v>
      </c>
      <c r="Q34">
        <v>198.6</v>
      </c>
      <c r="R34">
        <v>172.7</v>
      </c>
      <c r="S34">
        <v>158.69999999999999</v>
      </c>
      <c r="T34">
        <v>170.6</v>
      </c>
      <c r="U34">
        <v>167.8</v>
      </c>
      <c r="V34">
        <v>179.5</v>
      </c>
      <c r="W34">
        <v>163.1</v>
      </c>
      <c r="X34">
        <v>171.7</v>
      </c>
      <c r="Y34">
        <v>157.4</v>
      </c>
      <c r="Z34">
        <v>164.6</v>
      </c>
      <c r="AA34">
        <v>169.1</v>
      </c>
      <c r="AB34">
        <v>169.8</v>
      </c>
      <c r="AC34">
        <v>164.7</v>
      </c>
      <c r="AD34" s="1">
        <v>172.3</v>
      </c>
      <c r="AE34" s="1">
        <v>177.87142857142857</v>
      </c>
      <c r="AF34" s="1">
        <v>167.33333333333334</v>
      </c>
      <c r="AG34" s="1">
        <v>165.45</v>
      </c>
      <c r="AH34" s="2">
        <f>All_India_Index_Upto_April23__1[[#This Row],[House]]/All_India_Index_Upto_April23__1[[#This Row],[TOTAL BROADER CATEGORIES]]</f>
        <v>9.8047072866856377E-2</v>
      </c>
      <c r="AI34" s="2">
        <f>All_India_Index_Upto_April23__1[[#This Row],[Cloth]]/All_India_Index_Upto_April23__1[[#This Row],[TOTAL BROADER CATEGORIES]]</f>
        <v>9.9163152169158678E-2</v>
      </c>
      <c r="AJ34" s="2">
        <f>All_India_Index_Upto_April23__1[[#This Row],[Food]]/All_India_Index_Upto_April23__1[[#This Row],[TOTAL BROADER CATEGORIES]]</f>
        <v>0.10540811676080204</v>
      </c>
      <c r="AK34" s="2">
        <f>All_India_Index_Upto_April23__1[[#This Row],[Miscellaneous]]/All_India_Index_Upto_April23__1[[#This Row],[TOTAL BROADER CATEGORIES]]</f>
        <v>9.7602616507532464E-2</v>
      </c>
      <c r="AL34" s="2">
        <f>All_India_Index_Upto_April23__1[[#This Row],[Personal care and effects]]/All_India_Index_Upto_April23__1[[#This Row],[TOTAL BROADER CATEGORIES]]</f>
        <v>0.10062491975093511</v>
      </c>
      <c r="AM34" s="2">
        <f>All_India_Index_Upto_April23__1[[#This Row],[Education]]/All_India_Index_Upto_April23__1[[#This Row],[TOTAL BROADER CATEGORIES]]</f>
        <v>0.10021009381556611</v>
      </c>
      <c r="AN34" s="2">
        <f>All_India_Index_Upto_April23__1[[#This Row],[Recreation and amusement]]/All_India_Index_Upto_April23__1[[#This Row],[TOTAL BROADER CATEGORIES]]</f>
        <v>9.7543355659622605E-2</v>
      </c>
      <c r="AO34" s="2">
        <f>All_India_Index_Upto_April23__1[[#This Row],[Transport and communication]]/All_India_Index_Upto_April23__1[[#This Row],[TOTAL BROADER CATEGORIES]]</f>
        <v>9.3276574610113003E-2</v>
      </c>
      <c r="AP34" s="2">
        <f>All_India_Index_Upto_April23__1[[#This Row],[Health]]/All_India_Index_Upto_April23__1[[#This Row],[TOTAL BROADER CATEGORIES]]</f>
        <v>0.10175087586122236</v>
      </c>
      <c r="AQ34" s="2">
        <f>All_India_Index_Upto_April23__1[[#This Row],[Fuel and light]]/All_India_Index_Upto_April23__1[[#This Row],[TOTAL BROADER CATEGORIES]]</f>
        <v>0.10637322199819112</v>
      </c>
      <c r="AR34">
        <f>MONTH(1 &amp; All_India_Index_Upto_April23__1[[#This Row],[Month]])</f>
        <v>7</v>
      </c>
      <c r="AS34" s="19" t="str">
        <f>All_India_Index_Upto_April23__1[[#This Row],[MONTH IN NUM]]&amp;"/"&amp;All_India_Index_Upto_April23__1[[#This Row],[Year]]</f>
        <v>7/2022</v>
      </c>
      <c r="AT3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168.78571428571428</v>
      </c>
      <c r="AU3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1687.4547619047621</v>
      </c>
    </row>
    <row r="35" spans="1:47" x14ac:dyDescent="0.3">
      <c r="A35" t="s">
        <v>32</v>
      </c>
      <c r="B35">
        <v>2022</v>
      </c>
      <c r="C35" t="s">
        <v>38</v>
      </c>
      <c r="D35">
        <v>157.5</v>
      </c>
      <c r="E35">
        <v>223.4</v>
      </c>
      <c r="F35">
        <v>172.8</v>
      </c>
      <c r="G35">
        <v>166.4</v>
      </c>
      <c r="H35">
        <v>188.6</v>
      </c>
      <c r="I35">
        <v>174.1</v>
      </c>
      <c r="J35">
        <v>211.5</v>
      </c>
      <c r="K35">
        <v>163.6</v>
      </c>
      <c r="L35">
        <v>121.4</v>
      </c>
      <c r="M35">
        <v>183.5</v>
      </c>
      <c r="N35">
        <v>159.1</v>
      </c>
      <c r="O35">
        <v>186.3</v>
      </c>
      <c r="P35">
        <v>179.3</v>
      </c>
      <c r="Q35">
        <v>198.3</v>
      </c>
      <c r="R35">
        <v>171.6</v>
      </c>
      <c r="S35">
        <v>157.4</v>
      </c>
      <c r="T35">
        <v>169.4</v>
      </c>
      <c r="U35">
        <v>166.8</v>
      </c>
      <c r="V35">
        <v>174.9</v>
      </c>
      <c r="W35">
        <v>162.1</v>
      </c>
      <c r="X35">
        <v>170.9</v>
      </c>
      <c r="Y35">
        <v>157.19999999999999</v>
      </c>
      <c r="Z35">
        <v>164.1</v>
      </c>
      <c r="AA35">
        <v>166.5</v>
      </c>
      <c r="AB35">
        <v>169.2</v>
      </c>
      <c r="AC35">
        <v>163.80000000000001</v>
      </c>
      <c r="AD35" s="1">
        <v>171.4</v>
      </c>
      <c r="AE35" s="1">
        <v>177.55714285714288</v>
      </c>
      <c r="AF35" s="1">
        <v>166.13333333333333</v>
      </c>
      <c r="AG35" s="1">
        <v>164.45</v>
      </c>
      <c r="AH35" s="2">
        <f>All_India_Index_Upto_April23__1[[#This Row],[House]]/All_India_Index_Upto_April23__1[[#This Row],[TOTAL BROADER CATEGORIES]]</f>
        <v>9.8194318664867747E-2</v>
      </c>
      <c r="AI35" s="2">
        <f>All_India_Index_Upto_April23__1[[#This Row],[Cloth]]/All_India_Index_Upto_April23__1[[#This Row],[TOTAL BROADER CATEGORIES]]</f>
        <v>9.9199449523806799E-2</v>
      </c>
      <c r="AJ35" s="2">
        <f>All_India_Index_Upto_April23__1[[#This Row],[Food]]/All_India_Index_Upto_April23__1[[#This Row],[TOTAL BROADER CATEGORIES]]</f>
        <v>0.10602069119451343</v>
      </c>
      <c r="AK35" s="2">
        <f>All_India_Index_Upto_April23__1[[#This Row],[Miscellaneous]]/All_India_Index_Upto_April23__1[[#This Row],[TOTAL BROADER CATEGORIES]]</f>
        <v>9.7806198828247731E-2</v>
      </c>
      <c r="AL35" s="2">
        <f>All_India_Index_Upto_April23__1[[#This Row],[Personal care and effects]]/All_India_Index_Upto_April23__1[[#This Row],[TOTAL BROADER CATEGORIES]]</f>
        <v>0.10103057900939874</v>
      </c>
      <c r="AM35" s="2">
        <f>All_India_Index_Upto_April23__1[[#This Row],[Education]]/All_India_Index_Upto_April23__1[[#This Row],[TOTAL BROADER CATEGORIES]]</f>
        <v>9.9418388918823236E-2</v>
      </c>
      <c r="AN35" s="2">
        <f>All_India_Index_Upto_April23__1[[#This Row],[Recreation and amusement]]/All_India_Index_Upto_April23__1[[#This Row],[TOTAL BROADER CATEGORIES]]</f>
        <v>9.7985331060533892E-2</v>
      </c>
      <c r="AO35" s="2">
        <f>All_India_Index_Upto_April23__1[[#This Row],[Transport and communication]]/All_India_Index_Upto_April23__1[[#This Row],[TOTAL BROADER CATEGORIES]]</f>
        <v>9.3865289717952022E-2</v>
      </c>
      <c r="AP35" s="2">
        <f>All_India_Index_Upto_April23__1[[#This Row],[Health]]/All_India_Index_Upto_April23__1[[#This Row],[TOTAL BROADER CATEGORIES]]</f>
        <v>0.10204566165902038</v>
      </c>
      <c r="AQ35" s="2">
        <f>All_India_Index_Upto_April23__1[[#This Row],[Fuel and light]]/All_India_Index_Upto_April23__1[[#This Row],[TOTAL BROADER CATEGORIES]]</f>
        <v>0.10443409142283594</v>
      </c>
      <c r="AR35">
        <f>MONTH(1 &amp; All_India_Index_Upto_April23__1[[#This Row],[Month]])</f>
        <v>6</v>
      </c>
      <c r="AS35" s="19" t="str">
        <f>All_India_Index_Upto_April23__1[[#This Row],[MONTH IN NUM]]&amp;"/"&amp;All_India_Index_Upto_April23__1[[#This Row],[Year]]</f>
        <v>6/2022</v>
      </c>
      <c r="AT3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166.95714285714283</v>
      </c>
      <c r="AU3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1674.7404761904763</v>
      </c>
    </row>
    <row r="36" spans="1:47" x14ac:dyDescent="0.3">
      <c r="A36" t="s">
        <v>33</v>
      </c>
      <c r="B36">
        <v>2023</v>
      </c>
      <c r="C36" t="s">
        <v>36</v>
      </c>
      <c r="D36">
        <v>173.8</v>
      </c>
      <c r="E36">
        <v>209.3</v>
      </c>
      <c r="F36">
        <v>169.6</v>
      </c>
      <c r="G36">
        <v>178.4</v>
      </c>
      <c r="H36">
        <v>174.9</v>
      </c>
      <c r="I36">
        <v>176.3</v>
      </c>
      <c r="J36">
        <v>155.4</v>
      </c>
      <c r="K36">
        <v>173.4</v>
      </c>
      <c r="L36">
        <v>121.3</v>
      </c>
      <c r="M36">
        <v>212.9</v>
      </c>
      <c r="N36">
        <v>172.9</v>
      </c>
      <c r="O36">
        <v>193.5</v>
      </c>
      <c r="P36">
        <v>177.9</v>
      </c>
      <c r="Q36">
        <v>200.6</v>
      </c>
      <c r="R36">
        <v>186.9</v>
      </c>
      <c r="S36">
        <v>179.2</v>
      </c>
      <c r="T36">
        <v>185.7</v>
      </c>
      <c r="U36">
        <v>175.2</v>
      </c>
      <c r="V36">
        <v>181.7</v>
      </c>
      <c r="W36">
        <v>174.6</v>
      </c>
      <c r="X36">
        <v>185</v>
      </c>
      <c r="Y36">
        <v>164.5</v>
      </c>
      <c r="Z36">
        <v>170.7</v>
      </c>
      <c r="AA36">
        <v>176.4</v>
      </c>
      <c r="AB36">
        <v>184</v>
      </c>
      <c r="AC36">
        <v>175</v>
      </c>
      <c r="AD36" s="1">
        <v>178.1</v>
      </c>
      <c r="AE36" s="1">
        <v>177.87142857142859</v>
      </c>
      <c r="AF36" s="1">
        <v>183.93333333333331</v>
      </c>
      <c r="AG36" s="1">
        <v>174.89999999999998</v>
      </c>
      <c r="AH36" s="2">
        <f>All_India_Index_Upto_April23__1[[#This Row],[House]]/All_India_Index_Upto_April23__1[[#This Row],[TOTAL BROADER CATEGORIES]]</f>
        <v>9.8590490711089496E-2</v>
      </c>
      <c r="AI36" s="2">
        <f>All_India_Index_Upto_April23__1[[#This Row],[Cloth]]/All_India_Index_Upto_April23__1[[#This Row],[TOTAL BROADER CATEGORIES]]</f>
        <v>0.10368254769273715</v>
      </c>
      <c r="AJ36" s="2">
        <f>All_India_Index_Upto_April23__1[[#This Row],[Food]]/All_India_Index_Upto_April23__1[[#This Row],[TOTAL BROADER CATEGORIES]]</f>
        <v>0.10026547413573271</v>
      </c>
      <c r="AK36" s="2">
        <f>All_India_Index_Upto_April23__1[[#This Row],[Miscellaneous]]/All_India_Index_Upto_April23__1[[#This Row],[TOTAL BROADER CATEGORIES]]</f>
        <v>9.8646860345572698E-2</v>
      </c>
      <c r="AL36" s="2">
        <f>All_India_Index_Upto_April23__1[[#This Row],[Personal care and effects]]/All_India_Index_Upto_April23__1[[#This Row],[TOTAL BROADER CATEGORIES]]</f>
        <v>0.10372012744905929</v>
      </c>
      <c r="AM36" s="2">
        <f>All_India_Index_Upto_April23__1[[#This Row],[Education]]/All_India_Index_Upto_April23__1[[#This Row],[TOTAL BROADER CATEGORIES]]</f>
        <v>9.9436035228337272E-2</v>
      </c>
      <c r="AN36" s="2">
        <f>All_India_Index_Upto_April23__1[[#This Row],[Recreation and amusement]]/All_India_Index_Upto_April23__1[[#This Row],[TOTAL BROADER CATEGORIES]]</f>
        <v>9.6222966062795762E-2</v>
      </c>
      <c r="AO36" s="2">
        <f>All_India_Index_Upto_April23__1[[#This Row],[Transport and communication]]/All_India_Index_Upto_April23__1[[#This Row],[TOTAL BROADER CATEGORIES]]</f>
        <v>9.2728048724838336E-2</v>
      </c>
      <c r="AP36" s="2">
        <f>All_India_Index_Upto_April23__1[[#This Row],[Health]]/All_India_Index_Upto_April23__1[[#This Row],[TOTAL BROADER CATEGORIES]]</f>
        <v>0.10428382379389113</v>
      </c>
      <c r="AQ36" s="2">
        <f>All_India_Index_Upto_April23__1[[#This Row],[Fuel and light]]/All_India_Index_Upto_April23__1[[#This Row],[TOTAL BROADER CATEGORIES]]</f>
        <v>0.10242362585594604</v>
      </c>
      <c r="AR36">
        <f>MONTH(1 &amp; All_India_Index_Upto_April23__1[[#This Row],[Month]])</f>
        <v>4</v>
      </c>
      <c r="AS36" s="19" t="str">
        <f>All_India_Index_Upto_April23__1[[#This Row],[MONTH IN NUM]]&amp;"/"&amp;All_India_Index_Upto_April23__1[[#This Row],[Year]]</f>
        <v>4/2023</v>
      </c>
      <c r="AT3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179.95714285714288</v>
      </c>
      <c r="AU3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1774.0047619047621</v>
      </c>
    </row>
    <row r="37" spans="1:47" x14ac:dyDescent="0.3">
      <c r="A37" t="s">
        <v>30</v>
      </c>
      <c r="B37">
        <v>2022</v>
      </c>
      <c r="C37" t="s">
        <v>38</v>
      </c>
      <c r="D37">
        <v>153.80000000000001</v>
      </c>
      <c r="E37">
        <v>217.2</v>
      </c>
      <c r="F37">
        <v>169.6</v>
      </c>
      <c r="G37">
        <v>165.4</v>
      </c>
      <c r="H37">
        <v>189.67500000000001</v>
      </c>
      <c r="I37">
        <v>165.8</v>
      </c>
      <c r="J37">
        <v>167.3</v>
      </c>
      <c r="K37">
        <v>164.6</v>
      </c>
      <c r="L37">
        <v>119.1</v>
      </c>
      <c r="M37">
        <v>188.9</v>
      </c>
      <c r="N37">
        <v>174.2</v>
      </c>
      <c r="O37">
        <v>181.9</v>
      </c>
      <c r="P37">
        <v>172.4</v>
      </c>
      <c r="Q37">
        <v>192.9</v>
      </c>
      <c r="R37">
        <v>180.7</v>
      </c>
      <c r="S37">
        <v>178.7</v>
      </c>
      <c r="T37">
        <v>180.4</v>
      </c>
      <c r="U37">
        <v>140.85</v>
      </c>
      <c r="V37">
        <v>176.7</v>
      </c>
      <c r="W37">
        <v>170.3</v>
      </c>
      <c r="X37">
        <v>178.2</v>
      </c>
      <c r="Y37">
        <v>165.5</v>
      </c>
      <c r="Z37">
        <v>168</v>
      </c>
      <c r="AA37">
        <v>172.6</v>
      </c>
      <c r="AB37">
        <v>169.5</v>
      </c>
      <c r="AC37">
        <v>171</v>
      </c>
      <c r="AD37" s="1">
        <v>173.6</v>
      </c>
      <c r="AE37" s="1">
        <v>174.37142857142859</v>
      </c>
      <c r="AF37" s="1">
        <v>179.93333333333331</v>
      </c>
      <c r="AG37" s="1">
        <v>155.57499999999999</v>
      </c>
      <c r="AH37" s="2">
        <f>All_India_Index_Upto_April23__1[[#This Row],[House]]/All_India_Index_Upto_April23__1[[#This Row],[TOTAL BROADER CATEGORIES]]</f>
        <v>9.0906181937576117E-2</v>
      </c>
      <c r="AI37" s="2">
        <f>All_India_Index_Upto_April23__1[[#This Row],[Cloth]]/All_India_Index_Upto_April23__1[[#This Row],[TOTAL BROADER CATEGORIES]]</f>
        <v>0.10513933688982502</v>
      </c>
      <c r="AJ37" s="2">
        <f>All_India_Index_Upto_April23__1[[#This Row],[Food]]/All_India_Index_Upto_April23__1[[#This Row],[TOTAL BROADER CATEGORIES]]</f>
        <v>0.10188938332270189</v>
      </c>
      <c r="AK37" s="2">
        <f>All_India_Index_Upto_April23__1[[#This Row],[Miscellaneous]]/All_India_Index_Upto_April23__1[[#This Row],[TOTAL BROADER CATEGORIES]]</f>
        <v>9.9919377222082703E-2</v>
      </c>
      <c r="AL37" s="2">
        <f>All_India_Index_Upto_April23__1[[#This Row],[Personal care and effects]]/All_India_Index_Upto_April23__1[[#This Row],[TOTAL BROADER CATEGORIES]]</f>
        <v>9.9042891456976714E-2</v>
      </c>
      <c r="AM37" s="2">
        <f>All_India_Index_Upto_April23__1[[#This Row],[Education]]/All_India_Index_Upto_April23__1[[#This Row],[TOTAL BROADER CATEGORIES]]</f>
        <v>0.10085429537152908</v>
      </c>
      <c r="AN37" s="2">
        <f>All_India_Index_Upto_April23__1[[#This Row],[Recreation and amusement]]/All_India_Index_Upto_April23__1[[#This Row],[TOTAL BROADER CATEGORIES]]</f>
        <v>9.8166405691870726E-2</v>
      </c>
      <c r="AO37" s="2">
        <f>All_India_Index_Upto_April23__1[[#This Row],[Transport and communication]]/All_India_Index_Upto_April23__1[[#This Row],[TOTAL BROADER CATEGORIES]]</f>
        <v>9.670559608336074E-2</v>
      </c>
      <c r="AP37" s="2">
        <f>All_India_Index_Upto_April23__1[[#This Row],[Health]]/All_India_Index_Upto_April23__1[[#This Row],[TOTAL BROADER CATEGORIES]]</f>
        <v>0.10412650889459144</v>
      </c>
      <c r="AQ37" s="2">
        <f>All_India_Index_Upto_April23__1[[#This Row],[Fuel and light]]/All_India_Index_Upto_April23__1[[#This Row],[TOTAL BROADER CATEGORIES]]</f>
        <v>0.10325002312948545</v>
      </c>
      <c r="AR37">
        <f>MONTH(1 &amp; All_India_Index_Upto_April23__1[[#This Row],[Month]])</f>
        <v>6</v>
      </c>
      <c r="AS37" s="19" t="str">
        <f>All_India_Index_Upto_April23__1[[#This Row],[MONTH IN NUM]]&amp;"/"&amp;All_India_Index_Upto_April23__1[[#This Row],[Year]]</f>
        <v>6/2022</v>
      </c>
      <c r="AT3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171.46428571428572</v>
      </c>
      <c r="AU3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1711.3797619047621</v>
      </c>
    </row>
    <row r="38" spans="1:47" x14ac:dyDescent="0.3">
      <c r="A38" t="s">
        <v>30</v>
      </c>
      <c r="B38">
        <v>2022</v>
      </c>
      <c r="C38" t="s">
        <v>37</v>
      </c>
      <c r="D38">
        <v>152.9</v>
      </c>
      <c r="E38">
        <v>214.7</v>
      </c>
      <c r="F38">
        <v>161.4</v>
      </c>
      <c r="G38">
        <v>164.6</v>
      </c>
      <c r="H38">
        <v>189.67500000000001</v>
      </c>
      <c r="I38">
        <v>168</v>
      </c>
      <c r="J38">
        <v>160.4</v>
      </c>
      <c r="K38">
        <v>165</v>
      </c>
      <c r="L38">
        <v>118.9</v>
      </c>
      <c r="M38">
        <v>186.6</v>
      </c>
      <c r="N38">
        <v>173.2</v>
      </c>
      <c r="O38">
        <v>180.4</v>
      </c>
      <c r="P38">
        <v>170.8</v>
      </c>
      <c r="Q38">
        <v>192.9</v>
      </c>
      <c r="R38">
        <v>179.3</v>
      </c>
      <c r="S38">
        <v>177.2</v>
      </c>
      <c r="T38">
        <v>179</v>
      </c>
      <c r="U38">
        <v>140.85</v>
      </c>
      <c r="V38">
        <v>175.3</v>
      </c>
      <c r="W38">
        <v>168.9</v>
      </c>
      <c r="X38">
        <v>177.7</v>
      </c>
      <c r="Y38">
        <v>167.1</v>
      </c>
      <c r="Z38">
        <v>167.6</v>
      </c>
      <c r="AA38">
        <v>171.8</v>
      </c>
      <c r="AB38">
        <v>168.5</v>
      </c>
      <c r="AC38">
        <v>170.9</v>
      </c>
      <c r="AD38" s="1">
        <v>172.5</v>
      </c>
      <c r="AE38" s="1">
        <v>172.83571428571432</v>
      </c>
      <c r="AF38" s="1">
        <v>178.5</v>
      </c>
      <c r="AG38" s="1">
        <v>154.875</v>
      </c>
      <c r="AH38" s="2">
        <f>All_India_Index_Upto_April23__1[[#This Row],[House]]/All_India_Index_Upto_April23__1[[#This Row],[TOTAL BROADER CATEGORIES]]</f>
        <v>9.082987908200349E-2</v>
      </c>
      <c r="AI38" s="2">
        <f>All_India_Index_Upto_April23__1[[#This Row],[Cloth]]/All_India_Index_Upto_April23__1[[#This Row],[TOTAL BROADER CATEGORIES]]</f>
        <v>0.10468528436569893</v>
      </c>
      <c r="AJ38" s="2">
        <f>All_India_Index_Upto_April23__1[[#This Row],[Food]]/All_India_Index_Upto_April23__1[[#This Row],[TOTAL BROADER CATEGORIES]]</f>
        <v>0.10136333836721959</v>
      </c>
      <c r="AK38" s="2">
        <f>All_India_Index_Upto_April23__1[[#This Row],[Miscellaneous]]/All_India_Index_Upto_April23__1[[#This Row],[TOTAL BROADER CATEGORIES]]</f>
        <v>0.10022809578766358</v>
      </c>
      <c r="AL38" s="2">
        <f>All_India_Index_Upto_April23__1[[#This Row],[Personal care and effects]]/All_India_Index_Upto_April23__1[[#This Row],[TOTAL BROADER CATEGORIES]]</f>
        <v>9.8820562552494509E-2</v>
      </c>
      <c r="AM38" s="2">
        <f>All_India_Index_Upto_April23__1[[#This Row],[Education]]/All_India_Index_Upto_April23__1[[#This Row],[TOTAL BROADER CATEGORIES]]</f>
        <v>0.10075592075085198</v>
      </c>
      <c r="AN38" s="2">
        <f>All_India_Index_Upto_April23__1[[#This Row],[Recreation and amusement]]/All_India_Index_Upto_April23__1[[#This Row],[TOTAL BROADER CATEGORIES]]</f>
        <v>9.8292737589306109E-2</v>
      </c>
      <c r="AO38" s="2">
        <f>All_India_Index_Upto_April23__1[[#This Row],[Transport and communication]]/All_India_Index_Upto_April23__1[[#This Row],[TOTAL BROADER CATEGORIES]]</f>
        <v>9.7999501498645891E-2</v>
      </c>
      <c r="AP38" s="2">
        <f>All_India_Index_Upto_April23__1[[#This Row],[Health]]/All_India_Index_Upto_April23__1[[#This Row],[TOTAL BROADER CATEGORIES]]</f>
        <v>0.10421610662064257</v>
      </c>
      <c r="AQ38" s="2">
        <f>All_India_Index_Upto_April23__1[[#This Row],[Fuel and light]]/All_India_Index_Upto_April23__1[[#This Row],[TOTAL BROADER CATEGORIES]]</f>
        <v>0.10280857338547353</v>
      </c>
      <c r="AR38">
        <f>MONTH(1 &amp; All_India_Index_Upto_April23__1[[#This Row],[Month]])</f>
        <v>5</v>
      </c>
      <c r="AS38" s="19" t="str">
        <f>All_India_Index_Upto_April23__1[[#This Row],[MONTH IN NUM]]&amp;"/"&amp;All_India_Index_Upto_April23__1[[#This Row],[Year]]</f>
        <v>5/2022</v>
      </c>
      <c r="AT3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170.33571428571426</v>
      </c>
      <c r="AU3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1705.110714285714</v>
      </c>
    </row>
    <row r="39" spans="1:47" x14ac:dyDescent="0.3">
      <c r="A39" t="s">
        <v>32</v>
      </c>
      <c r="B39">
        <v>2022</v>
      </c>
      <c r="C39" t="s">
        <v>37</v>
      </c>
      <c r="D39">
        <v>156.69999999999999</v>
      </c>
      <c r="E39">
        <v>221.2</v>
      </c>
      <c r="F39">
        <v>164.1</v>
      </c>
      <c r="G39">
        <v>165.4</v>
      </c>
      <c r="H39">
        <v>189.5</v>
      </c>
      <c r="I39">
        <v>174.5</v>
      </c>
      <c r="J39">
        <v>203.2</v>
      </c>
      <c r="K39">
        <v>164.1</v>
      </c>
      <c r="L39">
        <v>121.2</v>
      </c>
      <c r="M39">
        <v>181.4</v>
      </c>
      <c r="N39">
        <v>158.5</v>
      </c>
      <c r="O39">
        <v>184.9</v>
      </c>
      <c r="P39">
        <v>177.5</v>
      </c>
      <c r="Q39">
        <v>197.5</v>
      </c>
      <c r="R39">
        <v>170</v>
      </c>
      <c r="S39">
        <v>155.9</v>
      </c>
      <c r="T39">
        <v>167.8</v>
      </c>
      <c r="U39">
        <v>167.5</v>
      </c>
      <c r="V39">
        <v>173.5</v>
      </c>
      <c r="W39">
        <v>161.1</v>
      </c>
      <c r="X39">
        <v>170.1</v>
      </c>
      <c r="Y39">
        <v>159.4</v>
      </c>
      <c r="Z39">
        <v>163.19999999999999</v>
      </c>
      <c r="AA39">
        <v>165.2</v>
      </c>
      <c r="AB39">
        <v>168.2</v>
      </c>
      <c r="AC39">
        <v>163.80000000000001</v>
      </c>
      <c r="AD39" s="1">
        <v>170.8</v>
      </c>
      <c r="AE39" s="1">
        <v>175.69285714285715</v>
      </c>
      <c r="AF39" s="1">
        <v>164.56666666666666</v>
      </c>
      <c r="AG39" s="1">
        <v>164.3</v>
      </c>
      <c r="AH39" s="2">
        <f>All_India_Index_Upto_April23__1[[#This Row],[House]]/All_India_Index_Upto_April23__1[[#This Row],[TOTAL BROADER CATEGORIES]]</f>
        <v>9.850358935854045E-2</v>
      </c>
      <c r="AI39" s="2">
        <f>All_India_Index_Upto_April23__1[[#This Row],[Cloth]]/All_India_Index_Upto_April23__1[[#This Row],[TOTAL BROADER CATEGORIES]]</f>
        <v>9.8663465340457321E-2</v>
      </c>
      <c r="AJ39" s="2">
        <f>All_India_Index_Upto_April23__1[[#This Row],[Food]]/All_India_Index_Upto_April23__1[[#This Row],[TOTAL BROADER CATEGORIES]]</f>
        <v>0.10533400519311448</v>
      </c>
      <c r="AK39" s="2">
        <f>All_India_Index_Upto_April23__1[[#This Row],[Miscellaneous]]/All_India_Index_Upto_April23__1[[#This Row],[TOTAL BROADER CATEGORIES]]</f>
        <v>9.820382189244628E-2</v>
      </c>
      <c r="AL39" s="2">
        <f>All_India_Index_Upto_April23__1[[#This Row],[Personal care and effects]]/All_India_Index_Upto_April23__1[[#This Row],[TOTAL BROADER CATEGORIES]]</f>
        <v>0.10084177559407487</v>
      </c>
      <c r="AM39" s="2">
        <f>All_India_Index_Upto_April23__1[[#This Row],[Education]]/All_India_Index_Upto_April23__1[[#This Row],[TOTAL BROADER CATEGORIES]]</f>
        <v>9.9043170797509919E-2</v>
      </c>
      <c r="AN39" s="2">
        <f>All_India_Index_Upto_April23__1[[#This Row],[Recreation and amusement]]/All_India_Index_Upto_April23__1[[#This Row],[TOTAL BROADER CATEGORIES]]</f>
        <v>9.7844100933133282E-2</v>
      </c>
      <c r="AO39" s="2">
        <f>All_India_Index_Upto_April23__1[[#This Row],[Transport and communication]]/All_India_Index_Upto_April23__1[[#This Row],[TOTAL BROADER CATEGORIES]]</f>
        <v>9.5565868190817693E-2</v>
      </c>
      <c r="AP39" s="2">
        <f>All_India_Index_Upto_April23__1[[#This Row],[Health]]/All_India_Index_Upto_April23__1[[#This Row],[TOTAL BROADER CATEGORIES]]</f>
        <v>0.10198089196523268</v>
      </c>
      <c r="AQ39" s="2">
        <f>All_India_Index_Upto_April23__1[[#This Row],[Fuel and light]]/All_India_Index_Upto_April23__1[[#This Row],[TOTAL BROADER CATEGORIES]]</f>
        <v>0.10401931073467295</v>
      </c>
      <c r="AR39">
        <f>MONTH(1 &amp; All_India_Index_Upto_April23__1[[#This Row],[Month]])</f>
        <v>5</v>
      </c>
      <c r="AS39" s="19" t="str">
        <f>All_India_Index_Upto_April23__1[[#This Row],[MONTH IN NUM]]&amp;"/"&amp;All_India_Index_Upto_April23__1[[#This Row],[Year]]</f>
        <v>5/2022</v>
      </c>
      <c r="AT3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165.85714285714286</v>
      </c>
      <c r="AU3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1667.9595238095239</v>
      </c>
    </row>
    <row r="40" spans="1:47" x14ac:dyDescent="0.3">
      <c r="A40" t="s">
        <v>33</v>
      </c>
      <c r="B40">
        <v>2023</v>
      </c>
      <c r="C40" t="s">
        <v>37</v>
      </c>
      <c r="D40">
        <v>173.7</v>
      </c>
      <c r="E40">
        <v>214.3</v>
      </c>
      <c r="F40">
        <v>173.2</v>
      </c>
      <c r="G40">
        <v>179.5</v>
      </c>
      <c r="H40">
        <v>170</v>
      </c>
      <c r="I40">
        <v>172.2</v>
      </c>
      <c r="J40">
        <v>161</v>
      </c>
      <c r="K40">
        <v>175.6</v>
      </c>
      <c r="L40">
        <v>122.7</v>
      </c>
      <c r="M40">
        <v>213.04</v>
      </c>
      <c r="N40">
        <v>173.4</v>
      </c>
      <c r="O40">
        <v>194.2</v>
      </c>
      <c r="P40">
        <v>179.1</v>
      </c>
      <c r="Q40">
        <v>201</v>
      </c>
      <c r="R40">
        <v>187.3</v>
      </c>
      <c r="S40">
        <v>179.7</v>
      </c>
      <c r="T40">
        <v>186.2</v>
      </c>
      <c r="U40">
        <v>175.6</v>
      </c>
      <c r="V40">
        <v>182.8</v>
      </c>
      <c r="W40">
        <v>175.2</v>
      </c>
      <c r="X40">
        <v>185.7</v>
      </c>
      <c r="Y40">
        <v>164.8</v>
      </c>
      <c r="Z40">
        <v>171.2</v>
      </c>
      <c r="AA40">
        <v>177.1</v>
      </c>
      <c r="AB40">
        <v>185.2</v>
      </c>
      <c r="AC40">
        <v>175.7</v>
      </c>
      <c r="AD40" s="1">
        <v>179.1</v>
      </c>
      <c r="AE40" s="1">
        <v>179.1357142857143</v>
      </c>
      <c r="AF40" s="1">
        <v>184.4</v>
      </c>
      <c r="AG40" s="1">
        <v>175.39999999999998</v>
      </c>
      <c r="AH40" s="2">
        <f>All_India_Index_Upto_April23__1[[#This Row],[House]]/All_India_Index_Upto_April23__1[[#This Row],[TOTAL BROADER CATEGORIES]]</f>
        <v>9.8459909944226348E-2</v>
      </c>
      <c r="AI40" s="2">
        <f>All_India_Index_Upto_April23__1[[#This Row],[Cloth]]/All_India_Index_Upto_April23__1[[#This Row],[TOTAL BROADER CATEGORIES]]</f>
        <v>0.10351201478743069</v>
      </c>
      <c r="AJ40" s="2">
        <f>All_India_Index_Upto_April23__1[[#This Row],[Food]]/All_India_Index_Upto_April23__1[[#This Row],[TOTAL BROADER CATEGORIES]]</f>
        <v>0.10055693441485801</v>
      </c>
      <c r="AK40" s="2">
        <f>All_India_Index_Upto_April23__1[[#This Row],[Miscellaneous]]/All_India_Index_Upto_April23__1[[#This Row],[TOTAL BROADER CATEGORIES]]</f>
        <v>9.8628313438999832E-2</v>
      </c>
      <c r="AL40" s="2">
        <f>All_India_Index_Upto_April23__1[[#This Row],[Personal care and effects]]/All_India_Index_Upto_April23__1[[#This Row],[TOTAL BROADER CATEGORIES]]</f>
        <v>0.10396109077349328</v>
      </c>
      <c r="AM40" s="2">
        <f>All_India_Index_Upto_April23__1[[#This Row],[Education]]/All_India_Index_Upto_April23__1[[#This Row],[TOTAL BROADER CATEGORIES]]</f>
        <v>9.9414196414609399E-2</v>
      </c>
      <c r="AN40" s="2">
        <f>All_India_Index_Upto_April23__1[[#This Row],[Recreation and amusement]]/All_India_Index_Upto_April23__1[[#This Row],[TOTAL BROADER CATEGORIES]]</f>
        <v>9.6102261017397675E-2</v>
      </c>
      <c r="AO40" s="2">
        <f>All_India_Index_Upto_April23__1[[#This Row],[Transport and communication]]/All_India_Index_Upto_April23__1[[#This Row],[TOTAL BROADER CATEGORIES]]</f>
        <v>9.2509653128896849E-2</v>
      </c>
      <c r="AP40" s="2">
        <f>All_India_Index_Upto_April23__1[[#This Row],[Health]]/All_India_Index_Upto_April23__1[[#This Row],[TOTAL BROADER CATEGORIES]]</f>
        <v>0.10424176326478241</v>
      </c>
      <c r="AQ40" s="2">
        <f>All_India_Index_Upto_April23__1[[#This Row],[Fuel and light]]/All_India_Index_Upto_April23__1[[#This Row],[TOTAL BROADER CATEGORIES]]</f>
        <v>0.10261386281530548</v>
      </c>
      <c r="AR40">
        <f>MONTH(1 &amp; All_India_Index_Upto_April23__1[[#This Row],[Month]])</f>
        <v>5</v>
      </c>
      <c r="AS40" s="19" t="str">
        <f>All_India_Index_Upto_April23__1[[#This Row],[MONTH IN NUM]]&amp;"/"&amp;All_India_Index_Upto_April23__1[[#This Row],[Year]]</f>
        <v>5/2023</v>
      </c>
      <c r="AT4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180.55714285714285</v>
      </c>
      <c r="AU4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1781.4357142857143</v>
      </c>
    </row>
    <row r="41" spans="1:47" x14ac:dyDescent="0.3">
      <c r="A41" t="s">
        <v>33</v>
      </c>
      <c r="B41">
        <v>2022</v>
      </c>
      <c r="C41" t="s">
        <v>36</v>
      </c>
      <c r="D41">
        <v>152.9</v>
      </c>
      <c r="E41">
        <v>211.8</v>
      </c>
      <c r="F41">
        <v>164.5</v>
      </c>
      <c r="G41">
        <v>163.9</v>
      </c>
      <c r="H41">
        <v>189.67500000000001</v>
      </c>
      <c r="I41">
        <v>172.6</v>
      </c>
      <c r="J41">
        <v>166.2</v>
      </c>
      <c r="K41">
        <v>164.7</v>
      </c>
      <c r="L41">
        <v>119</v>
      </c>
      <c r="M41">
        <v>181.3</v>
      </c>
      <c r="N41">
        <v>166.2</v>
      </c>
      <c r="O41">
        <v>180.9</v>
      </c>
      <c r="P41">
        <v>170.8</v>
      </c>
      <c r="Q41">
        <v>193.9</v>
      </c>
      <c r="R41">
        <v>173.9</v>
      </c>
      <c r="S41">
        <v>166.5</v>
      </c>
      <c r="T41">
        <v>172.8</v>
      </c>
      <c r="U41">
        <v>167</v>
      </c>
      <c r="V41">
        <v>172.2</v>
      </c>
      <c r="W41">
        <v>164</v>
      </c>
      <c r="X41">
        <v>174</v>
      </c>
      <c r="Y41">
        <v>162.6</v>
      </c>
      <c r="Z41">
        <v>164.4</v>
      </c>
      <c r="AA41">
        <v>166.9</v>
      </c>
      <c r="AB41">
        <v>168.8</v>
      </c>
      <c r="AC41">
        <v>166.8</v>
      </c>
      <c r="AD41" s="1">
        <v>170.1</v>
      </c>
      <c r="AE41" s="1">
        <v>172.01428571428573</v>
      </c>
      <c r="AF41" s="1">
        <v>171.06666666666669</v>
      </c>
      <c r="AG41" s="1">
        <v>165.5</v>
      </c>
      <c r="AH41" s="2">
        <f>All_India_Index_Upto_April23__1[[#This Row],[House]]/All_India_Index_Upto_April23__1[[#This Row],[TOTAL BROADER CATEGORIES]]</f>
        <v>9.8261516147911079E-2</v>
      </c>
      <c r="AI41" s="2">
        <f>All_India_Index_Upto_April23__1[[#This Row],[Cloth]]/All_India_Index_Upto_April23__1[[#This Row],[TOTAL BROADER CATEGORIES]]</f>
        <v>0.10156658627816309</v>
      </c>
      <c r="AJ41" s="2">
        <f>All_India_Index_Upto_April23__1[[#This Row],[Food]]/All_India_Index_Upto_April23__1[[#This Row],[TOTAL BROADER CATEGORIES]]</f>
        <v>0.10212921156124276</v>
      </c>
      <c r="AK41" s="2">
        <f>All_India_Index_Upto_April23__1[[#This Row],[Miscellaneous]]/All_India_Index_Upto_April23__1[[#This Row],[TOTAL BROADER CATEGORIES]]</f>
        <v>9.9033358872939986E-2</v>
      </c>
      <c r="AL41" s="2">
        <f>All_India_Index_Upto_April23__1[[#This Row],[Personal care and effects]]/All_India_Index_Upto_April23__1[[#This Row],[TOTAL BROADER CATEGORIES]]</f>
        <v>0.10022080921913831</v>
      </c>
      <c r="AM41" s="2">
        <f>All_India_Index_Upto_April23__1[[#This Row],[Education]]/All_India_Index_Upto_April23__1[[#This Row],[TOTAL BROADER CATEGORIES]]</f>
        <v>9.9092731390249905E-2</v>
      </c>
      <c r="AN41" s="2">
        <f>All_India_Index_Upto_April23__1[[#This Row],[Recreation and amusement]]/All_India_Index_Upto_April23__1[[#This Row],[TOTAL BROADER CATEGORIES]]</f>
        <v>9.7608418457501997E-2</v>
      </c>
      <c r="AO41" s="2">
        <f>All_India_Index_Upto_April23__1[[#This Row],[Transport and communication]]/All_India_Index_Upto_April23__1[[#This Row],[TOTAL BROADER CATEGORIES]]</f>
        <v>9.6539713145923509E-2</v>
      </c>
      <c r="AP41" s="2">
        <f>All_India_Index_Upto_April23__1[[#This Row],[Health]]/All_India_Index_Upto_April23__1[[#This Row],[TOTAL BROADER CATEGORIES]]</f>
        <v>0.10330818011925394</v>
      </c>
      <c r="AQ41" s="2">
        <f>All_India_Index_Upto_April23__1[[#This Row],[Fuel and light]]/All_India_Index_Upto_April23__1[[#This Row],[TOTAL BROADER CATEGORIES]]</f>
        <v>0.10223947480767545</v>
      </c>
      <c r="AR41">
        <f>MONTH(1 &amp; All_India_Index_Upto_April23__1[[#This Row],[Month]])</f>
        <v>4</v>
      </c>
      <c r="AS41" s="19" t="str">
        <f>All_India_Index_Upto_April23__1[[#This Row],[MONTH IN NUM]]&amp;"/"&amp;All_India_Index_Upto_April23__1[[#This Row],[Year]]</f>
        <v>4/2022</v>
      </c>
      <c r="AT4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169.04285714285714</v>
      </c>
      <c r="AU4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1684.2809523809524</v>
      </c>
    </row>
    <row r="42" spans="1:47" x14ac:dyDescent="0.3">
      <c r="A42" t="s">
        <v>30</v>
      </c>
      <c r="B42">
        <v>2022</v>
      </c>
      <c r="C42" t="s">
        <v>36</v>
      </c>
      <c r="D42">
        <v>151.80000000000001</v>
      </c>
      <c r="E42">
        <v>209.7</v>
      </c>
      <c r="F42">
        <v>164.5</v>
      </c>
      <c r="G42">
        <v>163.80000000000001</v>
      </c>
      <c r="H42">
        <v>189.67500000000001</v>
      </c>
      <c r="I42">
        <v>169.7</v>
      </c>
      <c r="J42">
        <v>153.6</v>
      </c>
      <c r="K42">
        <v>165.1</v>
      </c>
      <c r="L42">
        <v>118.2</v>
      </c>
      <c r="M42">
        <v>182.9</v>
      </c>
      <c r="N42">
        <v>172.4</v>
      </c>
      <c r="O42">
        <v>178.9</v>
      </c>
      <c r="P42">
        <v>168.6</v>
      </c>
      <c r="Q42">
        <v>192.8</v>
      </c>
      <c r="R42">
        <v>177.5</v>
      </c>
      <c r="S42">
        <v>175.1</v>
      </c>
      <c r="T42">
        <v>177.1</v>
      </c>
      <c r="U42">
        <v>140.85</v>
      </c>
      <c r="V42">
        <v>173.3</v>
      </c>
      <c r="W42">
        <v>167.7</v>
      </c>
      <c r="X42">
        <v>177</v>
      </c>
      <c r="Y42">
        <v>166.2</v>
      </c>
      <c r="Z42">
        <v>167.2</v>
      </c>
      <c r="AA42">
        <v>170.9</v>
      </c>
      <c r="AB42">
        <v>169</v>
      </c>
      <c r="AC42">
        <v>170.2</v>
      </c>
      <c r="AD42" s="1">
        <v>170.8</v>
      </c>
      <c r="AE42" s="1">
        <v>171.3857142857143</v>
      </c>
      <c r="AF42" s="1">
        <v>176.56666666666669</v>
      </c>
      <c r="AG42" s="1">
        <v>154.27499999999998</v>
      </c>
      <c r="AH42" s="2">
        <f>All_India_Index_Upto_April23__1[[#This Row],[House]]/All_India_Index_Upto_April23__1[[#This Row],[TOTAL BROADER CATEGORIES]]</f>
        <v>9.0962564480161254E-2</v>
      </c>
      <c r="AI42" s="2">
        <f>All_India_Index_Upto_April23__1[[#This Row],[Cloth]]/All_India_Index_Upto_April23__1[[#This Row],[TOTAL BROADER CATEGORIES]]</f>
        <v>0.1041060236701592</v>
      </c>
      <c r="AJ42" s="2">
        <f>All_India_Index_Upto_April23__1[[#This Row],[Food]]/All_India_Index_Upto_April23__1[[#This Row],[TOTAL BROADER CATEGORIES]]</f>
        <v>0.10105126615908465</v>
      </c>
      <c r="AK42" s="2">
        <f>All_India_Index_Upto_April23__1[[#This Row],[Miscellaneous]]/All_India_Index_Upto_April23__1[[#This Row],[TOTAL BROADER CATEGORIES]]</f>
        <v>0.10035215345664202</v>
      </c>
      <c r="AL42" s="2">
        <f>All_India_Index_Upto_April23__1[[#This Row],[Personal care and effects]]/All_India_Index_Upto_April23__1[[#This Row],[TOTAL BROADER CATEGORIES]]</f>
        <v>9.9644617709591668E-2</v>
      </c>
      <c r="AM42" s="2">
        <f>All_India_Index_Upto_April23__1[[#This Row],[Education]]/All_India_Index_Upto_April23__1[[#This Row],[TOTAL BROADER CATEGORIES]]</f>
        <v>0.10076488264242139</v>
      </c>
      <c r="AN42" s="2">
        <f>All_India_Index_Upto_April23__1[[#This Row],[Recreation and amusement]]/All_India_Index_Upto_April23__1[[#This Row],[TOTAL BROADER CATEGORIES]]</f>
        <v>9.8583314089016133E-2</v>
      </c>
      <c r="AO42" s="2">
        <f>All_India_Index_Upto_April23__1[[#This Row],[Transport and communication]]/All_India_Index_Upto_April23__1[[#This Row],[TOTAL BROADER CATEGORIES]]</f>
        <v>9.7993700966474168E-2</v>
      </c>
      <c r="AP42" s="2">
        <f>All_India_Index_Upto_April23__1[[#This Row],[Health]]/All_India_Index_Upto_April23__1[[#This Row],[TOTAL BROADER CATEGORIES]]</f>
        <v>0.10436152268992736</v>
      </c>
      <c r="AQ42" s="2">
        <f>All_India_Index_Upto_April23__1[[#This Row],[Fuel and light]]/All_India_Index_Upto_April23__1[[#This Row],[TOTAL BROADER CATEGORIES]]</f>
        <v>0.10217995413652212</v>
      </c>
      <c r="AR42">
        <f>MONTH(1 &amp; All_India_Index_Upto_April23__1[[#This Row],[Month]])</f>
        <v>4</v>
      </c>
      <c r="AS42" s="19" t="str">
        <f>All_India_Index_Upto_April23__1[[#This Row],[MONTH IN NUM]]&amp;"/"&amp;All_India_Index_Upto_April23__1[[#This Row],[Year]]</f>
        <v>4/2022</v>
      </c>
      <c r="AT4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168.92142857142858</v>
      </c>
      <c r="AU4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1696.027380952381</v>
      </c>
    </row>
    <row r="43" spans="1:47" x14ac:dyDescent="0.3">
      <c r="A43" t="s">
        <v>32</v>
      </c>
      <c r="B43">
        <v>2022</v>
      </c>
      <c r="C43" t="s">
        <v>36</v>
      </c>
      <c r="D43">
        <v>155.4</v>
      </c>
      <c r="E43">
        <v>215.8</v>
      </c>
      <c r="F43">
        <v>164.6</v>
      </c>
      <c r="G43">
        <v>164.2</v>
      </c>
      <c r="H43">
        <v>186</v>
      </c>
      <c r="I43">
        <v>175.9</v>
      </c>
      <c r="J43">
        <v>190.7</v>
      </c>
      <c r="K43">
        <v>164</v>
      </c>
      <c r="L43">
        <v>120.5</v>
      </c>
      <c r="M43">
        <v>178</v>
      </c>
      <c r="N43">
        <v>157.5</v>
      </c>
      <c r="O43">
        <v>183.3</v>
      </c>
      <c r="P43">
        <v>174.5</v>
      </c>
      <c r="Q43">
        <v>197.1</v>
      </c>
      <c r="R43">
        <v>168.4</v>
      </c>
      <c r="S43">
        <v>154.5</v>
      </c>
      <c r="T43">
        <v>166.3</v>
      </c>
      <c r="U43">
        <v>167</v>
      </c>
      <c r="V43">
        <v>170.5</v>
      </c>
      <c r="W43">
        <v>159.80000000000001</v>
      </c>
      <c r="X43">
        <v>169</v>
      </c>
      <c r="Y43">
        <v>159.30000000000001</v>
      </c>
      <c r="Z43">
        <v>162.19999999999999</v>
      </c>
      <c r="AA43">
        <v>164</v>
      </c>
      <c r="AB43">
        <v>168.4</v>
      </c>
      <c r="AC43">
        <v>163.1</v>
      </c>
      <c r="AD43" s="1">
        <v>169.2</v>
      </c>
      <c r="AE43" s="1">
        <v>173.39285714285714</v>
      </c>
      <c r="AF43" s="1">
        <v>163.06666666666666</v>
      </c>
      <c r="AG43" s="1">
        <v>163.4</v>
      </c>
      <c r="AH43" s="2">
        <f>All_India_Index_Upto_April23__1[[#This Row],[House]]/All_India_Index_Upto_April23__1[[#This Row],[TOTAL BROADER CATEGORIES]]</f>
        <v>9.865008028220236E-2</v>
      </c>
      <c r="AI43" s="2">
        <f>All_India_Index_Upto_April23__1[[#This Row],[Cloth]]/All_India_Index_Upto_April23__1[[#This Row],[TOTAL BROADER CATEGORIES]]</f>
        <v>9.8448835728383102E-2</v>
      </c>
      <c r="AJ43" s="2">
        <f>All_India_Index_Upto_April23__1[[#This Row],[Food]]/All_India_Index_Upto_April23__1[[#This Row],[TOTAL BROADER CATEGORIES]]</f>
        <v>0.1046831045134841</v>
      </c>
      <c r="AK43" s="2">
        <f>All_India_Index_Upto_April23__1[[#This Row],[Miscellaneous]]/All_India_Index_Upto_April23__1[[#This Row],[TOTAL BROADER CATEGORIES]]</f>
        <v>9.8468960183765025E-2</v>
      </c>
      <c r="AL43" s="2">
        <f>All_India_Index_Upto_April23__1[[#This Row],[Personal care and effects]]/All_India_Index_Upto_April23__1[[#This Row],[TOTAL BROADER CATEGORIES]]</f>
        <v>0.10166874858949131</v>
      </c>
      <c r="AM43" s="2">
        <f>All_India_Index_Upto_April23__1[[#This Row],[Education]]/All_India_Index_Upto_April23__1[[#This Row],[TOTAL BROADER CATEGORIES]]</f>
        <v>9.9012320479077029E-2</v>
      </c>
      <c r="AN43" s="2">
        <f>All_India_Index_Upto_April23__1[[#This Row],[Recreation and amusement]]/All_India_Index_Upto_April23__1[[#This Row],[TOTAL BROADER CATEGORIES]]</f>
        <v>9.7925599888453008E-2</v>
      </c>
      <c r="AO43" s="2">
        <f>All_India_Index_Upto_April23__1[[#This Row],[Transport and communication]]/All_India_Index_Upto_April23__1[[#This Row],[TOTAL BROADER CATEGORIES]]</f>
        <v>9.6174772270225445E-2</v>
      </c>
      <c r="AP43" s="2">
        <f>All_India_Index_Upto_April23__1[[#This Row],[Health]]/All_India_Index_Upto_April23__1[[#This Row],[TOTAL BROADER CATEGORIES]]</f>
        <v>0.10203098878636598</v>
      </c>
      <c r="AQ43" s="2">
        <f>All_India_Index_Upto_April23__1[[#This Row],[Fuel and light]]/All_India_Index_Upto_April23__1[[#This Row],[TOTAL BROADER CATEGORIES]]</f>
        <v>0.10293658927855265</v>
      </c>
      <c r="AR43">
        <f>MONTH(1 &amp; All_India_Index_Upto_April23__1[[#This Row],[Month]])</f>
        <v>4</v>
      </c>
      <c r="AS43" s="19" t="str">
        <f>All_India_Index_Upto_April23__1[[#This Row],[MONTH IN NUM]]&amp;"/"&amp;All_India_Index_Upto_April23__1[[#This Row],[Year]]</f>
        <v>4/2022</v>
      </c>
      <c r="AT4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164.35714285714286</v>
      </c>
      <c r="AU4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1656.3595238095238</v>
      </c>
    </row>
    <row r="44" spans="1:47" x14ac:dyDescent="0.3">
      <c r="A44" t="s">
        <v>32</v>
      </c>
      <c r="B44">
        <v>2022</v>
      </c>
      <c r="C44" t="s">
        <v>35</v>
      </c>
      <c r="D44">
        <v>153.69999999999999</v>
      </c>
      <c r="E44">
        <v>215.8</v>
      </c>
      <c r="F44">
        <v>167.7</v>
      </c>
      <c r="G44">
        <v>162.6</v>
      </c>
      <c r="H44">
        <v>180</v>
      </c>
      <c r="I44">
        <v>159.6</v>
      </c>
      <c r="J44">
        <v>188.4</v>
      </c>
      <c r="K44">
        <v>163.4</v>
      </c>
      <c r="L44">
        <v>120.3</v>
      </c>
      <c r="M44">
        <v>174.7</v>
      </c>
      <c r="N44">
        <v>157.1</v>
      </c>
      <c r="O44">
        <v>181.5</v>
      </c>
      <c r="P44">
        <v>171.5</v>
      </c>
      <c r="Q44">
        <v>197.5</v>
      </c>
      <c r="R44">
        <v>167.1</v>
      </c>
      <c r="S44">
        <v>152.6</v>
      </c>
      <c r="T44">
        <v>164.9</v>
      </c>
      <c r="U44">
        <v>165.3</v>
      </c>
      <c r="V44">
        <v>164.5</v>
      </c>
      <c r="W44">
        <v>158.6</v>
      </c>
      <c r="X44">
        <v>168.2</v>
      </c>
      <c r="Y44">
        <v>154.19999999999999</v>
      </c>
      <c r="Z44">
        <v>160.80000000000001</v>
      </c>
      <c r="AA44">
        <v>162.69999999999999</v>
      </c>
      <c r="AB44">
        <v>166.8</v>
      </c>
      <c r="AC44">
        <v>160.6</v>
      </c>
      <c r="AD44" s="1">
        <v>166.5</v>
      </c>
      <c r="AE44" s="1">
        <v>170.98571428571429</v>
      </c>
      <c r="AF44" s="1">
        <v>161.53333333333333</v>
      </c>
      <c r="AG44" s="1">
        <v>161.94999999999999</v>
      </c>
      <c r="AH44" s="2">
        <f>All_India_Index_Upto_April23__1[[#This Row],[House]]/All_India_Index_Upto_April23__1[[#This Row],[TOTAL BROADER CATEGORIES]]</f>
        <v>9.9217711832637279E-2</v>
      </c>
      <c r="AI44" s="2">
        <f>All_India_Index_Upto_April23__1[[#This Row],[Cloth]]/All_India_Index_Upto_April23__1[[#This Row],[TOTAL BROADER CATEGORIES]]</f>
        <v>9.8962443458055022E-2</v>
      </c>
      <c r="AJ44" s="2">
        <f>All_India_Index_Upto_April23__1[[#This Row],[Food]]/All_India_Index_Upto_April23__1[[#This Row],[TOTAL BROADER CATEGORIES]]</f>
        <v>0.10475338887000712</v>
      </c>
      <c r="AK44" s="2">
        <f>All_India_Index_Upto_April23__1[[#This Row],[Miscellaneous]]/All_India_Index_Upto_April23__1[[#This Row],[TOTAL BROADER CATEGORIES]]</f>
        <v>9.8390642298990721E-2</v>
      </c>
      <c r="AL44" s="2">
        <f>All_India_Index_Upto_April23__1[[#This Row],[Personal care and effects]]/All_India_Index_Upto_April23__1[[#This Row],[TOTAL BROADER CATEGORIES]]</f>
        <v>0.10218903571277493</v>
      </c>
      <c r="AM44" s="2">
        <f>All_India_Index_Upto_April23__1[[#This Row],[Education]]/All_India_Index_Upto_April23__1[[#This Row],[TOTAL BROADER CATEGORIES]]</f>
        <v>9.9677194906885369E-2</v>
      </c>
      <c r="AN44" s="2">
        <f>All_India_Index_Upto_April23__1[[#This Row],[Recreation and amusement]]/All_India_Index_Upto_April23__1[[#This Row],[TOTAL BROADER CATEGORIES]]</f>
        <v>9.8513171118790224E-2</v>
      </c>
      <c r="AO44" s="2">
        <f>All_India_Index_Upto_April23__1[[#This Row],[Transport and communication]]/All_India_Index_Upto_April23__1[[#This Row],[TOTAL BROADER CATEGORIES]]</f>
        <v>9.4469720065407034E-2</v>
      </c>
      <c r="AP44" s="2">
        <f>All_India_Index_Upto_April23__1[[#This Row],[Health]]/All_India_Index_Upto_April23__1[[#This Row],[TOTAL BROADER CATEGORIES]]</f>
        <v>0.10304673745137136</v>
      </c>
      <c r="AQ44" s="2">
        <f>All_India_Index_Upto_April23__1[[#This Row],[Fuel and light]]/All_India_Index_Upto_April23__1[[#This Row],[TOTAL BROADER CATEGORIES]]</f>
        <v>0.1007799542850808</v>
      </c>
      <c r="AR44">
        <f>MONTH(1 &amp; All_India_Index_Upto_April23__1[[#This Row],[Month]])</f>
        <v>3</v>
      </c>
      <c r="AS44" s="19" t="str">
        <f>All_India_Index_Upto_April23__1[[#This Row],[MONTH IN NUM]]&amp;"/"&amp;All_India_Index_Upto_April23__1[[#This Row],[Year]]</f>
        <v>3/2022</v>
      </c>
      <c r="AT4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162.2428571428571</v>
      </c>
      <c r="AU4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1632.2690476190478</v>
      </c>
    </row>
    <row r="45" spans="1:47" x14ac:dyDescent="0.3">
      <c r="A45" t="s">
        <v>33</v>
      </c>
      <c r="B45">
        <v>2022</v>
      </c>
      <c r="C45" t="s">
        <v>35</v>
      </c>
      <c r="D45">
        <v>151.30000000000001</v>
      </c>
      <c r="E45">
        <v>210.7</v>
      </c>
      <c r="F45">
        <v>167.8</v>
      </c>
      <c r="G45">
        <v>162.19999999999999</v>
      </c>
      <c r="H45">
        <v>189.67500000000001</v>
      </c>
      <c r="I45">
        <v>157.6</v>
      </c>
      <c r="J45">
        <v>166.9</v>
      </c>
      <c r="K45">
        <v>163.9</v>
      </c>
      <c r="L45">
        <v>118.8</v>
      </c>
      <c r="M45">
        <v>177.4</v>
      </c>
      <c r="N45">
        <v>165.3</v>
      </c>
      <c r="O45">
        <v>179.3</v>
      </c>
      <c r="P45">
        <v>168.4</v>
      </c>
      <c r="Q45">
        <v>193.7</v>
      </c>
      <c r="R45">
        <v>172.1</v>
      </c>
      <c r="S45">
        <v>164.6</v>
      </c>
      <c r="T45">
        <v>171.1</v>
      </c>
      <c r="U45">
        <v>165.3</v>
      </c>
      <c r="V45">
        <v>167.2</v>
      </c>
      <c r="W45">
        <v>162.80000000000001</v>
      </c>
      <c r="X45">
        <v>173</v>
      </c>
      <c r="Y45">
        <v>157.9</v>
      </c>
      <c r="Z45">
        <v>163.30000000000001</v>
      </c>
      <c r="AA45">
        <v>166</v>
      </c>
      <c r="AB45">
        <v>167.2</v>
      </c>
      <c r="AC45">
        <v>164.6</v>
      </c>
      <c r="AD45" s="1">
        <v>167.7</v>
      </c>
      <c r="AE45" s="1">
        <v>169.85</v>
      </c>
      <c r="AF45" s="1">
        <v>169.26666666666665</v>
      </c>
      <c r="AG45" s="1">
        <v>164.05</v>
      </c>
      <c r="AH45" s="2">
        <f>All_India_Index_Upto_April23__1[[#This Row],[House]]/All_India_Index_Upto_April23__1[[#This Row],[TOTAL BROADER CATEGORIES]]</f>
        <v>9.8684606284213272E-2</v>
      </c>
      <c r="AI45" s="2">
        <f>All_India_Index_Upto_April23__1[[#This Row],[Cloth]]/All_India_Index_Upto_April23__1[[#This Row],[TOTAL BROADER CATEGORIES]]</f>
        <v>0.10182270257263738</v>
      </c>
      <c r="AJ45" s="2">
        <f>All_India_Index_Upto_April23__1[[#This Row],[Food]]/All_India_Index_Upto_April23__1[[#This Row],[TOTAL BROADER CATEGORIES]]</f>
        <v>0.10217360790840367</v>
      </c>
      <c r="AK45" s="2">
        <f>All_India_Index_Upto_April23__1[[#This Row],[Miscellaneous]]/All_India_Index_Upto_April23__1[[#This Row],[TOTAL BROADER CATEGORIES]]</f>
        <v>9.9015459886507173E-2</v>
      </c>
      <c r="AL45" s="2">
        <f>All_India_Index_Upto_April23__1[[#This Row],[Personal care and effects]]/All_India_Index_Upto_April23__1[[#This Row],[TOTAL BROADER CATEGORIES]]</f>
        <v>0.10057949509735115</v>
      </c>
      <c r="AM45" s="2">
        <f>All_India_Index_Upto_April23__1[[#This Row],[Education]]/All_India_Index_Upto_April23__1[[#This Row],[TOTAL BROADER CATEGORIES]]</f>
        <v>9.9857632692346252E-2</v>
      </c>
      <c r="AN45" s="2">
        <f>All_India_Index_Upto_April23__1[[#This Row],[Recreation and amusement]]/All_India_Index_Upto_April23__1[[#This Row],[TOTAL BROADER CATEGORIES]]</f>
        <v>9.8233442281085201E-2</v>
      </c>
      <c r="AO45" s="2">
        <f>All_India_Index_Upto_April23__1[[#This Row],[Transport and communication]]/All_India_Index_Upto_April23__1[[#This Row],[TOTAL BROADER CATEGORIES]]</f>
        <v>9.4985061458563086E-2</v>
      </c>
      <c r="AP45" s="2">
        <f>All_India_Index_Upto_April23__1[[#This Row],[Health]]/All_India_Index_Upto_April23__1[[#This Row],[TOTAL BROADER CATEGORIES]]</f>
        <v>0.10406849672154157</v>
      </c>
      <c r="AQ45" s="2">
        <f>All_India_Index_Upto_April23__1[[#This Row],[Fuel and light]]/All_India_Index_Upto_April23__1[[#This Row],[TOTAL BROADER CATEGORIES]]</f>
        <v>0.10057949509735115</v>
      </c>
      <c r="AR45">
        <f>MONTH(1 &amp; All_India_Index_Upto_April23__1[[#This Row],[Month]])</f>
        <v>3</v>
      </c>
      <c r="AS45" s="19" t="str">
        <f>All_India_Index_Upto_April23__1[[#This Row],[MONTH IN NUM]]&amp;"/"&amp;All_India_Index_Upto_April23__1[[#This Row],[Year]]</f>
        <v>3/2022</v>
      </c>
      <c r="AT4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167.01428571428571</v>
      </c>
      <c r="AU4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1662.3666666666668</v>
      </c>
    </row>
    <row r="46" spans="1:47" x14ac:dyDescent="0.3">
      <c r="A46" t="s">
        <v>30</v>
      </c>
      <c r="B46">
        <v>2022</v>
      </c>
      <c r="C46" t="s">
        <v>35</v>
      </c>
      <c r="D46">
        <v>150.19999999999999</v>
      </c>
      <c r="E46">
        <v>208</v>
      </c>
      <c r="F46">
        <v>167.9</v>
      </c>
      <c r="G46">
        <v>162</v>
      </c>
      <c r="H46">
        <v>189.67500000000001</v>
      </c>
      <c r="I46">
        <v>155.9</v>
      </c>
      <c r="J46">
        <v>155.80000000000001</v>
      </c>
      <c r="K46">
        <v>164.2</v>
      </c>
      <c r="L46">
        <v>118.1</v>
      </c>
      <c r="M46">
        <v>178.7</v>
      </c>
      <c r="N46">
        <v>171.2</v>
      </c>
      <c r="O46">
        <v>177.4</v>
      </c>
      <c r="P46">
        <v>166.6</v>
      </c>
      <c r="Q46">
        <v>192.3</v>
      </c>
      <c r="R46">
        <v>175.4</v>
      </c>
      <c r="S46">
        <v>173.2</v>
      </c>
      <c r="T46">
        <v>175.1</v>
      </c>
      <c r="U46">
        <v>140.85</v>
      </c>
      <c r="V46">
        <v>168.9</v>
      </c>
      <c r="W46">
        <v>166.5</v>
      </c>
      <c r="X46">
        <v>176</v>
      </c>
      <c r="Y46">
        <v>162</v>
      </c>
      <c r="Z46">
        <v>166.6</v>
      </c>
      <c r="AA46">
        <v>170.6</v>
      </c>
      <c r="AB46">
        <v>167.4</v>
      </c>
      <c r="AC46">
        <v>168.3</v>
      </c>
      <c r="AD46" s="1">
        <v>168.7</v>
      </c>
      <c r="AE46" s="1">
        <v>169.38571428571433</v>
      </c>
      <c r="AF46" s="1">
        <v>174.56666666666669</v>
      </c>
      <c r="AG46" s="1">
        <v>153.67500000000001</v>
      </c>
      <c r="AH46" s="2">
        <f>All_India_Index_Upto_April23__1[[#This Row],[House]]/All_India_Index_Upto_April23__1[[#This Row],[TOTAL BROADER CATEGORIES]]</f>
        <v>9.1613503955532818E-2</v>
      </c>
      <c r="AI46" s="2">
        <f>All_India_Index_Upto_April23__1[[#This Row],[Cloth]]/All_India_Index_Upto_April23__1[[#This Row],[TOTAL BROADER CATEGORIES]]</f>
        <v>0.10406809179873659</v>
      </c>
      <c r="AJ46" s="2">
        <f>All_India_Index_Upto_April23__1[[#This Row],[Food]]/All_India_Index_Upto_April23__1[[#This Row],[TOTAL BROADER CATEGORIES]]</f>
        <v>0.10097946188856378</v>
      </c>
      <c r="AK46" s="2">
        <f>All_India_Index_Upto_April23__1[[#This Row],[Miscellaneous]]/All_India_Index_Upto_April23__1[[#This Row],[TOTAL BROADER CATEGORIES]]</f>
        <v>0.1003322122382702</v>
      </c>
      <c r="AL46" s="2">
        <f>All_India_Index_Upto_April23__1[[#This Row],[Personal care and effects]]/All_India_Index_Upto_April23__1[[#This Row],[TOTAL BROADER CATEGORIES]]</f>
        <v>9.9795676343947898E-2</v>
      </c>
      <c r="AM46" s="2">
        <f>All_India_Index_Upto_April23__1[[#This Row],[Education]]/All_India_Index_Upto_April23__1[[#This Row],[TOTAL BROADER CATEGORIES]]</f>
        <v>0.10170335952376051</v>
      </c>
      <c r="AN46" s="2">
        <f>All_India_Index_Upto_April23__1[[#This Row],[Recreation and amusement]]/All_India_Index_Upto_April23__1[[#This Row],[TOTAL BROADER CATEGORIES]]</f>
        <v>9.9318755548994733E-2</v>
      </c>
      <c r="AO46" s="2">
        <f>All_India_Index_Upto_April23__1[[#This Row],[Transport and communication]]/All_India_Index_Upto_April23__1[[#This Row],[TOTAL BROADER CATEGORIES]]</f>
        <v>9.6576460978014089E-2</v>
      </c>
      <c r="AP46" s="2">
        <f>All_India_Index_Upto_April23__1[[#This Row],[Health]]/All_India_Index_Upto_April23__1[[#This Row],[TOTAL BROADER CATEGORIES]]</f>
        <v>0.10492257488969431</v>
      </c>
      <c r="AQ46" s="2">
        <f>All_India_Index_Upto_April23__1[[#This Row],[Fuel and light]]/All_India_Index_Upto_April23__1[[#This Row],[TOTAL BROADER CATEGORIES]]</f>
        <v>0.10068990283448506</v>
      </c>
      <c r="AR46">
        <f>MONTH(1 &amp; All_India_Index_Upto_April23__1[[#This Row],[Month]])</f>
        <v>3</v>
      </c>
      <c r="AS46" s="19" t="str">
        <f>All_India_Index_Upto_April23__1[[#This Row],[MONTH IN NUM]]&amp;"/"&amp;All_India_Index_Upto_April23__1[[#This Row],[Year]]</f>
        <v>3/2022</v>
      </c>
      <c r="AT4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167.22142857142859</v>
      </c>
      <c r="AU4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1677.4273809523811</v>
      </c>
    </row>
    <row r="47" spans="1:47" x14ac:dyDescent="0.3">
      <c r="A47" t="s">
        <v>30</v>
      </c>
      <c r="B47">
        <v>2022</v>
      </c>
      <c r="C47" t="s">
        <v>34</v>
      </c>
      <c r="D47">
        <v>148.80000000000001</v>
      </c>
      <c r="E47">
        <v>198.1</v>
      </c>
      <c r="F47">
        <v>175.5</v>
      </c>
      <c r="G47">
        <v>160.69999999999999</v>
      </c>
      <c r="H47">
        <v>189.67500000000001</v>
      </c>
      <c r="I47">
        <v>151.4</v>
      </c>
      <c r="J47">
        <v>155.19999999999999</v>
      </c>
      <c r="K47">
        <v>163.9</v>
      </c>
      <c r="L47">
        <v>118.1</v>
      </c>
      <c r="M47">
        <v>175.4</v>
      </c>
      <c r="N47">
        <v>170.5</v>
      </c>
      <c r="O47">
        <v>176.3</v>
      </c>
      <c r="P47">
        <v>163.9</v>
      </c>
      <c r="Q47">
        <v>191.5</v>
      </c>
      <c r="R47">
        <v>174.1</v>
      </c>
      <c r="S47">
        <v>171</v>
      </c>
      <c r="T47">
        <v>173.7</v>
      </c>
      <c r="U47">
        <v>140.85</v>
      </c>
      <c r="V47">
        <v>167.4</v>
      </c>
      <c r="W47">
        <v>165.7</v>
      </c>
      <c r="X47">
        <v>175.3</v>
      </c>
      <c r="Y47">
        <v>161.19999999999999</v>
      </c>
      <c r="Z47">
        <v>165.5</v>
      </c>
      <c r="AA47">
        <v>170.3</v>
      </c>
      <c r="AB47">
        <v>164.5</v>
      </c>
      <c r="AC47">
        <v>167.3</v>
      </c>
      <c r="AD47" s="1">
        <v>166.7</v>
      </c>
      <c r="AE47" s="1">
        <v>167.27857142857144</v>
      </c>
      <c r="AF47" s="1">
        <v>172.93333333333331</v>
      </c>
      <c r="AG47" s="1">
        <v>153.27499999999998</v>
      </c>
      <c r="AH47" s="2">
        <f>All_India_Index_Upto_April23__1[[#This Row],[House]]/All_India_Index_Upto_April23__1[[#This Row],[TOTAL BROADER CATEGORIES]]</f>
        <v>9.2057781092229368E-2</v>
      </c>
      <c r="AI47" s="2">
        <f>All_India_Index_Upto_April23__1[[#This Row],[Cloth]]/All_India_Index_Upto_April23__1[[#This Row],[TOTAL BROADER CATEGORIES]]</f>
        <v>0.10386468076039493</v>
      </c>
      <c r="AJ47" s="2">
        <f>All_India_Index_Upto_April23__1[[#This Row],[Food]]/All_India_Index_Upto_April23__1[[#This Row],[TOTAL BROADER CATEGORIES]]</f>
        <v>0.10046840065237179</v>
      </c>
      <c r="AK47" s="2">
        <f>All_India_Index_Upto_April23__1[[#This Row],[Miscellaneous]]/All_India_Index_Upto_April23__1[[#This Row],[TOTAL BROADER CATEGORIES]]</f>
        <v>0.10048127076646535</v>
      </c>
      <c r="AL47" s="2">
        <f>All_India_Index_Upto_April23__1[[#This Row],[Personal care and effects]]/All_India_Index_Upto_April23__1[[#This Row],[TOTAL BROADER CATEGORIES]]</f>
        <v>9.879957585823998E-2</v>
      </c>
      <c r="AM47" s="2">
        <f>All_India_Index_Upto_April23__1[[#This Row],[Education]]/All_India_Index_Upto_April23__1[[#This Row],[TOTAL BROADER CATEGORIES]]</f>
        <v>0.10228308673956396</v>
      </c>
      <c r="AN47" s="2">
        <f>All_India_Index_Upto_April23__1[[#This Row],[Recreation and amusement]]/All_India_Index_Upto_April23__1[[#This Row],[TOTAL BROADER CATEGORIES]]</f>
        <v>9.9400181182606184E-2</v>
      </c>
      <c r="AO47" s="2">
        <f>All_India_Index_Upto_April23__1[[#This Row],[Transport and communication]]/All_India_Index_Upto_April23__1[[#This Row],[TOTAL BROADER CATEGORIES]]</f>
        <v>9.6817578287831524E-2</v>
      </c>
      <c r="AP47" s="2">
        <f>All_India_Index_Upto_April23__1[[#This Row],[Health]]/All_India_Index_Upto_April23__1[[#This Row],[TOTAL BROADER CATEGORIES]]</f>
        <v>0.10528611336139496</v>
      </c>
      <c r="AQ47" s="2">
        <f>All_India_Index_Upto_April23__1[[#This Row],[Fuel and light]]/All_India_Index_Upto_April23__1[[#This Row],[TOTAL BROADER CATEGORIES]]</f>
        <v>0.10054133129890197</v>
      </c>
      <c r="AR47">
        <f>MONTH(1 &amp; All_India_Index_Upto_April23__1[[#This Row],[Month]])</f>
        <v>2</v>
      </c>
      <c r="AS47" s="19" t="str">
        <f>All_India_Index_Upto_April23__1[[#This Row],[MONTH IN NUM]]&amp;"/"&amp;All_India_Index_Upto_April23__1[[#This Row],[Year]]</f>
        <v>2/2022</v>
      </c>
      <c r="AT4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166.15</v>
      </c>
      <c r="AU4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1664.9869047619047</v>
      </c>
    </row>
    <row r="48" spans="1:47" x14ac:dyDescent="0.3">
      <c r="A48" t="s">
        <v>32</v>
      </c>
      <c r="B48">
        <v>2022</v>
      </c>
      <c r="C48" t="s">
        <v>34</v>
      </c>
      <c r="D48">
        <v>152.5</v>
      </c>
      <c r="E48">
        <v>205.2</v>
      </c>
      <c r="F48">
        <v>176.4</v>
      </c>
      <c r="G48">
        <v>160.6</v>
      </c>
      <c r="H48">
        <v>171.5</v>
      </c>
      <c r="I48">
        <v>156.4</v>
      </c>
      <c r="J48">
        <v>198</v>
      </c>
      <c r="K48">
        <v>163.19999999999999</v>
      </c>
      <c r="L48">
        <v>120.6</v>
      </c>
      <c r="M48">
        <v>172.2</v>
      </c>
      <c r="N48">
        <v>156.69999999999999</v>
      </c>
      <c r="O48">
        <v>180</v>
      </c>
      <c r="P48">
        <v>170.2</v>
      </c>
      <c r="Q48">
        <v>196.5</v>
      </c>
      <c r="R48">
        <v>165.7</v>
      </c>
      <c r="S48">
        <v>150.4</v>
      </c>
      <c r="T48">
        <v>163.4</v>
      </c>
      <c r="U48">
        <v>165.5</v>
      </c>
      <c r="V48">
        <v>163</v>
      </c>
      <c r="W48">
        <v>157.4</v>
      </c>
      <c r="X48">
        <v>167.2</v>
      </c>
      <c r="Y48">
        <v>153.1</v>
      </c>
      <c r="Z48">
        <v>159.5</v>
      </c>
      <c r="AA48">
        <v>162</v>
      </c>
      <c r="AB48">
        <v>164.2</v>
      </c>
      <c r="AC48">
        <v>159.4</v>
      </c>
      <c r="AD48" s="1">
        <v>165.5</v>
      </c>
      <c r="AE48" s="1">
        <v>170</v>
      </c>
      <c r="AF48" s="1">
        <v>159.83333333333334</v>
      </c>
      <c r="AG48" s="1">
        <v>161.44999999999999</v>
      </c>
      <c r="AH48" s="2">
        <f>All_India_Index_Upto_April23__1[[#This Row],[House]]/All_India_Index_Upto_April23__1[[#This Row],[TOTAL BROADER CATEGORIES]]</f>
        <v>9.9679978596639268E-2</v>
      </c>
      <c r="AI48" s="2">
        <f>All_India_Index_Upto_April23__1[[#This Row],[Cloth]]/All_India_Index_Upto_April23__1[[#This Row],[TOTAL BROADER CATEGORIES]]</f>
        <v>9.868184110062668E-2</v>
      </c>
      <c r="AJ48" s="2">
        <f>All_India_Index_Upto_April23__1[[#This Row],[Food]]/All_India_Index_Upto_April23__1[[#This Row],[TOTAL BROADER CATEGORIES]]</f>
        <v>0.1049587882404997</v>
      </c>
      <c r="AK48" s="2">
        <f>All_India_Index_Upto_April23__1[[#This Row],[Miscellaneous]]/All_India_Index_Upto_April23__1[[#This Row],[TOTAL BROADER CATEGORIES]]</f>
        <v>9.8414299091386187E-2</v>
      </c>
      <c r="AL48" s="2">
        <f>All_India_Index_Upto_April23__1[[#This Row],[Personal care and effects]]/All_India_Index_Upto_April23__1[[#This Row],[TOTAL BROADER CATEGORIES]]</f>
        <v>0.10137784134758852</v>
      </c>
      <c r="AM48" s="2">
        <f>All_India_Index_Upto_April23__1[[#This Row],[Education]]/All_India_Index_Upto_April23__1[[#This Row],[TOTAL BROADER CATEGORIES]]</f>
        <v>0.10001955114682912</v>
      </c>
      <c r="AN48" s="2">
        <f>All_India_Index_Upto_April23__1[[#This Row],[Recreation and amusement]]/All_India_Index_Upto_April23__1[[#This Row],[TOTAL BROADER CATEGORIES]]</f>
        <v>9.8476039555057071E-2</v>
      </c>
      <c r="AO48" s="2">
        <f>All_India_Index_Upto_April23__1[[#This Row],[Transport and communication]]/All_India_Index_Upto_April23__1[[#This Row],[TOTAL BROADER CATEGORIES]]</f>
        <v>9.4524649880120604E-2</v>
      </c>
      <c r="AP48" s="2">
        <f>All_India_Index_Upto_April23__1[[#This Row],[Health]]/All_India_Index_Upto_April23__1[[#This Row],[TOTAL BROADER CATEGORIES]]</f>
        <v>0.10323005525771499</v>
      </c>
      <c r="AQ48" s="2">
        <f>All_India_Index_Upto_April23__1[[#This Row],[Fuel and light]]/All_India_Index_Upto_April23__1[[#This Row],[TOTAL BROADER CATEGORIES]]</f>
        <v>0.10063695578353794</v>
      </c>
      <c r="AR48">
        <f>MONTH(1 &amp; All_India_Index_Upto_April23__1[[#This Row],[Month]])</f>
        <v>2</v>
      </c>
      <c r="AS48" s="19" t="str">
        <f>All_India_Index_Upto_April23__1[[#This Row],[MONTH IN NUM]]&amp;"/"&amp;All_India_Index_Upto_April23__1[[#This Row],[Year]]</f>
        <v>2/2022</v>
      </c>
      <c r="AT4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161.05714285714285</v>
      </c>
      <c r="AU4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1619.6833333333332</v>
      </c>
    </row>
    <row r="49" spans="1:47" x14ac:dyDescent="0.3">
      <c r="A49" t="s">
        <v>33</v>
      </c>
      <c r="B49">
        <v>2022</v>
      </c>
      <c r="C49" t="s">
        <v>34</v>
      </c>
      <c r="D49">
        <v>150</v>
      </c>
      <c r="E49">
        <v>200.6</v>
      </c>
      <c r="F49">
        <v>175.8</v>
      </c>
      <c r="G49">
        <v>160.69999999999999</v>
      </c>
      <c r="H49">
        <v>184.9</v>
      </c>
      <c r="I49">
        <v>153.69999999999999</v>
      </c>
      <c r="J49">
        <v>169.7</v>
      </c>
      <c r="K49">
        <v>163.69999999999999</v>
      </c>
      <c r="L49">
        <v>118.9</v>
      </c>
      <c r="M49">
        <v>174.3</v>
      </c>
      <c r="N49">
        <v>164.7</v>
      </c>
      <c r="O49">
        <v>178</v>
      </c>
      <c r="P49">
        <v>166.2</v>
      </c>
      <c r="Q49">
        <v>192.8</v>
      </c>
      <c r="R49">
        <v>170.8</v>
      </c>
      <c r="S49">
        <v>162.4</v>
      </c>
      <c r="T49">
        <v>169.6</v>
      </c>
      <c r="U49">
        <v>165.5</v>
      </c>
      <c r="V49">
        <v>165.7</v>
      </c>
      <c r="W49">
        <v>161.80000000000001</v>
      </c>
      <c r="X49">
        <v>172.2</v>
      </c>
      <c r="Y49">
        <v>156.9</v>
      </c>
      <c r="Z49">
        <v>162.1</v>
      </c>
      <c r="AA49">
        <v>165.4</v>
      </c>
      <c r="AB49">
        <v>164.4</v>
      </c>
      <c r="AC49">
        <v>163.5</v>
      </c>
      <c r="AD49" s="1">
        <v>166.1</v>
      </c>
      <c r="AE49" s="1">
        <v>168.14285714285717</v>
      </c>
      <c r="AF49" s="1">
        <v>167.60000000000002</v>
      </c>
      <c r="AG49" s="1">
        <v>163.65</v>
      </c>
      <c r="AH49" s="2">
        <f>All_India_Index_Upto_April23__1[[#This Row],[House]]/All_India_Index_Upto_April23__1[[#This Row],[TOTAL BROADER CATEGORIES]]</f>
        <v>9.9206297657863637E-2</v>
      </c>
      <c r="AI49" s="2">
        <f>All_India_Index_Upto_April23__1[[#This Row],[Cloth]]/All_India_Index_Upto_April23__1[[#This Row],[TOTAL BROADER CATEGORIES]]</f>
        <v>0.10160082790991717</v>
      </c>
      <c r="AJ49" s="2">
        <f>All_India_Index_Upto_April23__1[[#This Row],[Food]]/All_India_Index_Upto_April23__1[[#This Row],[TOTAL BROADER CATEGORIES]]</f>
        <v>0.10192991344184497</v>
      </c>
      <c r="AK49" s="2">
        <f>All_India_Index_Upto_April23__1[[#This Row],[Miscellaneous]]/All_India_Index_Upto_April23__1[[#This Row],[TOTAL BROADER CATEGORIES]]</f>
        <v>9.9115366129304633E-2</v>
      </c>
      <c r="AL49" s="2">
        <f>All_India_Index_Upto_April23__1[[#This Row],[Personal care and effects]]/All_India_Index_Upto_April23__1[[#This Row],[TOTAL BROADER CATEGORIES]]</f>
        <v>9.9660955300658605E-2</v>
      </c>
      <c r="AM49" s="2">
        <f>All_India_Index_Upto_April23__1[[#This Row],[Education]]/All_India_Index_Upto_April23__1[[#This Row],[TOTAL BROADER CATEGORIES]]</f>
        <v>0.10026716549105191</v>
      </c>
      <c r="AN49" s="2">
        <f>All_India_Index_Upto_April23__1[[#This Row],[Recreation and amusement]]/All_India_Index_Upto_April23__1[[#This Row],[TOTAL BROADER CATEGORIES]]</f>
        <v>9.8266671862754007E-2</v>
      </c>
      <c r="AO49" s="2">
        <f>All_India_Index_Upto_April23__1[[#This Row],[Transport and communication]]/All_India_Index_Upto_April23__1[[#This Row],[TOTAL BROADER CATEGORIES]]</f>
        <v>9.5114378872708849E-2</v>
      </c>
      <c r="AP49" s="2">
        <f>All_India_Index_Upto_April23__1[[#This Row],[Health]]/All_India_Index_Upto_April23__1[[#This Row],[TOTAL BROADER CATEGORIES]]</f>
        <v>0.10438939478572634</v>
      </c>
      <c r="AQ49" s="2">
        <f>All_India_Index_Upto_April23__1[[#This Row],[Fuel and light]]/All_India_Index_Upto_April23__1[[#This Row],[TOTAL BROADER CATEGORIES]]</f>
        <v>0.10044902854816988</v>
      </c>
      <c r="AR49">
        <f>MONTH(1 &amp; All_India_Index_Upto_April23__1[[#This Row],[Month]])</f>
        <v>2</v>
      </c>
      <c r="AS49" s="19" t="str">
        <f>All_India_Index_Upto_April23__1[[#This Row],[MONTH IN NUM]]&amp;"/"&amp;All_India_Index_Upto_April23__1[[#This Row],[Year]]</f>
        <v>2/2022</v>
      </c>
      <c r="AT4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165.8857142857143</v>
      </c>
      <c r="AU4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1649.5928571428572</v>
      </c>
    </row>
    <row r="50" spans="1:47" x14ac:dyDescent="0.3">
      <c r="A50" t="s">
        <v>33</v>
      </c>
      <c r="B50">
        <v>2022</v>
      </c>
      <c r="C50" t="s">
        <v>31</v>
      </c>
      <c r="D50">
        <v>149.5</v>
      </c>
      <c r="E50">
        <v>198.7</v>
      </c>
      <c r="F50">
        <v>178.8</v>
      </c>
      <c r="G50">
        <v>160.5</v>
      </c>
      <c r="H50">
        <v>184.7</v>
      </c>
      <c r="I50">
        <v>153.69999999999999</v>
      </c>
      <c r="J50">
        <v>174.3</v>
      </c>
      <c r="K50">
        <v>163.9</v>
      </c>
      <c r="L50">
        <v>120</v>
      </c>
      <c r="M50">
        <v>172.1</v>
      </c>
      <c r="N50">
        <v>164.3</v>
      </c>
      <c r="O50">
        <v>177.3</v>
      </c>
      <c r="P50">
        <v>166.4</v>
      </c>
      <c r="Q50">
        <v>192.2</v>
      </c>
      <c r="R50">
        <v>169.9</v>
      </c>
      <c r="S50">
        <v>160.69999999999999</v>
      </c>
      <c r="T50">
        <v>168.5</v>
      </c>
      <c r="U50">
        <v>164.5</v>
      </c>
      <c r="V50">
        <v>164.2</v>
      </c>
      <c r="W50">
        <v>161.1</v>
      </c>
      <c r="X50">
        <v>171.4</v>
      </c>
      <c r="Y50">
        <v>156.5</v>
      </c>
      <c r="Z50">
        <v>161.19999999999999</v>
      </c>
      <c r="AA50">
        <v>164.7</v>
      </c>
      <c r="AB50">
        <v>163</v>
      </c>
      <c r="AC50">
        <v>162.69999999999999</v>
      </c>
      <c r="AD50" s="1">
        <v>165.7</v>
      </c>
      <c r="AE50" s="1">
        <v>168.31428571428569</v>
      </c>
      <c r="AF50" s="1">
        <v>166.36666666666667</v>
      </c>
      <c r="AG50" s="1">
        <v>162.80000000000001</v>
      </c>
      <c r="AH50" s="2">
        <f>All_India_Index_Upto_April23__1[[#This Row],[House]]/All_India_Index_Upto_April23__1[[#This Row],[TOTAL BROADER CATEGORIES]]</f>
        <v>9.9196861725586685E-2</v>
      </c>
      <c r="AI50" s="2">
        <f>All_India_Index_Upto_April23__1[[#This Row],[Cloth]]/All_India_Index_Upto_April23__1[[#This Row],[TOTAL BROADER CATEGORIES]]</f>
        <v>0.10137009354471808</v>
      </c>
      <c r="AJ50" s="2">
        <f>All_India_Index_Upto_April23__1[[#This Row],[Food]]/All_India_Index_Upto_April23__1[[#This Row],[TOTAL BROADER CATEGORIES]]</f>
        <v>0.10255681158747473</v>
      </c>
      <c r="AK50" s="2">
        <f>All_India_Index_Upto_April23__1[[#This Row],[Miscellaneous]]/All_India_Index_Upto_April23__1[[#This Row],[TOTAL BROADER CATEGORIES]]</f>
        <v>9.9135929992339999E-2</v>
      </c>
      <c r="AL50" s="2">
        <f>All_India_Index_Upto_April23__1[[#This Row],[Personal care and effects]]/All_India_Index_Upto_April23__1[[#This Row],[TOTAL BROADER CATEGORIES]]</f>
        <v>9.9318725192080029E-2</v>
      </c>
      <c r="AM50" s="2">
        <f>All_India_Index_Upto_April23__1[[#This Row],[Education]]/All_India_Index_Upto_April23__1[[#This Row],[TOTAL BROADER CATEGORIES]]</f>
        <v>0.10035456465727349</v>
      </c>
      <c r="AN50" s="2">
        <f>All_India_Index_Upto_April23__1[[#This Row],[Recreation and amusement]]/All_India_Index_Upto_April23__1[[#This Row],[TOTAL BROADER CATEGORIES]]</f>
        <v>9.8221953993639879E-2</v>
      </c>
      <c r="AO50" s="2">
        <f>All_India_Index_Upto_April23__1[[#This Row],[Transport and communication]]/All_India_Index_Upto_April23__1[[#This Row],[TOTAL BROADER CATEGORIES]]</f>
        <v>9.5358162531046162E-2</v>
      </c>
      <c r="AP50" s="2">
        <f>All_India_Index_Upto_April23__1[[#This Row],[Health]]/All_India_Index_Upto_April23__1[[#This Row],[TOTAL BROADER CATEGORIES]]</f>
        <v>0.10443699078480072</v>
      </c>
      <c r="AQ50" s="2">
        <f>All_India_Index_Upto_April23__1[[#This Row],[Fuel and light]]/All_India_Index_Upto_April23__1[[#This Row],[TOTAL BROADER CATEGORIES]]</f>
        <v>0.10004990599104012</v>
      </c>
      <c r="AR50">
        <f>MONTH(1 &amp; All_India_Index_Upto_April23__1[[#This Row],[Month]])</f>
        <v>1</v>
      </c>
      <c r="AS50" s="19" t="str">
        <f>All_India_Index_Upto_April23__1[[#This Row],[MONTH IN NUM]]&amp;"/"&amp;All_India_Index_Upto_April23__1[[#This Row],[Year]]</f>
        <v>1/2022</v>
      </c>
      <c r="AT5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164.8</v>
      </c>
      <c r="AU5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1641.1809523809525</v>
      </c>
    </row>
    <row r="51" spans="1:47" x14ac:dyDescent="0.3">
      <c r="A51" t="s">
        <v>30</v>
      </c>
      <c r="B51">
        <v>2022</v>
      </c>
      <c r="C51" t="s">
        <v>31</v>
      </c>
      <c r="D51">
        <v>148.30000000000001</v>
      </c>
      <c r="E51">
        <v>196.9</v>
      </c>
      <c r="F51">
        <v>178</v>
      </c>
      <c r="G51">
        <v>160.5</v>
      </c>
      <c r="H51">
        <v>189.67500000000001</v>
      </c>
      <c r="I51">
        <v>151.19999999999999</v>
      </c>
      <c r="J51">
        <v>159.19999999999999</v>
      </c>
      <c r="K51">
        <v>164</v>
      </c>
      <c r="L51">
        <v>119.3</v>
      </c>
      <c r="M51">
        <v>173.3</v>
      </c>
      <c r="N51">
        <v>169.8</v>
      </c>
      <c r="O51">
        <v>175.8</v>
      </c>
      <c r="P51">
        <v>164.1</v>
      </c>
      <c r="Q51">
        <v>190.7</v>
      </c>
      <c r="R51">
        <v>173.2</v>
      </c>
      <c r="S51">
        <v>169.3</v>
      </c>
      <c r="T51">
        <v>172.7</v>
      </c>
      <c r="U51">
        <v>140.85</v>
      </c>
      <c r="V51">
        <v>165.8</v>
      </c>
      <c r="W51">
        <v>164.9</v>
      </c>
      <c r="X51">
        <v>174.7</v>
      </c>
      <c r="Y51">
        <v>160.80000000000001</v>
      </c>
      <c r="Z51">
        <v>164.9</v>
      </c>
      <c r="AA51">
        <v>169.9</v>
      </c>
      <c r="AB51">
        <v>163.19999999999999</v>
      </c>
      <c r="AC51">
        <v>166.6</v>
      </c>
      <c r="AD51" s="1">
        <v>166.4</v>
      </c>
      <c r="AE51" s="1">
        <v>167.40714285714284</v>
      </c>
      <c r="AF51" s="1">
        <v>171.73333333333335</v>
      </c>
      <c r="AG51" s="1">
        <v>152.875</v>
      </c>
      <c r="AH51" s="2">
        <f>All_India_Index_Upto_April23__1[[#This Row],[House]]/All_India_Index_Upto_April23__1[[#This Row],[TOTAL BROADER CATEGORIES]]</f>
        <v>9.2209163974554975E-2</v>
      </c>
      <c r="AI51" s="2">
        <f>All_India_Index_Upto_April23__1[[#This Row],[Cloth]]/All_India_Index_Upto_April23__1[[#This Row],[TOTAL BROADER CATEGORIES]]</f>
        <v>0.10358388940788384</v>
      </c>
      <c r="AJ51" s="2">
        <f>All_India_Index_Upto_April23__1[[#This Row],[Food]]/All_India_Index_Upto_April23__1[[#This Row],[TOTAL BROADER CATEGORIES]]</f>
        <v>0.10097447382649899</v>
      </c>
      <c r="AK51" s="2">
        <f>All_India_Index_Upto_April23__1[[#This Row],[Miscellaneous]]/All_India_Index_Upto_April23__1[[#This Row],[TOTAL BROADER CATEGORIES]]</f>
        <v>0.10048763184406122</v>
      </c>
      <c r="AL51" s="2">
        <f>All_India_Index_Upto_April23__1[[#This Row],[Personal care and effects]]/All_India_Index_Upto_April23__1[[#This Row],[TOTAL BROADER CATEGORIES]]</f>
        <v>9.8436863847243636E-2</v>
      </c>
      <c r="AM51" s="2">
        <f>All_India_Index_Upto_April23__1[[#This Row],[Education]]/All_India_Index_Upto_April23__1[[#This Row],[TOTAL BROADER CATEGORIES]]</f>
        <v>0.10247808313509005</v>
      </c>
      <c r="AN51" s="2">
        <f>All_India_Index_Upto_April23__1[[#This Row],[Recreation and amusement]]/All_India_Index_Upto_April23__1[[#This Row],[TOTAL BROADER CATEGORIES]]</f>
        <v>9.9462247845652427E-2</v>
      </c>
      <c r="AO51" s="2">
        <f>All_India_Index_Upto_April23__1[[#This Row],[Transport and communication]]/All_India_Index_Upto_April23__1[[#This Row],[TOTAL BROADER CATEGORIES]]</f>
        <v>9.6989262908313598E-2</v>
      </c>
      <c r="AP51" s="2">
        <f>All_India_Index_Upto_April23__1[[#This Row],[Health]]/All_India_Index_Upto_April23__1[[#This Row],[TOTAL BROADER CATEGORIES]]</f>
        <v>0.10537328501295014</v>
      </c>
      <c r="AQ51" s="2">
        <f>All_India_Index_Upto_April23__1[[#This Row],[Fuel and light]]/All_India_Index_Upto_April23__1[[#This Row],[TOTAL BROADER CATEGORIES]]</f>
        <v>0.1000050981977512</v>
      </c>
      <c r="AR51">
        <f>MONTH(1 &amp; All_India_Index_Upto_April23__1[[#This Row],[Month]])</f>
        <v>1</v>
      </c>
      <c r="AS51" s="19" t="str">
        <f>All_India_Index_Upto_April23__1[[#This Row],[MONTH IN NUM]]&amp;"/"&amp;All_India_Index_Upto_April23__1[[#This Row],[Year]]</f>
        <v>1/2022</v>
      </c>
      <c r="AT5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165.23571428571429</v>
      </c>
      <c r="AU5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1657.9154761904761</v>
      </c>
    </row>
    <row r="52" spans="1:47" x14ac:dyDescent="0.3">
      <c r="A52" t="s">
        <v>32</v>
      </c>
      <c r="B52">
        <v>2022</v>
      </c>
      <c r="C52" t="s">
        <v>31</v>
      </c>
      <c r="D52">
        <v>152.19999999999999</v>
      </c>
      <c r="E52">
        <v>202.1</v>
      </c>
      <c r="F52">
        <v>180.1</v>
      </c>
      <c r="G52">
        <v>160.4</v>
      </c>
      <c r="H52">
        <v>171</v>
      </c>
      <c r="I52">
        <v>156.5</v>
      </c>
      <c r="J52">
        <v>203.6</v>
      </c>
      <c r="K52">
        <v>163.80000000000001</v>
      </c>
      <c r="L52">
        <v>121.3</v>
      </c>
      <c r="M52">
        <v>169.8</v>
      </c>
      <c r="N52">
        <v>156.6</v>
      </c>
      <c r="O52">
        <v>179</v>
      </c>
      <c r="P52">
        <v>170.3</v>
      </c>
      <c r="Q52">
        <v>196.4</v>
      </c>
      <c r="R52">
        <v>164.7</v>
      </c>
      <c r="S52">
        <v>148.5</v>
      </c>
      <c r="T52">
        <v>162.19999999999999</v>
      </c>
      <c r="U52">
        <v>164.5</v>
      </c>
      <c r="V52">
        <v>161.6</v>
      </c>
      <c r="W52">
        <v>156.80000000000001</v>
      </c>
      <c r="X52">
        <v>166.1</v>
      </c>
      <c r="Y52">
        <v>152.69999999999999</v>
      </c>
      <c r="Z52">
        <v>158.4</v>
      </c>
      <c r="AA52">
        <v>161</v>
      </c>
      <c r="AB52">
        <v>162.80000000000001</v>
      </c>
      <c r="AC52">
        <v>158.6</v>
      </c>
      <c r="AD52" s="1">
        <v>165</v>
      </c>
      <c r="AE52" s="1">
        <v>170.22142857142856</v>
      </c>
      <c r="AF52" s="1">
        <v>158.46666666666667</v>
      </c>
      <c r="AG52" s="1">
        <v>160.65</v>
      </c>
      <c r="AH52" s="2">
        <f>All_India_Index_Upto_April23__1[[#This Row],[House]]/All_India_Index_Upto_April23__1[[#This Row],[TOTAL BROADER CATEGORIES]]</f>
        <v>9.9749270430172718E-2</v>
      </c>
      <c r="AI52" s="2">
        <f>All_India_Index_Upto_April23__1[[#This Row],[Cloth]]/All_India_Index_Upto_April23__1[[#This Row],[TOTAL BROADER CATEGORIES]]</f>
        <v>9.8393615857462619E-2</v>
      </c>
      <c r="AJ52" s="2">
        <f>All_India_Index_Upto_April23__1[[#This Row],[Food]]/All_India_Index_Upto_April23__1[[#This Row],[TOTAL BROADER CATEGORIES]]</f>
        <v>0.10569227084706975</v>
      </c>
      <c r="AK52" s="2">
        <f>All_India_Index_Upto_April23__1[[#This Row],[Miscellaneous]]/All_India_Index_Upto_April23__1[[#This Row],[TOTAL BROADER CATEGORIES]]</f>
        <v>9.847640392297162E-2</v>
      </c>
      <c r="AL52" s="2">
        <f>All_India_Index_Upto_April23__1[[#This Row],[Personal care and effects]]/All_India_Index_Upto_April23__1[[#This Row],[TOTAL BROADER CATEGORIES]]</f>
        <v>0.10108422798650556</v>
      </c>
      <c r="AM52" s="2">
        <f>All_India_Index_Upto_April23__1[[#This Row],[Education]]/All_India_Index_Upto_April23__1[[#This Row],[TOTAL BROADER CATEGORIES]]</f>
        <v>9.9966589102133865E-2</v>
      </c>
      <c r="AN52" s="2">
        <f>All_India_Index_Upto_April23__1[[#This Row],[Recreation and amusement]]/All_India_Index_Upto_April23__1[[#This Row],[TOTAL BROADER CATEGORIES]]</f>
        <v>9.8352221824708111E-2</v>
      </c>
      <c r="AO52" s="2">
        <f>All_India_Index_Upto_April23__1[[#This Row],[Transport and communication]]/All_India_Index_Upto_April23__1[[#This Row],[TOTAL BROADER CATEGORIES]]</f>
        <v>9.4813032024197774E-2</v>
      </c>
      <c r="AP52" s="2">
        <f>All_India_Index_Upto_April23__1[[#This Row],[Health]]/All_India_Index_Upto_April23__1[[#This Row],[TOTAL BROADER CATEGORIES]]</f>
        <v>0.10313323260785363</v>
      </c>
      <c r="AQ52" s="2">
        <f>All_India_Index_Upto_April23__1[[#This Row],[Fuel and light]]/All_India_Index_Upto_April23__1[[#This Row],[TOTAL BROADER CATEGORIES]]</f>
        <v>0.10033913539692442</v>
      </c>
      <c r="AR52">
        <f>MONTH(1 &amp; All_India_Index_Upto_April23__1[[#This Row],[Month]])</f>
        <v>1</v>
      </c>
      <c r="AS52" s="19" t="str">
        <f>All_India_Index_Upto_April23__1[[#This Row],[MONTH IN NUM]]&amp;"/"&amp;All_India_Index_Upto_April23__1[[#This Row],[Year]]</f>
        <v>1/2022</v>
      </c>
      <c r="AT5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159.9</v>
      </c>
      <c r="AU5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1610.5380952380951</v>
      </c>
    </row>
    <row r="53" spans="1:47" x14ac:dyDescent="0.3">
      <c r="A53" t="s">
        <v>32</v>
      </c>
      <c r="B53">
        <v>2021</v>
      </c>
      <c r="C53" t="s">
        <v>44</v>
      </c>
      <c r="D53">
        <v>151.6</v>
      </c>
      <c r="E53">
        <v>202.2</v>
      </c>
      <c r="F53">
        <v>180</v>
      </c>
      <c r="G53">
        <v>160</v>
      </c>
      <c r="H53">
        <v>173.5</v>
      </c>
      <c r="I53">
        <v>158.30000000000001</v>
      </c>
      <c r="J53">
        <v>219.5</v>
      </c>
      <c r="K53">
        <v>164.2</v>
      </c>
      <c r="L53">
        <v>121.9</v>
      </c>
      <c r="M53">
        <v>168.2</v>
      </c>
      <c r="N53">
        <v>156.5</v>
      </c>
      <c r="O53">
        <v>178.2</v>
      </c>
      <c r="P53">
        <v>172.2</v>
      </c>
      <c r="Q53">
        <v>196.8</v>
      </c>
      <c r="R53">
        <v>163.30000000000001</v>
      </c>
      <c r="S53">
        <v>146.69999999999999</v>
      </c>
      <c r="T53">
        <v>160.69999999999999</v>
      </c>
      <c r="U53">
        <v>163.4</v>
      </c>
      <c r="V53">
        <v>161.69999999999999</v>
      </c>
      <c r="W53">
        <v>156</v>
      </c>
      <c r="X53">
        <v>165.1</v>
      </c>
      <c r="Y53">
        <v>151.80000000000001</v>
      </c>
      <c r="Z53">
        <v>157.6</v>
      </c>
      <c r="AA53">
        <v>160.6</v>
      </c>
      <c r="AB53">
        <v>162.4</v>
      </c>
      <c r="AC53">
        <v>157.80000000000001</v>
      </c>
      <c r="AD53" s="1">
        <v>165.2</v>
      </c>
      <c r="AE53" s="1">
        <v>171.65000000000003</v>
      </c>
      <c r="AF53" s="1">
        <v>156.9</v>
      </c>
      <c r="AG53" s="1">
        <v>159.69999999999999</v>
      </c>
      <c r="AH53" s="2">
        <f>All_India_Index_Upto_April23__1[[#This Row],[House]]/All_India_Index_Upto_April23__1[[#This Row],[TOTAL BROADER CATEGORIES]]</f>
        <v>9.9486061361158687E-2</v>
      </c>
      <c r="AI53" s="2">
        <f>All_India_Index_Upto_April23__1[[#This Row],[Cloth]]/All_India_Index_Upto_April23__1[[#This Row],[TOTAL BROADER CATEGORIES]]</f>
        <v>9.7741784768727621E-2</v>
      </c>
      <c r="AJ53" s="2">
        <f>All_India_Index_Upto_April23__1[[#This Row],[Food]]/All_India_Index_Upto_April23__1[[#This Row],[TOTAL BROADER CATEGORIES]]</f>
        <v>0.10693038467528425</v>
      </c>
      <c r="AK53" s="2">
        <f>All_India_Index_Upto_April23__1[[#This Row],[Miscellaneous]]/All_India_Index_Upto_April23__1[[#This Row],[TOTAL BROADER CATEGORIES]]</f>
        <v>9.8302445102009042E-2</v>
      </c>
      <c r="AL53" s="2">
        <f>All_India_Index_Upto_April23__1[[#This Row],[Personal care and effects]]/All_India_Index_Upto_April23__1[[#This Row],[TOTAL BROADER CATEGORIES]]</f>
        <v>0.10116804236100296</v>
      </c>
      <c r="AM53" s="2">
        <f>All_India_Index_Upto_April23__1[[#This Row],[Education]]/All_India_Index_Upto_April23__1[[#This Row],[TOTAL BROADER CATEGORIES]]</f>
        <v>0.10004672169444012</v>
      </c>
      <c r="AN53" s="2">
        <f>All_India_Index_Upto_April23__1[[#This Row],[Recreation and amusement]]/All_India_Index_Upto_April23__1[[#This Row],[TOTAL BROADER CATEGORIES]]</f>
        <v>9.8177853916835381E-2</v>
      </c>
      <c r="AO53" s="2">
        <f>All_India_Index_Upto_April23__1[[#This Row],[Transport and communication]]/All_India_Index_Upto_April23__1[[#This Row],[TOTAL BROADER CATEGORIES]]</f>
        <v>9.4564709546799575E-2</v>
      </c>
      <c r="AP53" s="2">
        <f>All_India_Index_Upto_April23__1[[#This Row],[Health]]/All_India_Index_Upto_April23__1[[#This Row],[TOTAL BROADER CATEGORIES]]</f>
        <v>0.10285002336084721</v>
      </c>
      <c r="AQ53" s="2">
        <f>All_India_Index_Upto_April23__1[[#This Row],[Fuel and light]]/All_India_Index_Upto_April23__1[[#This Row],[TOTAL BROADER CATEGORIES]]</f>
        <v>0.10073197321289518</v>
      </c>
      <c r="AR53">
        <f>MONTH(1 &amp; All_India_Index_Upto_April23__1[[#This Row],[Month]])</f>
        <v>12</v>
      </c>
      <c r="AS53" s="19" t="str">
        <f>All_India_Index_Upto_April23__1[[#This Row],[MONTH IN NUM]]&amp;"/"&amp;All_India_Index_Upto_April23__1[[#This Row],[Year]]</f>
        <v>12/2021</v>
      </c>
      <c r="AT5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158.91428571428574</v>
      </c>
      <c r="AU5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1605.25</v>
      </c>
    </row>
    <row r="54" spans="1:47" x14ac:dyDescent="0.3">
      <c r="A54" t="s">
        <v>33</v>
      </c>
      <c r="B54">
        <v>2021</v>
      </c>
      <c r="C54" t="s">
        <v>44</v>
      </c>
      <c r="D54">
        <v>148.69999999999999</v>
      </c>
      <c r="E54">
        <v>198.8</v>
      </c>
      <c r="F54">
        <v>177.9</v>
      </c>
      <c r="G54">
        <v>159.9</v>
      </c>
      <c r="H54">
        <v>187.6</v>
      </c>
      <c r="I54">
        <v>154.9</v>
      </c>
      <c r="J54">
        <v>188.3</v>
      </c>
      <c r="K54">
        <v>164.4</v>
      </c>
      <c r="L54">
        <v>121</v>
      </c>
      <c r="M54">
        <v>170.5</v>
      </c>
      <c r="N54">
        <v>164.2</v>
      </c>
      <c r="O54">
        <v>176.5</v>
      </c>
      <c r="P54">
        <v>168.2</v>
      </c>
      <c r="Q54">
        <v>192.4</v>
      </c>
      <c r="R54">
        <v>168.5</v>
      </c>
      <c r="S54">
        <v>158.69999999999999</v>
      </c>
      <c r="T54">
        <v>167</v>
      </c>
      <c r="U54">
        <v>163.4</v>
      </c>
      <c r="V54">
        <v>164.1</v>
      </c>
      <c r="W54">
        <v>160.19999999999999</v>
      </c>
      <c r="X54">
        <v>170.6</v>
      </c>
      <c r="Y54">
        <v>155.69999999999999</v>
      </c>
      <c r="Z54">
        <v>160.6</v>
      </c>
      <c r="AA54">
        <v>164.4</v>
      </c>
      <c r="AB54">
        <v>162.6</v>
      </c>
      <c r="AC54">
        <v>162</v>
      </c>
      <c r="AD54" s="1">
        <v>166.2</v>
      </c>
      <c r="AE54" s="1">
        <v>169.52142857142857</v>
      </c>
      <c r="AF54" s="1">
        <v>164.73333333333332</v>
      </c>
      <c r="AG54" s="1">
        <v>161.80000000000001</v>
      </c>
      <c r="AH54" s="2">
        <f>All_India_Index_Upto_April23__1[[#This Row],[House]]/All_India_Index_Upto_April23__1[[#This Row],[TOTAL BROADER CATEGORIES]]</f>
        <v>9.88964451358742E-2</v>
      </c>
      <c r="AI54" s="2">
        <f>All_India_Index_Upto_April23__1[[#This Row],[Cloth]]/All_India_Index_Upto_April23__1[[#This Row],[TOTAL BROADER CATEGORIES]]</f>
        <v>0.10068937615605485</v>
      </c>
      <c r="AJ54" s="2">
        <f>All_India_Index_Upto_April23__1[[#This Row],[Food]]/All_India_Index_Upto_April23__1[[#This Row],[TOTAL BROADER CATEGORIES]]</f>
        <v>0.10361598677422314</v>
      </c>
      <c r="AK54" s="2">
        <f>All_India_Index_Upto_April23__1[[#This Row],[Miscellaneous]]/All_India_Index_Upto_April23__1[[#This Row],[TOTAL BROADER CATEGORIES]]</f>
        <v>9.9018690432704698E-2</v>
      </c>
      <c r="AL54" s="2">
        <f>All_India_Index_Upto_April23__1[[#This Row],[Personal care and effects]]/All_India_Index_Upto_April23__1[[#This Row],[TOTAL BROADER CATEGORIES]]</f>
        <v>9.9385426323196191E-2</v>
      </c>
      <c r="AM54" s="2">
        <f>All_India_Index_Upto_April23__1[[#This Row],[Education]]/All_India_Index_Upto_April23__1[[#This Row],[TOTAL BROADER CATEGORIES]]</f>
        <v>0.1004856339946707</v>
      </c>
      <c r="AN54" s="2">
        <f>All_India_Index_Upto_April23__1[[#This Row],[Recreation and amusement]]/All_India_Index_Upto_April23__1[[#This Row],[TOTAL BROADER CATEGORIES]]</f>
        <v>9.81629733548912E-2</v>
      </c>
      <c r="AO54" s="2">
        <f>All_India_Index_Upto_April23__1[[#This Row],[Transport and communication]]/All_India_Index_Upto_April23__1[[#This Row],[TOTAL BROADER CATEGORIES]]</f>
        <v>9.5167963582543952E-2</v>
      </c>
      <c r="AP54" s="2">
        <f>All_India_Index_Upto_April23__1[[#This Row],[Health]]/All_India_Index_Upto_April23__1[[#This Row],[TOTAL BROADER CATEGORIES]]</f>
        <v>0.10427523819641618</v>
      </c>
      <c r="AQ54" s="2">
        <f>All_India_Index_Upto_April23__1[[#This Row],[Fuel and light]]/All_India_Index_Upto_April23__1[[#This Row],[TOTAL BROADER CATEGORIES]]</f>
        <v>0.10030226604942494</v>
      </c>
      <c r="AR54">
        <f>MONTH(1 &amp; All_India_Index_Upto_April23__1[[#This Row],[Month]])</f>
        <v>12</v>
      </c>
      <c r="AS54" s="19" t="str">
        <f>All_India_Index_Upto_April23__1[[#This Row],[MONTH IN NUM]]&amp;"/"&amp;All_India_Index_Upto_April23__1[[#This Row],[Year]]</f>
        <v>12/2021</v>
      </c>
      <c r="AT5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163.75714285714284</v>
      </c>
      <c r="AU5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1636.0547619047618</v>
      </c>
    </row>
    <row r="55" spans="1:47" x14ac:dyDescent="0.3">
      <c r="A55" t="s">
        <v>30</v>
      </c>
      <c r="B55">
        <v>2021</v>
      </c>
      <c r="C55" t="s">
        <v>44</v>
      </c>
      <c r="D55">
        <v>147.4</v>
      </c>
      <c r="E55">
        <v>197</v>
      </c>
      <c r="F55">
        <v>176.5</v>
      </c>
      <c r="G55">
        <v>159.80000000000001</v>
      </c>
      <c r="H55">
        <v>189.67500000000001</v>
      </c>
      <c r="I55">
        <v>152</v>
      </c>
      <c r="J55">
        <v>172.3</v>
      </c>
      <c r="K55">
        <v>164.5</v>
      </c>
      <c r="L55">
        <v>120.6</v>
      </c>
      <c r="M55">
        <v>171.7</v>
      </c>
      <c r="N55">
        <v>169.7</v>
      </c>
      <c r="O55">
        <v>175.1</v>
      </c>
      <c r="P55">
        <v>165.8</v>
      </c>
      <c r="Q55">
        <v>190.8</v>
      </c>
      <c r="R55">
        <v>171.8</v>
      </c>
      <c r="S55">
        <v>167.3</v>
      </c>
      <c r="T55">
        <v>171.2</v>
      </c>
      <c r="U55">
        <v>140.85</v>
      </c>
      <c r="V55">
        <v>165.6</v>
      </c>
      <c r="W55">
        <v>163.9</v>
      </c>
      <c r="X55">
        <v>174</v>
      </c>
      <c r="Y55">
        <v>160.1</v>
      </c>
      <c r="Z55">
        <v>164.5</v>
      </c>
      <c r="AA55">
        <v>169.7</v>
      </c>
      <c r="AB55">
        <v>162.80000000000001</v>
      </c>
      <c r="AC55">
        <v>166</v>
      </c>
      <c r="AD55" s="1">
        <v>167</v>
      </c>
      <c r="AE55" s="1">
        <v>168.5</v>
      </c>
      <c r="AF55" s="1">
        <v>170.1</v>
      </c>
      <c r="AG55" s="1">
        <v>152.375</v>
      </c>
      <c r="AH55" s="2">
        <f>All_India_Index_Upto_April23__1[[#This Row],[House]]/All_India_Index_Upto_April23__1[[#This Row],[TOTAL BROADER CATEGORIES]]</f>
        <v>9.2143256685866329E-2</v>
      </c>
      <c r="AI55" s="2">
        <f>All_India_Index_Upto_April23__1[[#This Row],[Cloth]]/All_India_Index_Upto_April23__1[[#This Row],[TOTAL BROADER CATEGORIES]]</f>
        <v>0.10286180779173659</v>
      </c>
      <c r="AJ55" s="2">
        <f>All_India_Index_Upto_April23__1[[#This Row],[Food]]/All_India_Index_Upto_April23__1[[#This Row],[TOTAL BROADER CATEGORIES]]</f>
        <v>0.10189426580192601</v>
      </c>
      <c r="AK55" s="2">
        <f>All_India_Index_Upto_April23__1[[#This Row],[Miscellaneous]]/All_India_Index_Upto_April23__1[[#This Row],[TOTAL BROADER CATEGORIES]]</f>
        <v>0.10038248144284699</v>
      </c>
      <c r="AL55" s="2">
        <f>All_India_Index_Upto_April23__1[[#This Row],[Personal care and effects]]/All_India_Index_Upto_April23__1[[#This Row],[TOTAL BROADER CATEGORIES]]</f>
        <v>9.8447397463225852E-2</v>
      </c>
      <c r="AM55" s="2">
        <f>All_India_Index_Upto_April23__1[[#This Row],[Education]]/All_India_Index_Upto_April23__1[[#This Row],[TOTAL BROADER CATEGORIES]]</f>
        <v>0.10261992229428393</v>
      </c>
      <c r="AN55" s="2">
        <f>All_India_Index_Upto_April23__1[[#This Row],[Recreation and amusement]]/All_India_Index_Upto_April23__1[[#This Row],[TOTAL BROADER CATEGORIES]]</f>
        <v>9.947541082739958E-2</v>
      </c>
      <c r="AO55" s="2">
        <f>All_India_Index_Upto_April23__1[[#This Row],[Transport and communication]]/All_India_Index_Upto_April23__1[[#This Row],[TOTAL BROADER CATEGORIES]]</f>
        <v>9.6814670355420504E-2</v>
      </c>
      <c r="AP55" s="2">
        <f>All_India_Index_Upto_April23__1[[#This Row],[Health]]/All_India_Index_Upto_April23__1[[#This Row],[TOTAL BROADER CATEGORIES]]</f>
        <v>0.10522019139189986</v>
      </c>
      <c r="AQ55" s="2">
        <f>All_India_Index_Upto_April23__1[[#This Row],[Fuel and light]]/All_India_Index_Upto_April23__1[[#This Row],[TOTAL BROADER CATEGORIES]]</f>
        <v>0.10014059594539435</v>
      </c>
      <c r="AR55">
        <f>MONTH(1 &amp; All_India_Index_Upto_April23__1[[#This Row],[Month]])</f>
        <v>12</v>
      </c>
      <c r="AS55" s="19" t="str">
        <f>All_India_Index_Upto_April23__1[[#This Row],[MONTH IN NUM]]&amp;"/"&amp;All_India_Index_Upto_April23__1[[#This Row],[Year]]</f>
        <v>12/2021</v>
      </c>
      <c r="AT5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164.33571428571426</v>
      </c>
      <c r="AU5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1653.675</v>
      </c>
    </row>
    <row r="56" spans="1:47" x14ac:dyDescent="0.3">
      <c r="A56" t="s">
        <v>30</v>
      </c>
      <c r="B56">
        <v>2021</v>
      </c>
      <c r="C56" t="s">
        <v>43</v>
      </c>
      <c r="D56">
        <v>146.9</v>
      </c>
      <c r="E56">
        <v>199.8</v>
      </c>
      <c r="F56">
        <v>171.5</v>
      </c>
      <c r="G56">
        <v>159.1</v>
      </c>
      <c r="H56">
        <v>189.67500000000001</v>
      </c>
      <c r="I56">
        <v>153.19999999999999</v>
      </c>
      <c r="J56">
        <v>183.9</v>
      </c>
      <c r="K56">
        <v>165.4</v>
      </c>
      <c r="L56">
        <v>122.1</v>
      </c>
      <c r="M56">
        <v>170.8</v>
      </c>
      <c r="N56">
        <v>169.1</v>
      </c>
      <c r="O56">
        <v>174.3</v>
      </c>
      <c r="P56">
        <v>167.5</v>
      </c>
      <c r="Q56">
        <v>191.4</v>
      </c>
      <c r="R56">
        <v>170.4</v>
      </c>
      <c r="S56">
        <v>166</v>
      </c>
      <c r="T56">
        <v>169.8</v>
      </c>
      <c r="U56">
        <v>140.85</v>
      </c>
      <c r="V56">
        <v>165.3</v>
      </c>
      <c r="W56">
        <v>162.9</v>
      </c>
      <c r="X56">
        <v>173.4</v>
      </c>
      <c r="Y56">
        <v>158.9</v>
      </c>
      <c r="Z56">
        <v>163.80000000000001</v>
      </c>
      <c r="AA56">
        <v>169.3</v>
      </c>
      <c r="AB56">
        <v>162.4</v>
      </c>
      <c r="AC56">
        <v>165.2</v>
      </c>
      <c r="AD56" s="1">
        <v>167.6</v>
      </c>
      <c r="AE56" s="1">
        <v>169.52857142857144</v>
      </c>
      <c r="AF56" s="1">
        <v>168.73333333333332</v>
      </c>
      <c r="AG56" s="1">
        <v>151.875</v>
      </c>
      <c r="AH56" s="2">
        <f>All_India_Index_Upto_April23__1[[#This Row],[House]]/All_India_Index_Upto_April23__1[[#This Row],[TOTAL BROADER CATEGORIES]]</f>
        <v>9.2132734690222401E-2</v>
      </c>
      <c r="AI56" s="2">
        <f>All_India_Index_Upto_April23__1[[#This Row],[Cloth]]/All_India_Index_Upto_April23__1[[#This Row],[TOTAL BROADER CATEGORIES]]</f>
        <v>0.10235959462318919</v>
      </c>
      <c r="AJ56" s="2">
        <f>All_India_Index_Upto_April23__1[[#This Row],[Food]]/All_India_Index_Upto_April23__1[[#This Row],[TOTAL BROADER CATEGORIES]]</f>
        <v>0.10284201411582544</v>
      </c>
      <c r="AK56" s="2">
        <f>All_India_Index_Upto_April23__1[[#This Row],[Miscellaneous]]/All_India_Index_Upto_April23__1[[#This Row],[TOTAL BROADER CATEGORIES]]</f>
        <v>0.1002161499313563</v>
      </c>
      <c r="AL56" s="2">
        <f>All_India_Index_Upto_April23__1[[#This Row],[Personal care and effects]]/All_India_Index_Upto_April23__1[[#This Row],[TOTAL BROADER CATEGORIES]]</f>
        <v>9.8517571118960451E-2</v>
      </c>
      <c r="AM56" s="2">
        <f>All_India_Index_Upto_April23__1[[#This Row],[Education]]/All_India_Index_Upto_April23__1[[#This Row],[TOTAL BROADER CATEGORIES]]</f>
        <v>0.10270335462093599</v>
      </c>
      <c r="AN56" s="2">
        <f>All_India_Index_Upto_April23__1[[#This Row],[Recreation and amusement]]/All_India_Index_Upto_April23__1[[#This Row],[TOTAL BROADER CATEGORIES]]</f>
        <v>9.936686052515839E-2</v>
      </c>
      <c r="AO56" s="2">
        <f>All_India_Index_Upto_April23__1[[#This Row],[Transport and communication]]/All_India_Index_Upto_April23__1[[#This Row],[TOTAL BROADER CATEGORIES]]</f>
        <v>9.6394347603465616E-2</v>
      </c>
      <c r="AP56" s="2">
        <f>All_India_Index_Upto_April23__1[[#This Row],[Health]]/All_India_Index_Upto_April23__1[[#This Row],[TOTAL BROADER CATEGORIES]]</f>
        <v>0.10519055931051564</v>
      </c>
      <c r="AQ56" s="2">
        <f>All_India_Index_Upto_April23__1[[#This Row],[Fuel and light]]/All_India_Index_Upto_April23__1[[#This Row],[TOTAL BROADER CATEGORIES]]</f>
        <v>0.10027681346037046</v>
      </c>
      <c r="AR56">
        <f>MONTH(1 &amp; All_India_Index_Upto_April23__1[[#This Row],[Month]])</f>
        <v>11</v>
      </c>
      <c r="AS56" s="19" t="str">
        <f>All_India_Index_Upto_April23__1[[#This Row],[MONTH IN NUM]]&amp;"/"&amp;All_India_Index_Upto_April23__1[[#This Row],[Year]]</f>
        <v>11/2021</v>
      </c>
      <c r="AT5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163.5071428571429</v>
      </c>
      <c r="AU5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1648.436904761905</v>
      </c>
    </row>
    <row r="57" spans="1:47" x14ac:dyDescent="0.3">
      <c r="A57" t="s">
        <v>32</v>
      </c>
      <c r="B57">
        <v>2021</v>
      </c>
      <c r="C57" t="s">
        <v>43</v>
      </c>
      <c r="D57">
        <v>151</v>
      </c>
      <c r="E57">
        <v>204.9</v>
      </c>
      <c r="F57">
        <v>175.4</v>
      </c>
      <c r="G57">
        <v>159.6</v>
      </c>
      <c r="H57">
        <v>175.8</v>
      </c>
      <c r="I57">
        <v>160.30000000000001</v>
      </c>
      <c r="J57">
        <v>225.46299999999999</v>
      </c>
      <c r="K57">
        <v>165.1</v>
      </c>
      <c r="L57">
        <v>123.1</v>
      </c>
      <c r="M57">
        <v>167.2</v>
      </c>
      <c r="N57">
        <v>156.1</v>
      </c>
      <c r="O57">
        <v>176.8</v>
      </c>
      <c r="P57">
        <v>173.5</v>
      </c>
      <c r="Q57">
        <v>197</v>
      </c>
      <c r="R57">
        <v>162.30000000000001</v>
      </c>
      <c r="S57">
        <v>145.30000000000001</v>
      </c>
      <c r="T57">
        <v>159.69999999999999</v>
      </c>
      <c r="U57">
        <v>164.2</v>
      </c>
      <c r="V57">
        <v>161.6</v>
      </c>
      <c r="W57">
        <v>155.19999999999999</v>
      </c>
      <c r="X57">
        <v>164.2</v>
      </c>
      <c r="Y57">
        <v>151.19999999999999</v>
      </c>
      <c r="Z57">
        <v>156.69999999999999</v>
      </c>
      <c r="AA57">
        <v>160.80000000000001</v>
      </c>
      <c r="AB57">
        <v>161.80000000000001</v>
      </c>
      <c r="AC57">
        <v>157.30000000000001</v>
      </c>
      <c r="AD57" s="1">
        <v>165.6</v>
      </c>
      <c r="AE57" s="1">
        <v>172.4928571428571</v>
      </c>
      <c r="AF57" s="1">
        <v>155.76666666666668</v>
      </c>
      <c r="AG57" s="1">
        <v>159.69999999999999</v>
      </c>
      <c r="AH57" s="2">
        <f>All_India_Index_Upto_April23__1[[#This Row],[House]]/All_India_Index_Upto_April23__1[[#This Row],[TOTAL BROADER CATEGORIES]]</f>
        <v>9.9715307252603483E-2</v>
      </c>
      <c r="AI57" s="2">
        <f>All_India_Index_Upto_April23__1[[#This Row],[Cloth]]/All_India_Index_Upto_April23__1[[#This Row],[TOTAL BROADER CATEGORIES]]</f>
        <v>9.7259367729370938E-2</v>
      </c>
      <c r="AJ57" s="2">
        <f>All_India_Index_Upto_April23__1[[#This Row],[Food]]/All_India_Index_Upto_April23__1[[#This Row],[TOTAL BROADER CATEGORIES]]</f>
        <v>0.10770305728791131</v>
      </c>
      <c r="AK57" s="2">
        <f>All_India_Index_Upto_April23__1[[#This Row],[Miscellaneous]]/All_India_Index_Upto_April23__1[[#This Row],[TOTAL BROADER CATEGORIES]]</f>
        <v>9.821676788249549E-2</v>
      </c>
      <c r="AL57" s="2">
        <f>All_India_Index_Upto_April23__1[[#This Row],[Personal care and effects]]/All_India_Index_Upto_April23__1[[#This Row],[TOTAL BROADER CATEGORIES]]</f>
        <v>0.101026529201448</v>
      </c>
      <c r="AM57" s="2">
        <f>All_India_Index_Upto_April23__1[[#This Row],[Education]]/All_India_Index_Upto_April23__1[[#This Row],[TOTAL BROADER CATEGORIES]]</f>
        <v>0.10040213779723633</v>
      </c>
      <c r="AN57" s="2">
        <f>All_India_Index_Upto_April23__1[[#This Row],[Recreation and amusement]]/All_India_Index_Upto_April23__1[[#This Row],[TOTAL BROADER CATEGORIES]]</f>
        <v>9.7842133039968471E-2</v>
      </c>
      <c r="AO57" s="2">
        <f>All_India_Index_Upto_April23__1[[#This Row],[Transport and communication]]/All_India_Index_Upto_April23__1[[#This Row],[TOTAL BROADER CATEGORIES]]</f>
        <v>9.4407980316804294E-2</v>
      </c>
      <c r="AP57" s="2">
        <f>All_India_Index_Upto_April23__1[[#This Row],[Health]]/All_India_Index_Upto_April23__1[[#This Row],[TOTAL BROADER CATEGORIES]]</f>
        <v>0.10252506857155599</v>
      </c>
      <c r="AQ57" s="2">
        <f>All_India_Index_Upto_April23__1[[#This Row],[Fuel and light]]/All_India_Index_Upto_April23__1[[#This Row],[TOTAL BROADER CATEGORIES]]</f>
        <v>0.10090165092060566</v>
      </c>
      <c r="AR57">
        <f>MONTH(1 &amp; All_India_Index_Upto_April23__1[[#This Row],[Month]])</f>
        <v>11</v>
      </c>
      <c r="AS57" s="19" t="str">
        <f>All_India_Index_Upto_April23__1[[#This Row],[MONTH IN NUM]]&amp;"/"&amp;All_India_Index_Upto_April23__1[[#This Row],[Year]]</f>
        <v>11/2021</v>
      </c>
      <c r="AT5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158.44285714285712</v>
      </c>
      <c r="AU5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1601.5595238095239</v>
      </c>
    </row>
    <row r="58" spans="1:47" x14ac:dyDescent="0.3">
      <c r="A58" t="s">
        <v>33</v>
      </c>
      <c r="B58">
        <v>2021</v>
      </c>
      <c r="C58" t="s">
        <v>43</v>
      </c>
      <c r="D58">
        <v>148.19999999999999</v>
      </c>
      <c r="E58">
        <v>201.6</v>
      </c>
      <c r="F58">
        <v>173</v>
      </c>
      <c r="G58">
        <v>159.30000000000001</v>
      </c>
      <c r="H58">
        <v>189.67500000000001</v>
      </c>
      <c r="I58">
        <v>156.5</v>
      </c>
      <c r="J58">
        <v>199.2</v>
      </c>
      <c r="K58">
        <v>165.3</v>
      </c>
      <c r="L58">
        <v>122.4</v>
      </c>
      <c r="M58">
        <v>169.6</v>
      </c>
      <c r="N58">
        <v>163.69999999999999</v>
      </c>
      <c r="O58">
        <v>175.5</v>
      </c>
      <c r="P58">
        <v>169.7</v>
      </c>
      <c r="Q58">
        <v>192.9</v>
      </c>
      <c r="R58">
        <v>167.2</v>
      </c>
      <c r="S58">
        <v>157.4</v>
      </c>
      <c r="T58">
        <v>165.8</v>
      </c>
      <c r="U58">
        <v>164.2</v>
      </c>
      <c r="V58">
        <v>163.9</v>
      </c>
      <c r="W58">
        <v>159.30000000000001</v>
      </c>
      <c r="X58">
        <v>169.9</v>
      </c>
      <c r="Y58">
        <v>154.80000000000001</v>
      </c>
      <c r="Z58">
        <v>159.80000000000001</v>
      </c>
      <c r="AA58">
        <v>164.3</v>
      </c>
      <c r="AB58">
        <v>162.19999999999999</v>
      </c>
      <c r="AC58">
        <v>161.4</v>
      </c>
      <c r="AD58" s="1">
        <v>166.7</v>
      </c>
      <c r="AE58" s="1">
        <v>170.5</v>
      </c>
      <c r="AF58" s="1">
        <v>163.46666666666667</v>
      </c>
      <c r="AG58" s="1">
        <v>161.75</v>
      </c>
      <c r="AH58" s="2">
        <f>All_India_Index_Upto_April23__1[[#This Row],[House]]/All_India_Index_Upto_April23__1[[#This Row],[TOTAL BROADER CATEGORIES]]</f>
        <v>9.9110507449883076E-2</v>
      </c>
      <c r="AI58" s="2">
        <f>All_India_Index_Upto_April23__1[[#This Row],[Cloth]]/All_India_Index_Upto_April23__1[[#This Row],[TOTAL BROADER CATEGORIES]]</f>
        <v>0.10016237579273088</v>
      </c>
      <c r="AJ58" s="2">
        <f>All_India_Index_Upto_April23__1[[#This Row],[Food]]/All_India_Index_Upto_April23__1[[#This Row],[TOTAL BROADER CATEGORIES]]</f>
        <v>0.10447197230420441</v>
      </c>
      <c r="AK58" s="2">
        <f>All_India_Index_Upto_April23__1[[#This Row],[Miscellaneous]]/All_India_Index_Upto_April23__1[[#This Row],[TOTAL BROADER CATEGORIES]]</f>
        <v>9.8896048855710225E-2</v>
      </c>
      <c r="AL58" s="2">
        <f>All_India_Index_Upto_April23__1[[#This Row],[Personal care and effects]]/All_India_Index_Upto_April23__1[[#This Row],[TOTAL BROADER CATEGORIES]]</f>
        <v>9.9386239928105302E-2</v>
      </c>
      <c r="AM58" s="2">
        <f>All_India_Index_Upto_April23__1[[#This Row],[Education]]/All_India_Index_Upto_April23__1[[#This Row],[TOTAL BROADER CATEGORIES]]</f>
        <v>0.10067299149314243</v>
      </c>
      <c r="AN58" s="2">
        <f>All_India_Index_Upto_April23__1[[#This Row],[Recreation and amusement]]/All_India_Index_Upto_April23__1[[#This Row],[TOTAL BROADER CATEGORIES]]</f>
        <v>9.791566671092003E-2</v>
      </c>
      <c r="AO58" s="2">
        <f>All_India_Index_Upto_April23__1[[#This Row],[Transport and communication]]/All_India_Index_Upto_April23__1[[#This Row],[TOTAL BROADER CATEGORIES]]</f>
        <v>9.4851972508450691E-2</v>
      </c>
      <c r="AP58" s="2">
        <f>All_India_Index_Upto_April23__1[[#This Row],[Health]]/All_India_Index_Upto_April23__1[[#This Row],[TOTAL BROADER CATEGORIES]]</f>
        <v>0.1041043289999081</v>
      </c>
      <c r="AQ58" s="2">
        <f>All_India_Index_Upto_April23__1[[#This Row],[Fuel and light]]/All_India_Index_Upto_April23__1[[#This Row],[TOTAL BROADER CATEGORIES]]</f>
        <v>0.10042789595694489</v>
      </c>
      <c r="AR58">
        <f>MONTH(1 &amp; All_India_Index_Upto_April23__1[[#This Row],[Month]])</f>
        <v>11</v>
      </c>
      <c r="AS58" s="19" t="str">
        <f>All_India_Index_Upto_April23__1[[#This Row],[MONTH IN NUM]]&amp;"/"&amp;All_India_Index_Upto_April23__1[[#This Row],[Year]]</f>
        <v>11/2021</v>
      </c>
      <c r="AT5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163.15714285714284</v>
      </c>
      <c r="AU5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1632.0166666666667</v>
      </c>
    </row>
    <row r="59" spans="1:47" x14ac:dyDescent="0.3">
      <c r="A59" t="s">
        <v>33</v>
      </c>
      <c r="B59">
        <v>2021</v>
      </c>
      <c r="C59" t="s">
        <v>42</v>
      </c>
      <c r="D59">
        <v>147.4</v>
      </c>
      <c r="E59">
        <v>204.6</v>
      </c>
      <c r="F59">
        <v>171.2</v>
      </c>
      <c r="G59">
        <v>158.69999999999999</v>
      </c>
      <c r="H59">
        <v>189.67500000000001</v>
      </c>
      <c r="I59">
        <v>155.69999999999999</v>
      </c>
      <c r="J59">
        <v>185.3</v>
      </c>
      <c r="K59">
        <v>165.2</v>
      </c>
      <c r="L59">
        <v>121.9</v>
      </c>
      <c r="M59">
        <v>169.3</v>
      </c>
      <c r="N59">
        <v>163.19999999999999</v>
      </c>
      <c r="O59">
        <v>174.7</v>
      </c>
      <c r="P59">
        <v>167.7</v>
      </c>
      <c r="Q59">
        <v>192.7</v>
      </c>
      <c r="R59">
        <v>165.7</v>
      </c>
      <c r="S59">
        <v>156.30000000000001</v>
      </c>
      <c r="T59">
        <v>164.3</v>
      </c>
      <c r="U59">
        <v>163.6</v>
      </c>
      <c r="V59">
        <v>164.2</v>
      </c>
      <c r="W59">
        <v>158.4</v>
      </c>
      <c r="X59">
        <v>169.1</v>
      </c>
      <c r="Y59">
        <v>155.69999999999999</v>
      </c>
      <c r="Z59">
        <v>158.6</v>
      </c>
      <c r="AA59">
        <v>163.9</v>
      </c>
      <c r="AB59">
        <v>160.80000000000001</v>
      </c>
      <c r="AC59">
        <v>161</v>
      </c>
      <c r="AD59" s="1">
        <v>165.5</v>
      </c>
      <c r="AE59" s="1">
        <v>169.15714285714284</v>
      </c>
      <c r="AF59" s="1">
        <v>162.1</v>
      </c>
      <c r="AG59" s="1">
        <v>161</v>
      </c>
      <c r="AH59" s="2">
        <f>All_India_Index_Upto_April23__1[[#This Row],[House]]/All_India_Index_Upto_April23__1[[#This Row],[TOTAL BROADER CATEGORIES]]</f>
        <v>9.9042965488755505E-2</v>
      </c>
      <c r="AI59" s="2">
        <f>All_India_Index_Upto_April23__1[[#This Row],[Cloth]]/All_India_Index_Upto_April23__1[[#This Row],[TOTAL BROADER CATEGORIES]]</f>
        <v>9.9719656557312214E-2</v>
      </c>
      <c r="AJ59" s="2">
        <f>All_India_Index_Upto_April23__1[[#This Row],[Food]]/All_India_Index_Upto_April23__1[[#This Row],[TOTAL BROADER CATEGORIES]]</f>
        <v>0.10406102523090983</v>
      </c>
      <c r="AK59" s="2">
        <f>All_India_Index_Upto_April23__1[[#This Row],[Miscellaneous]]/All_India_Index_Upto_April23__1[[#This Row],[TOTAL BROADER CATEGORIES]]</f>
        <v>9.9042965488755505E-2</v>
      </c>
      <c r="AL59" s="2">
        <f>All_India_Index_Upto_April23__1[[#This Row],[Personal care and effects]]/All_India_Index_Upto_April23__1[[#This Row],[TOTAL BROADER CATEGORIES]]</f>
        <v>9.891993074901792E-2</v>
      </c>
      <c r="AM59" s="2">
        <f>All_India_Index_Upto_April23__1[[#This Row],[Education]]/All_India_Index_Upto_April23__1[[#This Row],[TOTAL BROADER CATEGORIES]]</f>
        <v>0.10082696921495048</v>
      </c>
      <c r="AN59" s="2">
        <f>All_India_Index_Upto_April23__1[[#This Row],[Recreation and amusement]]/All_India_Index_Upto_April23__1[[#This Row],[TOTAL BROADER CATEGORIES]]</f>
        <v>9.7566548611904488E-2</v>
      </c>
      <c r="AO59" s="2">
        <f>All_India_Index_Upto_April23__1[[#This Row],[Transport and communication]]/All_India_Index_Upto_April23__1[[#This Row],[TOTAL BROADER CATEGORIES]]</f>
        <v>9.5782544885709503E-2</v>
      </c>
      <c r="AP59" s="2">
        <f>All_India_Index_Upto_April23__1[[#This Row],[Health]]/All_India_Index_Upto_April23__1[[#This Row],[TOTAL BROADER CATEGORIES]]</f>
        <v>0.10402587244812767</v>
      </c>
      <c r="AQ59" s="2">
        <f>All_India_Index_Upto_April23__1[[#This Row],[Fuel and light]]/All_India_Index_Upto_April23__1[[#This Row],[TOTAL BROADER CATEGORIES]]</f>
        <v>0.10101152132455685</v>
      </c>
      <c r="AR59">
        <f>MONTH(1 &amp; All_India_Index_Upto_April23__1[[#This Row],[Month]])</f>
        <v>10</v>
      </c>
      <c r="AS59" s="19" t="str">
        <f>All_India_Index_Upto_April23__1[[#This Row],[MONTH IN NUM]]&amp;"/"&amp;All_India_Index_Upto_April23__1[[#This Row],[Year]]</f>
        <v>10/2021</v>
      </c>
      <c r="AT5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162.34285714285716</v>
      </c>
      <c r="AU5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1625.5571428571429</v>
      </c>
    </row>
    <row r="60" spans="1:47" x14ac:dyDescent="0.3">
      <c r="A60" t="s">
        <v>30</v>
      </c>
      <c r="B60">
        <v>2021</v>
      </c>
      <c r="C60" t="s">
        <v>42</v>
      </c>
      <c r="D60">
        <v>146.1</v>
      </c>
      <c r="E60">
        <v>202.5</v>
      </c>
      <c r="F60">
        <v>170.1</v>
      </c>
      <c r="G60">
        <v>158.4</v>
      </c>
      <c r="H60">
        <v>189.67500000000001</v>
      </c>
      <c r="I60">
        <v>152.6</v>
      </c>
      <c r="J60">
        <v>170.4</v>
      </c>
      <c r="K60">
        <v>165.2</v>
      </c>
      <c r="L60">
        <v>121.6</v>
      </c>
      <c r="M60">
        <v>170.6</v>
      </c>
      <c r="N60">
        <v>168.8</v>
      </c>
      <c r="O60">
        <v>173.6</v>
      </c>
      <c r="P60">
        <v>165.5</v>
      </c>
      <c r="Q60">
        <v>191.2</v>
      </c>
      <c r="R60">
        <v>168.9</v>
      </c>
      <c r="S60">
        <v>164.8</v>
      </c>
      <c r="T60">
        <v>168.3</v>
      </c>
      <c r="U60">
        <v>140.85</v>
      </c>
      <c r="V60">
        <v>165.5</v>
      </c>
      <c r="W60">
        <v>162</v>
      </c>
      <c r="X60">
        <v>172.5</v>
      </c>
      <c r="Y60">
        <v>159.5</v>
      </c>
      <c r="Z60">
        <v>163.19999999999999</v>
      </c>
      <c r="AA60">
        <v>169</v>
      </c>
      <c r="AB60">
        <v>161.1</v>
      </c>
      <c r="AC60">
        <v>164.7</v>
      </c>
      <c r="AD60" s="1">
        <v>166.3</v>
      </c>
      <c r="AE60" s="1">
        <v>168.2428571428571</v>
      </c>
      <c r="AF60" s="1">
        <v>167.33333333333334</v>
      </c>
      <c r="AG60" s="1">
        <v>151.42500000000001</v>
      </c>
      <c r="AH60" s="2">
        <f>All_India_Index_Upto_April23__1[[#This Row],[House]]/All_India_Index_Upto_April23__1[[#This Row],[TOTAL BROADER CATEGORIES]]</f>
        <v>9.2191714001801844E-2</v>
      </c>
      <c r="AI60" s="2">
        <f>All_India_Index_Upto_April23__1[[#This Row],[Cloth]]/All_India_Index_Upto_April23__1[[#This Row],[TOTAL BROADER CATEGORIES]]</f>
        <v>0.10187714584536796</v>
      </c>
      <c r="AJ60" s="2">
        <f>All_India_Index_Upto_April23__1[[#This Row],[Food]]/All_India_Index_Upto_April23__1[[#This Row],[TOTAL BROADER CATEGORIES]]</f>
        <v>0.10243088901145971</v>
      </c>
      <c r="AK60" s="2">
        <f>All_India_Index_Upto_April23__1[[#This Row],[Miscellaneous]]/All_India_Index_Upto_April23__1[[#This Row],[TOTAL BROADER CATEGORIES]]</f>
        <v>0.10027389992469382</v>
      </c>
      <c r="AL60" s="2">
        <f>All_India_Index_Upto_April23__1[[#This Row],[Personal care and effects]]/All_India_Index_Upto_April23__1[[#This Row],[TOTAL BROADER CATEGORIES]]</f>
        <v>9.8082120691367181E-2</v>
      </c>
      <c r="AM60" s="2">
        <f>All_India_Index_Upto_April23__1[[#This Row],[Education]]/All_India_Index_Upto_April23__1[[#This Row],[TOTAL BROADER CATEGORIES]]</f>
        <v>0.10289185845338954</v>
      </c>
      <c r="AN60" s="2">
        <f>All_India_Index_Upto_April23__1[[#This Row],[Recreation and amusement]]/All_India_Index_Upto_April23__1[[#This Row],[TOTAL BROADER CATEGORIES]]</f>
        <v>9.9360658577474392E-2</v>
      </c>
      <c r="AO60" s="2">
        <f>All_India_Index_Upto_April23__1[[#This Row],[Transport and communication]]/All_India_Index_Upto_April23__1[[#This Row],[TOTAL BROADER CATEGORIES]]</f>
        <v>9.7107996587666459E-2</v>
      </c>
      <c r="AP60" s="2">
        <f>All_India_Index_Upto_April23__1[[#This Row],[Health]]/All_India_Index_Upto_April23__1[[#This Row],[TOTAL BROADER CATEGORIES]]</f>
        <v>0.10502275493023489</v>
      </c>
      <c r="AQ60" s="2">
        <f>All_India_Index_Upto_April23__1[[#This Row],[Fuel and light]]/All_India_Index_Upto_April23__1[[#This Row],[TOTAL BROADER CATEGORIES]]</f>
        <v>0.10076096197654419</v>
      </c>
      <c r="AR60">
        <f>MONTH(1 &amp; All_India_Index_Upto_April23__1[[#This Row],[Month]])</f>
        <v>10</v>
      </c>
      <c r="AS60" s="19" t="str">
        <f>All_India_Index_Upto_April23__1[[#This Row],[MONTH IN NUM]]&amp;"/"&amp;All_India_Index_Upto_April23__1[[#This Row],[Year]]</f>
        <v>10/2021</v>
      </c>
      <c r="AT6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162.76428571428573</v>
      </c>
      <c r="AU6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1642.5011904761905</v>
      </c>
    </row>
    <row r="61" spans="1:47" x14ac:dyDescent="0.3">
      <c r="A61" t="s">
        <v>32</v>
      </c>
      <c r="B61">
        <v>2021</v>
      </c>
      <c r="C61" t="s">
        <v>42</v>
      </c>
      <c r="D61">
        <v>150.1</v>
      </c>
      <c r="E61">
        <v>208.4</v>
      </c>
      <c r="F61">
        <v>173</v>
      </c>
      <c r="G61">
        <v>159.19999999999999</v>
      </c>
      <c r="H61">
        <v>176.6</v>
      </c>
      <c r="I61">
        <v>159.30000000000001</v>
      </c>
      <c r="J61">
        <v>214.4</v>
      </c>
      <c r="K61">
        <v>165.3</v>
      </c>
      <c r="L61">
        <v>122.5</v>
      </c>
      <c r="M61">
        <v>166.8</v>
      </c>
      <c r="N61">
        <v>155.4</v>
      </c>
      <c r="O61">
        <v>175.9</v>
      </c>
      <c r="P61">
        <v>171.5</v>
      </c>
      <c r="Q61">
        <v>197</v>
      </c>
      <c r="R61">
        <v>160.80000000000001</v>
      </c>
      <c r="S61">
        <v>144.4</v>
      </c>
      <c r="T61">
        <v>158.30000000000001</v>
      </c>
      <c r="U61">
        <v>163.6</v>
      </c>
      <c r="V61">
        <v>162.19999999999999</v>
      </c>
      <c r="W61">
        <v>154.30000000000001</v>
      </c>
      <c r="X61">
        <v>163.5</v>
      </c>
      <c r="Y61">
        <v>152.19999999999999</v>
      </c>
      <c r="Z61">
        <v>155.1</v>
      </c>
      <c r="AA61">
        <v>160.30000000000001</v>
      </c>
      <c r="AB61">
        <v>160.30000000000001</v>
      </c>
      <c r="AC61">
        <v>157</v>
      </c>
      <c r="AD61" s="1">
        <v>164.6</v>
      </c>
      <c r="AE61" s="1">
        <v>171.10000000000005</v>
      </c>
      <c r="AF61" s="1">
        <v>154.50000000000003</v>
      </c>
      <c r="AG61" s="1">
        <v>158.94999999999999</v>
      </c>
      <c r="AH61" s="2">
        <f>All_India_Index_Upto_April23__1[[#This Row],[House]]/All_India_Index_Upto_April23__1[[#This Row],[TOTAL BROADER CATEGORIES]]</f>
        <v>9.9645801335297601E-2</v>
      </c>
      <c r="AI61" s="2">
        <f>All_India_Index_Upto_April23__1[[#This Row],[Cloth]]/All_India_Index_Upto_April23__1[[#This Row],[TOTAL BROADER CATEGORIES]]</f>
        <v>9.6856095038084206E-2</v>
      </c>
      <c r="AJ61" s="2">
        <f>All_India_Index_Upto_April23__1[[#This Row],[Food]]/All_India_Index_Upto_April23__1[[#This Row],[TOTAL BROADER CATEGORIES]]</f>
        <v>0.10726263987712757</v>
      </c>
      <c r="AK61" s="2">
        <f>All_India_Index_Upto_April23__1[[#This Row],[Miscellaneous]]/All_India_Index_Upto_April23__1[[#This Row],[TOTAL BROADER CATEGORIES]]</f>
        <v>9.8423345766855783E-2</v>
      </c>
      <c r="AL61" s="2">
        <f>All_India_Index_Upto_April23__1[[#This Row],[Personal care and effects]]/All_India_Index_Upto_April23__1[[#This Row],[TOTAL BROADER CATEGORIES]]</f>
        <v>0.10049211672883428</v>
      </c>
      <c r="AM61" s="2">
        <f>All_India_Index_Upto_April23__1[[#This Row],[Education]]/All_India_Index_Upto_April23__1[[#This Row],[TOTAL BROADER CATEGORIES]]</f>
        <v>0.10049211672883428</v>
      </c>
      <c r="AN61" s="2">
        <f>All_India_Index_Upto_April23__1[[#This Row],[Recreation and amusement]]/All_India_Index_Upto_April23__1[[#This Row],[TOTAL BROADER CATEGORIES]]</f>
        <v>9.7232235212989362E-2</v>
      </c>
      <c r="AO61" s="2">
        <f>All_India_Index_Upto_April23__1[[#This Row],[Transport and communication]]/All_India_Index_Upto_April23__1[[#This Row],[TOTAL BROADER CATEGORIES]]</f>
        <v>9.541422436761432E-2</v>
      </c>
      <c r="AP61" s="2">
        <f>All_India_Index_Upto_April23__1[[#This Row],[Health]]/All_India_Index_Upto_April23__1[[#This Row],[TOTAL BROADER CATEGORIES]]</f>
        <v>0.10249819766166191</v>
      </c>
      <c r="AQ61" s="2">
        <f>All_India_Index_Upto_April23__1[[#This Row],[Fuel and light]]/All_India_Index_Upto_April23__1[[#This Row],[TOTAL BROADER CATEGORIES]]</f>
        <v>0.10168322728270067</v>
      </c>
      <c r="AR61">
        <f>MONTH(1 &amp; All_India_Index_Upto_April23__1[[#This Row],[Month]])</f>
        <v>10</v>
      </c>
      <c r="AS61" s="19" t="str">
        <f>All_India_Index_Upto_April23__1[[#This Row],[MONTH IN NUM]]&amp;"/"&amp;All_India_Index_Upto_April23__1[[#This Row],[Year]]</f>
        <v>10/2021</v>
      </c>
      <c r="AT6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157.70000000000002</v>
      </c>
      <c r="AU6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1595.15</v>
      </c>
    </row>
    <row r="62" spans="1:47" x14ac:dyDescent="0.3">
      <c r="A62" t="s">
        <v>32</v>
      </c>
      <c r="B62">
        <v>2021</v>
      </c>
      <c r="C62" t="s">
        <v>41</v>
      </c>
      <c r="D62">
        <v>149.30000000000001</v>
      </c>
      <c r="E62">
        <v>207.4</v>
      </c>
      <c r="F62">
        <v>174.1</v>
      </c>
      <c r="G62">
        <v>159.1</v>
      </c>
      <c r="H62">
        <v>175</v>
      </c>
      <c r="I62">
        <v>161.19999999999999</v>
      </c>
      <c r="J62">
        <v>183.5</v>
      </c>
      <c r="K62">
        <v>164.5</v>
      </c>
      <c r="L62">
        <v>120.4</v>
      </c>
      <c r="M62">
        <v>166.2</v>
      </c>
      <c r="N62">
        <v>154.80000000000001</v>
      </c>
      <c r="O62">
        <v>175.1</v>
      </c>
      <c r="P62">
        <v>167.3</v>
      </c>
      <c r="Q62">
        <v>196.5</v>
      </c>
      <c r="R62">
        <v>159.80000000000001</v>
      </c>
      <c r="S62">
        <v>143.6</v>
      </c>
      <c r="T62">
        <v>157.4</v>
      </c>
      <c r="U62">
        <v>162.1</v>
      </c>
      <c r="V62">
        <v>160.80000000000001</v>
      </c>
      <c r="W62">
        <v>153.30000000000001</v>
      </c>
      <c r="X62">
        <v>162.80000000000001</v>
      </c>
      <c r="Y62">
        <v>150.5</v>
      </c>
      <c r="Z62">
        <v>153.9</v>
      </c>
      <c r="AA62">
        <v>160.30000000000001</v>
      </c>
      <c r="AB62">
        <v>159.6</v>
      </c>
      <c r="AC62">
        <v>156</v>
      </c>
      <c r="AD62" s="1">
        <v>162.30000000000001</v>
      </c>
      <c r="AE62" s="1">
        <v>168.17142857142858</v>
      </c>
      <c r="AF62" s="1">
        <v>153.6</v>
      </c>
      <c r="AG62" s="1">
        <v>157.69999999999999</v>
      </c>
      <c r="AH62" s="2">
        <f>All_India_Index_Upto_April23__1[[#This Row],[House]]/All_India_Index_Upto_April23__1[[#This Row],[TOTAL BROADER CATEGORIES]]</f>
        <v>9.9597603666678691E-2</v>
      </c>
      <c r="AI62" s="2">
        <f>All_India_Index_Upto_April23__1[[#This Row],[Cloth]]/All_India_Index_Upto_April23__1[[#This Row],[TOTAL BROADER CATEGORIES]]</f>
        <v>9.7008192284095407E-2</v>
      </c>
      <c r="AJ62" s="2">
        <f>All_India_Index_Upto_April23__1[[#This Row],[Food]]/All_India_Index_Upto_April23__1[[#This Row],[TOTAL BROADER CATEGORIES]]</f>
        <v>0.10621097838247501</v>
      </c>
      <c r="AK62" s="2">
        <f>All_India_Index_Upto_April23__1[[#This Row],[Miscellaneous]]/All_India_Index_Upto_April23__1[[#This Row],[TOTAL BROADER CATEGORIES]]</f>
        <v>9.8523945288534406E-2</v>
      </c>
      <c r="AL62" s="2">
        <f>All_India_Index_Upto_April23__1[[#This Row],[Personal care and effects]]/All_India_Index_Upto_April23__1[[#This Row],[TOTAL BROADER CATEGORIES]]</f>
        <v>0.10079757479519288</v>
      </c>
      <c r="AM62" s="2">
        <f>All_India_Index_Upto_April23__1[[#This Row],[Education]]/All_India_Index_Upto_April23__1[[#This Row],[TOTAL BROADER CATEGORIES]]</f>
        <v>0.10123966942148761</v>
      </c>
      <c r="AN62" s="2">
        <f>All_India_Index_Upto_April23__1[[#This Row],[Recreation and amusement]]/All_India_Index_Upto_April23__1[[#This Row],[TOTAL BROADER CATEGORIES]]</f>
        <v>9.7197661409650291E-2</v>
      </c>
      <c r="AO62" s="2">
        <f>All_India_Index_Upto_April23__1[[#This Row],[Transport and communication]]/All_India_Index_Upto_April23__1[[#This Row],[TOTAL BROADER CATEGORIES]]</f>
        <v>9.5050344653361721E-2</v>
      </c>
      <c r="AP62" s="2">
        <f>All_India_Index_Upto_April23__1[[#This Row],[Health]]/All_India_Index_Upto_April23__1[[#This Row],[TOTAL BROADER CATEGORIES]]</f>
        <v>0.10281857880111156</v>
      </c>
      <c r="AQ62" s="2">
        <f>All_India_Index_Upto_April23__1[[#This Row],[Fuel and light]]/All_India_Index_Upto_April23__1[[#This Row],[TOTAL BROADER CATEGORIES]]</f>
        <v>0.10155545129741239</v>
      </c>
      <c r="AR62">
        <f>MONTH(1 &amp; All_India_Index_Upto_April23__1[[#This Row],[Month]])</f>
        <v>9</v>
      </c>
      <c r="AS62" s="19" t="str">
        <f>All_India_Index_Upto_April23__1[[#This Row],[MONTH IN NUM]]&amp;"/"&amp;All_India_Index_Upto_April23__1[[#This Row],[Year]]</f>
        <v>9/2021</v>
      </c>
      <c r="AT6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156.75714285714284</v>
      </c>
      <c r="AU6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1583.3714285714286</v>
      </c>
    </row>
    <row r="63" spans="1:47" x14ac:dyDescent="0.3">
      <c r="A63" t="s">
        <v>33</v>
      </c>
      <c r="B63">
        <v>2021</v>
      </c>
      <c r="C63" t="s">
        <v>41</v>
      </c>
      <c r="D63">
        <v>146.6</v>
      </c>
      <c r="E63">
        <v>204</v>
      </c>
      <c r="F63">
        <v>172.8</v>
      </c>
      <c r="G63">
        <v>158.4</v>
      </c>
      <c r="H63">
        <v>188</v>
      </c>
      <c r="I63">
        <v>156.69999999999999</v>
      </c>
      <c r="J63">
        <v>162.30000000000001</v>
      </c>
      <c r="K63">
        <v>164.1</v>
      </c>
      <c r="L63">
        <v>119.7</v>
      </c>
      <c r="M63">
        <v>168.8</v>
      </c>
      <c r="N63">
        <v>162.69999999999999</v>
      </c>
      <c r="O63">
        <v>173.9</v>
      </c>
      <c r="P63">
        <v>164</v>
      </c>
      <c r="Q63">
        <v>192.1</v>
      </c>
      <c r="R63">
        <v>164.6</v>
      </c>
      <c r="S63">
        <v>155.30000000000001</v>
      </c>
      <c r="T63">
        <v>163.30000000000001</v>
      </c>
      <c r="U63">
        <v>162.1</v>
      </c>
      <c r="V63">
        <v>162.6</v>
      </c>
      <c r="W63">
        <v>157.5</v>
      </c>
      <c r="X63">
        <v>168.4</v>
      </c>
      <c r="Y63">
        <v>154</v>
      </c>
      <c r="Z63">
        <v>157.69999999999999</v>
      </c>
      <c r="AA63">
        <v>163.69999999999999</v>
      </c>
      <c r="AB63">
        <v>160</v>
      </c>
      <c r="AC63">
        <v>160</v>
      </c>
      <c r="AD63" s="1">
        <v>163.19999999999999</v>
      </c>
      <c r="AE63" s="1">
        <v>166.72142857142856</v>
      </c>
      <c r="AF63" s="1">
        <v>161.06666666666666</v>
      </c>
      <c r="AG63" s="1">
        <v>159.80000000000001</v>
      </c>
      <c r="AH63" s="2">
        <f>All_India_Index_Upto_April23__1[[#This Row],[House]]/All_India_Index_Upto_April23__1[[#This Row],[TOTAL BROADER CATEGORIES]]</f>
        <v>9.900940438871475E-2</v>
      </c>
      <c r="AI63" s="2">
        <f>All_India_Index_Upto_April23__1[[#This Row],[Cloth]]/All_India_Index_Upto_April23__1[[#This Row],[TOTAL BROADER CATEGORIES]]</f>
        <v>9.9794209846948187E-2</v>
      </c>
      <c r="AJ63" s="2">
        <f>All_India_Index_Upto_April23__1[[#This Row],[Food]]/All_India_Index_Upto_April23__1[[#This Row],[TOTAL BROADER CATEGORIES]]</f>
        <v>0.10329780564263323</v>
      </c>
      <c r="AK63" s="2">
        <f>All_India_Index_Upto_April23__1[[#This Row],[Miscellaneous]]/All_India_Index_Upto_April23__1[[#This Row],[TOTAL BROADER CATEGORIES]]</f>
        <v>9.9133321040014752E-2</v>
      </c>
      <c r="AL63" s="2">
        <f>All_India_Index_Upto_April23__1[[#This Row],[Personal care and effects]]/All_India_Index_Upto_April23__1[[#This Row],[TOTAL BROADER CATEGORIES]]</f>
        <v>9.9133321040014752E-2</v>
      </c>
      <c r="AM63" s="2">
        <f>All_India_Index_Upto_April23__1[[#This Row],[Education]]/All_India_Index_Upto_April23__1[[#This Row],[TOTAL BROADER CATEGORIES]]</f>
        <v>0.1014257790890651</v>
      </c>
      <c r="AN63" s="2">
        <f>All_India_Index_Upto_April23__1[[#This Row],[Recreation and amusement]]/All_India_Index_Upto_April23__1[[#This Row],[TOTAL BROADER CATEGORIES]]</f>
        <v>9.7708279550064531E-2</v>
      </c>
      <c r="AO63" s="2">
        <f>All_India_Index_Upto_April23__1[[#This Row],[Transport and communication]]/All_India_Index_Upto_April23__1[[#This Row],[TOTAL BROADER CATEGORIES]]</f>
        <v>9.54158215010142E-2</v>
      </c>
      <c r="AP63" s="2">
        <f>All_India_Index_Upto_April23__1[[#This Row],[Health]]/All_India_Index_Upto_April23__1[[#This Row],[TOTAL BROADER CATEGORIES]]</f>
        <v>0.10433782039461553</v>
      </c>
      <c r="AQ63" s="2">
        <f>All_India_Index_Upto_April23__1[[#This Row],[Fuel and light]]/All_India_Index_Upto_April23__1[[#This Row],[TOTAL BROADER CATEGORIES]]</f>
        <v>0.100744237506915</v>
      </c>
      <c r="AR63">
        <f>MONTH(1 &amp; All_India_Index_Upto_April23__1[[#This Row],[Month]])</f>
        <v>9</v>
      </c>
      <c r="AS63" s="19" t="str">
        <f>All_India_Index_Upto_April23__1[[#This Row],[MONTH IN NUM]]&amp;"/"&amp;All_India_Index_Upto_April23__1[[#This Row],[Year]]</f>
        <v>9/2021</v>
      </c>
      <c r="AT6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161.29999999999998</v>
      </c>
      <c r="AU6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1613.9880952380952</v>
      </c>
    </row>
    <row r="64" spans="1:47" x14ac:dyDescent="0.3">
      <c r="A64" t="s">
        <v>30</v>
      </c>
      <c r="B64">
        <v>2021</v>
      </c>
      <c r="C64" t="s">
        <v>41</v>
      </c>
      <c r="D64">
        <v>145.4</v>
      </c>
      <c r="E64">
        <v>202.1</v>
      </c>
      <c r="F64">
        <v>172</v>
      </c>
      <c r="G64">
        <v>158</v>
      </c>
      <c r="H64">
        <v>189.67500000000001</v>
      </c>
      <c r="I64">
        <v>152.69999999999999</v>
      </c>
      <c r="J64">
        <v>151.4</v>
      </c>
      <c r="K64">
        <v>163.9</v>
      </c>
      <c r="L64">
        <v>119.3</v>
      </c>
      <c r="M64">
        <v>170.1</v>
      </c>
      <c r="N64">
        <v>168.3</v>
      </c>
      <c r="O64">
        <v>172.8</v>
      </c>
      <c r="P64">
        <v>162.1</v>
      </c>
      <c r="Q64">
        <v>190.5</v>
      </c>
      <c r="R64">
        <v>167.7</v>
      </c>
      <c r="S64">
        <v>163.6</v>
      </c>
      <c r="T64">
        <v>167.1</v>
      </c>
      <c r="U64">
        <v>140.85</v>
      </c>
      <c r="V64">
        <v>163.69999999999999</v>
      </c>
      <c r="W64">
        <v>161.30000000000001</v>
      </c>
      <c r="X64">
        <v>171.9</v>
      </c>
      <c r="Y64">
        <v>157.80000000000001</v>
      </c>
      <c r="Z64">
        <v>162.69999999999999</v>
      </c>
      <c r="AA64">
        <v>168.5</v>
      </c>
      <c r="AB64">
        <v>160.19999999999999</v>
      </c>
      <c r="AC64">
        <v>163.80000000000001</v>
      </c>
      <c r="AD64" s="1">
        <v>164</v>
      </c>
      <c r="AE64" s="1">
        <v>166.00714285714284</v>
      </c>
      <c r="AF64" s="1">
        <v>166.13333333333333</v>
      </c>
      <c r="AG64" s="1">
        <v>151.07499999999999</v>
      </c>
      <c r="AH64" s="2">
        <f>All_India_Index_Upto_April23__1[[#This Row],[House]]/All_India_Index_Upto_April23__1[[#This Row],[TOTAL BROADER CATEGORIES]]</f>
        <v>9.2580933447628064E-2</v>
      </c>
      <c r="AI64" s="2">
        <f>All_India_Index_Upto_April23__1[[#This Row],[Cloth]]/All_India_Index_Upto_April23__1[[#This Row],[TOTAL BROADER CATEGORIES]]</f>
        <v>0.10180889675171896</v>
      </c>
      <c r="AJ64" s="2">
        <f>All_India_Index_Upto_April23__1[[#This Row],[Food]]/All_India_Index_Upto_April23__1[[#This Row],[TOTAL BROADER CATEGORIES]]</f>
        <v>0.10173156541246418</v>
      </c>
      <c r="AK64" s="2">
        <f>All_India_Index_Upto_April23__1[[#This Row],[Miscellaneous]]/All_India_Index_Upto_April23__1[[#This Row],[TOTAL BROADER CATEGORIES]]</f>
        <v>0.10037899651644203</v>
      </c>
      <c r="AL64" s="2">
        <f>All_India_Index_Upto_April23__1[[#This Row],[Personal care and effects]]/All_India_Index_Upto_April23__1[[#This Row],[TOTAL BROADER CATEGORIES]]</f>
        <v>9.8172864724871856E-2</v>
      </c>
      <c r="AM64" s="2">
        <f>All_India_Index_Upto_April23__1[[#This Row],[Education]]/All_India_Index_Upto_April23__1[[#This Row],[TOTAL BROADER CATEGORIES]]</f>
        <v>0.10325922413321416</v>
      </c>
      <c r="AN64" s="2">
        <f>All_India_Index_Upto_April23__1[[#This Row],[Recreation and amusement]]/All_India_Index_Upto_April23__1[[#This Row],[TOTAL BROADER CATEGORIES]]</f>
        <v>9.9704900691240023E-2</v>
      </c>
      <c r="AO64" s="2">
        <f>All_India_Index_Upto_April23__1[[#This Row],[Transport and communication]]/All_India_Index_Upto_April23__1[[#This Row],[TOTAL BROADER CATEGORIES]]</f>
        <v>9.6702110197158436E-2</v>
      </c>
      <c r="AP64" s="2">
        <f>All_India_Index_Upto_April23__1[[#This Row],[Health]]/All_India_Index_Upto_April23__1[[#This Row],[TOTAL BROADER CATEGORIES]]</f>
        <v>0.10534279304747486</v>
      </c>
      <c r="AQ64" s="2">
        <f>All_India_Index_Upto_April23__1[[#This Row],[Fuel and light]]/All_India_Index_Upto_April23__1[[#This Row],[TOTAL BROADER CATEGORIES]]</f>
        <v>0.10031771507778728</v>
      </c>
      <c r="AR64">
        <f>MONTH(1 &amp; All_India_Index_Upto_April23__1[[#This Row],[Month]])</f>
        <v>9</v>
      </c>
      <c r="AS64" s="19" t="str">
        <f>All_India_Index_Upto_April23__1[[#This Row],[MONTH IN NUM]]&amp;"/"&amp;All_India_Index_Upto_April23__1[[#This Row],[Year]]</f>
        <v>9/2021</v>
      </c>
      <c r="AT6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161.82142857142858</v>
      </c>
      <c r="AU6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1631.8154761904764</v>
      </c>
    </row>
    <row r="65" spans="1:47" x14ac:dyDescent="0.3">
      <c r="A65" t="s">
        <v>30</v>
      </c>
      <c r="B65">
        <v>2021</v>
      </c>
      <c r="C65" t="s">
        <v>40</v>
      </c>
      <c r="D65">
        <v>144.9</v>
      </c>
      <c r="E65">
        <v>202.3</v>
      </c>
      <c r="F65">
        <v>176.5</v>
      </c>
      <c r="G65">
        <v>157.5</v>
      </c>
      <c r="H65">
        <v>189.67500000000001</v>
      </c>
      <c r="I65">
        <v>155.69999999999999</v>
      </c>
      <c r="J65">
        <v>153.9</v>
      </c>
      <c r="K65">
        <v>162.80000000000001</v>
      </c>
      <c r="L65">
        <v>115.2</v>
      </c>
      <c r="M65">
        <v>169.8</v>
      </c>
      <c r="N65">
        <v>167.6</v>
      </c>
      <c r="O65">
        <v>171.9</v>
      </c>
      <c r="P65">
        <v>161.80000000000001</v>
      </c>
      <c r="Q65">
        <v>190.2</v>
      </c>
      <c r="R65">
        <v>167</v>
      </c>
      <c r="S65">
        <v>162.6</v>
      </c>
      <c r="T65">
        <v>166.3</v>
      </c>
      <c r="U65">
        <v>140.85</v>
      </c>
      <c r="V65">
        <v>163.1</v>
      </c>
      <c r="W65">
        <v>160.9</v>
      </c>
      <c r="X65">
        <v>171.1</v>
      </c>
      <c r="Y65">
        <v>157.69999999999999</v>
      </c>
      <c r="Z65">
        <v>161.1</v>
      </c>
      <c r="AA65">
        <v>167.5</v>
      </c>
      <c r="AB65">
        <v>160.30000000000001</v>
      </c>
      <c r="AC65">
        <v>163.30000000000001</v>
      </c>
      <c r="AD65" s="1">
        <v>163.6</v>
      </c>
      <c r="AE65" s="1">
        <v>165.78571428571428</v>
      </c>
      <c r="AF65" s="1">
        <v>165.3</v>
      </c>
      <c r="AG65" s="1">
        <v>150.875</v>
      </c>
      <c r="AH65" s="2">
        <f>All_India_Index_Upto_April23__1[[#This Row],[House]]/All_India_Index_Upto_April23__1[[#This Row],[TOTAL BROADER CATEGORIES]]</f>
        <v>9.2785588308291089E-2</v>
      </c>
      <c r="AI65" s="2">
        <f>All_India_Index_Upto_April23__1[[#This Row],[Cloth]]/All_India_Index_Upto_April23__1[[#This Row],[TOTAL BROADER CATEGORIES]]</f>
        <v>0.1016567207778659</v>
      </c>
      <c r="AJ65" s="2">
        <f>All_India_Index_Upto_April23__1[[#This Row],[Food]]/All_India_Index_Upto_April23__1[[#This Row],[TOTAL BROADER CATEGORIES]]</f>
        <v>0.10195542689716823</v>
      </c>
      <c r="AK65" s="2">
        <f>All_India_Index_Upto_April23__1[[#This Row],[Miscellaneous]]/All_India_Index_Upto_April23__1[[#This Row],[TOTAL BROADER CATEGORIES]]</f>
        <v>0.100426754404268</v>
      </c>
      <c r="AL65" s="2">
        <f>All_India_Index_Upto_April23__1[[#This Row],[Personal care and effects]]/All_India_Index_Upto_April23__1[[#This Row],[TOTAL BROADER CATEGORIES]]</f>
        <v>9.8581804843871162E-2</v>
      </c>
      <c r="AM65" s="2">
        <f>All_India_Index_Upto_April23__1[[#This Row],[Education]]/All_India_Index_Upto_April23__1[[#This Row],[TOTAL BROADER CATEGORIES]]</f>
        <v>0.10300968378882357</v>
      </c>
      <c r="AN65" s="2">
        <f>All_India_Index_Upto_April23__1[[#This Row],[Recreation and amusement]]/All_India_Index_Upto_April23__1[[#This Row],[TOTAL BROADER CATEGORIES]]</f>
        <v>9.9073791393310309E-2</v>
      </c>
      <c r="AO65" s="2">
        <f>All_India_Index_Upto_April23__1[[#This Row],[Transport and communication]]/All_India_Index_Upto_April23__1[[#This Row],[TOTAL BROADER CATEGORIES]]</f>
        <v>9.698284855819389E-2</v>
      </c>
      <c r="AP65" s="2">
        <f>All_India_Index_Upto_April23__1[[#This Row],[Health]]/All_India_Index_Upto_April23__1[[#This Row],[TOTAL BROADER CATEGORIES]]</f>
        <v>0.10522362326129978</v>
      </c>
      <c r="AQ65" s="2">
        <f>All_India_Index_Upto_April23__1[[#This Row],[Fuel and light]]/All_India_Index_Upto_April23__1[[#This Row],[TOTAL BROADER CATEGORIES]]</f>
        <v>0.1003037577669082</v>
      </c>
      <c r="AR65">
        <f>MONTH(1 &amp; All_India_Index_Upto_April23__1[[#This Row],[Month]])</f>
        <v>8</v>
      </c>
      <c r="AS65" s="19" t="str">
        <f>All_India_Index_Upto_April23__1[[#This Row],[MONTH IN NUM]]&amp;"/"&amp;All_India_Index_Upto_April23__1[[#This Row],[Year]]</f>
        <v>8/2021</v>
      </c>
      <c r="AT6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161.17857142857142</v>
      </c>
      <c r="AU6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1626.0607142857141</v>
      </c>
    </row>
    <row r="66" spans="1:47" x14ac:dyDescent="0.3">
      <c r="A66" t="s">
        <v>32</v>
      </c>
      <c r="B66">
        <v>2021</v>
      </c>
      <c r="C66" t="s">
        <v>40</v>
      </c>
      <c r="D66">
        <v>149.30000000000001</v>
      </c>
      <c r="E66">
        <v>207.4</v>
      </c>
      <c r="F66">
        <v>174.1</v>
      </c>
      <c r="G66">
        <v>159.19999999999999</v>
      </c>
      <c r="H66">
        <v>175</v>
      </c>
      <c r="I66">
        <v>161.30000000000001</v>
      </c>
      <c r="J66">
        <v>183.3</v>
      </c>
      <c r="K66">
        <v>164.5</v>
      </c>
      <c r="L66">
        <v>120.4</v>
      </c>
      <c r="M66">
        <v>166.2</v>
      </c>
      <c r="N66">
        <v>154.80000000000001</v>
      </c>
      <c r="O66">
        <v>175.1</v>
      </c>
      <c r="P66">
        <v>167.3</v>
      </c>
      <c r="Q66">
        <v>196.5</v>
      </c>
      <c r="R66">
        <v>159.80000000000001</v>
      </c>
      <c r="S66">
        <v>143.6</v>
      </c>
      <c r="T66">
        <v>157.30000000000001</v>
      </c>
      <c r="U66">
        <v>162.1</v>
      </c>
      <c r="V66">
        <v>160.69999999999999</v>
      </c>
      <c r="W66">
        <v>153.19999999999999</v>
      </c>
      <c r="X66">
        <v>162.80000000000001</v>
      </c>
      <c r="Y66">
        <v>150.4</v>
      </c>
      <c r="Z66">
        <v>153.69999999999999</v>
      </c>
      <c r="AA66">
        <v>160.4</v>
      </c>
      <c r="AB66">
        <v>159.6</v>
      </c>
      <c r="AC66">
        <v>156</v>
      </c>
      <c r="AD66" s="1">
        <v>162.30000000000001</v>
      </c>
      <c r="AE66" s="1">
        <v>168.17142857142858</v>
      </c>
      <c r="AF66" s="1">
        <v>153.56666666666666</v>
      </c>
      <c r="AG66" s="1">
        <v>157.64999999999998</v>
      </c>
      <c r="AH66" s="2">
        <f>All_India_Index_Upto_April23__1[[#This Row],[House]]/All_India_Index_Upto_April23__1[[#This Row],[TOTAL BROADER CATEGORIES]]</f>
        <v>9.9590136195110188E-2</v>
      </c>
      <c r="AI66" s="2">
        <f>All_India_Index_Upto_April23__1[[#This Row],[Cloth]]/All_India_Index_Upto_April23__1[[#This Row],[TOTAL BROADER CATEGORIES]]</f>
        <v>9.701062637717997E-2</v>
      </c>
      <c r="AJ66" s="2">
        <f>All_India_Index_Upto_April23__1[[#This Row],[Food]]/All_India_Index_Upto_April23__1[[#This Row],[TOTAL BROADER CATEGORIES]]</f>
        <v>0.10623669822743304</v>
      </c>
      <c r="AK66" s="2">
        <f>All_India_Index_Upto_April23__1[[#This Row],[Miscellaneous]]/All_India_Index_Upto_April23__1[[#This Row],[TOTAL BROADER CATEGORIES]]</f>
        <v>9.8547803656436353E-2</v>
      </c>
      <c r="AL66" s="2">
        <f>All_India_Index_Upto_April23__1[[#This Row],[Personal care and effects]]/All_India_Index_Upto_April23__1[[#This Row],[TOTAL BROADER CATEGORIES]]</f>
        <v>0.10082198374081565</v>
      </c>
      <c r="AM66" s="2">
        <f>All_India_Index_Upto_April23__1[[#This Row],[Education]]/All_India_Index_Upto_April23__1[[#This Row],[TOTAL BROADER CATEGORIES]]</f>
        <v>0.10132735709289994</v>
      </c>
      <c r="AN66" s="2">
        <f>All_India_Index_Upto_April23__1[[#This Row],[Recreation and amusement]]/All_India_Index_Upto_April23__1[[#This Row],[TOTAL BROADER CATEGORIES]]</f>
        <v>9.7094855269194022E-2</v>
      </c>
      <c r="AO66" s="2">
        <f>All_India_Index_Upto_April23__1[[#This Row],[Transport and communication]]/All_India_Index_Upto_April23__1[[#This Row],[TOTAL BROADER CATEGORIES]]</f>
        <v>9.5010190191846339E-2</v>
      </c>
      <c r="AP66" s="2">
        <f>All_India_Index_Upto_April23__1[[#This Row],[Health]]/All_India_Index_Upto_April23__1[[#This Row],[TOTAL BROADER CATEGORIES]]</f>
        <v>0.10284347714915282</v>
      </c>
      <c r="AQ66" s="2">
        <f>All_India_Index_Upto_April23__1[[#This Row],[Fuel and light]]/All_India_Index_Upto_April23__1[[#This Row],[TOTAL BROADER CATEGORIES]]</f>
        <v>0.10151687209993154</v>
      </c>
      <c r="AR66">
        <f>MONTH(1 &amp; All_India_Index_Upto_April23__1[[#This Row],[Month]])</f>
        <v>8</v>
      </c>
      <c r="AS66" s="19" t="str">
        <f>All_India_Index_Upto_April23__1[[#This Row],[MONTH IN NUM]]&amp;"/"&amp;All_India_Index_Upto_April23__1[[#This Row],[Year]]</f>
        <v>8/2021</v>
      </c>
      <c r="AT6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156.72857142857146</v>
      </c>
      <c r="AU6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1582.9880952380954</v>
      </c>
    </row>
    <row r="67" spans="1:47" x14ac:dyDescent="0.3">
      <c r="A67" t="s">
        <v>33</v>
      </c>
      <c r="B67">
        <v>2021</v>
      </c>
      <c r="C67" t="s">
        <v>40</v>
      </c>
      <c r="D67">
        <v>146.6</v>
      </c>
      <c r="E67">
        <v>204</v>
      </c>
      <c r="F67">
        <v>172.8</v>
      </c>
      <c r="G67">
        <v>158.4</v>
      </c>
      <c r="H67">
        <v>188</v>
      </c>
      <c r="I67">
        <v>156.80000000000001</v>
      </c>
      <c r="J67">
        <v>162.19999999999999</v>
      </c>
      <c r="K67">
        <v>164.1</v>
      </c>
      <c r="L67">
        <v>119.7</v>
      </c>
      <c r="M67">
        <v>168.8</v>
      </c>
      <c r="N67">
        <v>162.69999999999999</v>
      </c>
      <c r="O67">
        <v>173.9</v>
      </c>
      <c r="P67">
        <v>164</v>
      </c>
      <c r="Q67">
        <v>192.1</v>
      </c>
      <c r="R67">
        <v>164.5</v>
      </c>
      <c r="S67">
        <v>155.30000000000001</v>
      </c>
      <c r="T67">
        <v>163.19999999999999</v>
      </c>
      <c r="U67">
        <v>162.1</v>
      </c>
      <c r="V67">
        <v>162.6</v>
      </c>
      <c r="W67">
        <v>157.5</v>
      </c>
      <c r="X67">
        <v>168.4</v>
      </c>
      <c r="Y67">
        <v>154</v>
      </c>
      <c r="Z67">
        <v>157.6</v>
      </c>
      <c r="AA67">
        <v>163.80000000000001</v>
      </c>
      <c r="AB67">
        <v>160</v>
      </c>
      <c r="AC67">
        <v>160</v>
      </c>
      <c r="AD67" s="1">
        <v>163.19999999999999</v>
      </c>
      <c r="AE67" s="1">
        <v>166.72142857142856</v>
      </c>
      <c r="AF67" s="1">
        <v>161</v>
      </c>
      <c r="AG67" s="1">
        <v>159.80000000000001</v>
      </c>
      <c r="AH67" s="2">
        <f>All_India_Index_Upto_April23__1[[#This Row],[House]]/All_India_Index_Upto_April23__1[[#This Row],[TOTAL BROADER CATEGORIES]]</f>
        <v>9.9013494195592813E-2</v>
      </c>
      <c r="AI67" s="2">
        <f>All_India_Index_Upto_April23__1[[#This Row],[Cloth]]/All_India_Index_Upto_April23__1[[#This Row],[TOTAL BROADER CATEGORIES]]</f>
        <v>9.9757024815334439E-2</v>
      </c>
      <c r="AJ67" s="2">
        <f>All_India_Index_Upto_April23__1[[#This Row],[Food]]/All_India_Index_Upto_April23__1[[#This Row],[TOTAL BROADER CATEGORIES]]</f>
        <v>0.10330207259160253</v>
      </c>
      <c r="AK67" s="2">
        <f>All_India_Index_Upto_April23__1[[#This Row],[Miscellaneous]]/All_India_Index_Upto_April23__1[[#This Row],[TOTAL BROADER CATEGORIES]]</f>
        <v>9.9137415965549744E-2</v>
      </c>
      <c r="AL67" s="2">
        <f>All_India_Index_Upto_April23__1[[#This Row],[Personal care and effects]]/All_India_Index_Upto_April23__1[[#This Row],[TOTAL BROADER CATEGORIES]]</f>
        <v>9.9137415965549744E-2</v>
      </c>
      <c r="AM67" s="2">
        <f>All_India_Index_Upto_April23__1[[#This Row],[Education]]/All_India_Index_Upto_April23__1[[#This Row],[TOTAL BROADER CATEGORIES]]</f>
        <v>0.10149192959473156</v>
      </c>
      <c r="AN67" s="2">
        <f>All_India_Index_Upto_April23__1[[#This Row],[Recreation and amusement]]/All_India_Index_Upto_April23__1[[#This Row],[TOTAL BROADER CATEGORIES]]</f>
        <v>9.7650354726066493E-2</v>
      </c>
      <c r="AO67" s="2">
        <f>All_India_Index_Upto_April23__1[[#This Row],[Transport and communication]]/All_India_Index_Upto_April23__1[[#This Row],[TOTAL BROADER CATEGORIES]]</f>
        <v>9.5419762866841631E-2</v>
      </c>
      <c r="AP67" s="2">
        <f>All_India_Index_Upto_April23__1[[#This Row],[Health]]/All_India_Index_Upto_April23__1[[#This Row],[TOTAL BROADER CATEGORIES]]</f>
        <v>0.10434213030374111</v>
      </c>
      <c r="AQ67" s="2">
        <f>All_India_Index_Upto_April23__1[[#This Row],[Fuel and light]]/All_India_Index_Upto_April23__1[[#This Row],[TOTAL BROADER CATEGORIES]]</f>
        <v>0.10074839897498993</v>
      </c>
      <c r="AR67">
        <f>MONTH(1 &amp; All_India_Index_Upto_April23__1[[#This Row],[Month]])</f>
        <v>8</v>
      </c>
      <c r="AS67" s="19" t="str">
        <f>All_India_Index_Upto_April23__1[[#This Row],[MONTH IN NUM]]&amp;"/"&amp;All_India_Index_Upto_April23__1[[#This Row],[Year]]</f>
        <v>8/2021</v>
      </c>
      <c r="AT6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161.28571428571428</v>
      </c>
      <c r="AU6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1613.9214285714286</v>
      </c>
    </row>
    <row r="68" spans="1:47" x14ac:dyDescent="0.3">
      <c r="A68" t="s">
        <v>33</v>
      </c>
      <c r="B68">
        <v>2021</v>
      </c>
      <c r="C68" t="s">
        <v>39</v>
      </c>
      <c r="D68">
        <v>146.4</v>
      </c>
      <c r="E68">
        <v>206.8</v>
      </c>
      <c r="F68">
        <v>182.2</v>
      </c>
      <c r="G68">
        <v>157.5</v>
      </c>
      <c r="H68">
        <v>182.1</v>
      </c>
      <c r="I68">
        <v>163.9</v>
      </c>
      <c r="J68">
        <v>164.2</v>
      </c>
      <c r="K68">
        <v>164</v>
      </c>
      <c r="L68">
        <v>114.5</v>
      </c>
      <c r="M68">
        <v>168.3</v>
      </c>
      <c r="N68">
        <v>160.9</v>
      </c>
      <c r="O68">
        <v>172.2</v>
      </c>
      <c r="P68">
        <v>164</v>
      </c>
      <c r="Q68">
        <v>191.2</v>
      </c>
      <c r="R68">
        <v>162.80000000000001</v>
      </c>
      <c r="S68">
        <v>153.1</v>
      </c>
      <c r="T68">
        <v>161.4</v>
      </c>
      <c r="U68">
        <v>161.5</v>
      </c>
      <c r="V68">
        <v>160.69999999999999</v>
      </c>
      <c r="W68">
        <v>155.80000000000001</v>
      </c>
      <c r="X68">
        <v>167</v>
      </c>
      <c r="Y68">
        <v>153.1</v>
      </c>
      <c r="Z68">
        <v>155.30000000000001</v>
      </c>
      <c r="AA68">
        <v>163.19999999999999</v>
      </c>
      <c r="AB68">
        <v>160.1</v>
      </c>
      <c r="AC68">
        <v>159</v>
      </c>
      <c r="AD68" s="1">
        <v>162.5</v>
      </c>
      <c r="AE68" s="1">
        <v>167.01428571428571</v>
      </c>
      <c r="AF68" s="1">
        <v>159.1</v>
      </c>
      <c r="AG68" s="1">
        <v>158.65</v>
      </c>
      <c r="AH68" s="2">
        <f>All_India_Index_Upto_April23__1[[#This Row],[House]]/All_India_Index_Upto_April23__1[[#This Row],[TOTAL BROADER CATEGORIES]]</f>
        <v>9.8960537864847653E-2</v>
      </c>
      <c r="AI68" s="2">
        <f>All_India_Index_Upto_April23__1[[#This Row],[Cloth]]/All_India_Index_Upto_April23__1[[#This Row],[TOTAL BROADER CATEGORIES]]</f>
        <v>9.9241232740606755E-2</v>
      </c>
      <c r="AJ68" s="2">
        <f>All_India_Index_Upto_April23__1[[#This Row],[Food]]/All_India_Index_Upto_April23__1[[#This Row],[TOTAL BROADER CATEGORIES]]</f>
        <v>0.10417789817459222</v>
      </c>
      <c r="AK68" s="2">
        <f>All_India_Index_Upto_April23__1[[#This Row],[Miscellaneous]]/All_India_Index_Upto_April23__1[[#This Row],[TOTAL BROADER CATEGORIES]]</f>
        <v>9.9178856101549182E-2</v>
      </c>
      <c r="AL68" s="2">
        <f>All_India_Index_Upto_April23__1[[#This Row],[Personal care and effects]]/All_India_Index_Upto_April23__1[[#This Row],[TOTAL BROADER CATEGORIES]]</f>
        <v>9.9864999131182533E-2</v>
      </c>
      <c r="AM68" s="2">
        <f>All_India_Index_Upto_April23__1[[#This Row],[Education]]/All_India_Index_Upto_April23__1[[#This Row],[TOTAL BROADER CATEGORIES]]</f>
        <v>0.10179867494196745</v>
      </c>
      <c r="AN68" s="2">
        <f>All_India_Index_Upto_April23__1[[#This Row],[Recreation and amusement]]/All_India_Index_Upto_April23__1[[#This Row],[TOTAL BROADER CATEGORIES]]</f>
        <v>9.6870920456418791E-2</v>
      </c>
      <c r="AO68" s="2">
        <f>All_India_Index_Upto_April23__1[[#This Row],[Transport and communication]]/All_India_Index_Upto_April23__1[[#This Row],[TOTAL BROADER CATEGORIES]]</f>
        <v>9.549863439715206E-2</v>
      </c>
      <c r="AP68" s="2">
        <f>All_India_Index_Upto_April23__1[[#This Row],[Health]]/All_India_Index_Upto_April23__1[[#This Row],[TOTAL BROADER CATEGORIES]]</f>
        <v>0.10416898722615542</v>
      </c>
      <c r="AQ68" s="2">
        <f>All_India_Index_Upto_April23__1[[#This Row],[Fuel and light]]/All_India_Index_Upto_April23__1[[#This Row],[TOTAL BROADER CATEGORIES]]</f>
        <v>0.100239258965528</v>
      </c>
      <c r="AR68">
        <f>MONTH(1 &amp; All_India_Index_Upto_April23__1[[#This Row],[Month]])</f>
        <v>7</v>
      </c>
      <c r="AS68" s="19" t="str">
        <f>All_India_Index_Upto_April23__1[[#This Row],[MONTH IN NUM]]&amp;"/"&amp;All_India_Index_Upto_April23__1[[#This Row],[Year]]</f>
        <v>7/2021</v>
      </c>
      <c r="AT6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159.78571428571428</v>
      </c>
      <c r="AU6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1603.1642857142856</v>
      </c>
    </row>
    <row r="69" spans="1:47" x14ac:dyDescent="0.3">
      <c r="A69" t="s">
        <v>30</v>
      </c>
      <c r="B69">
        <v>2021</v>
      </c>
      <c r="C69" t="s">
        <v>39</v>
      </c>
      <c r="D69">
        <v>145.1</v>
      </c>
      <c r="E69">
        <v>204.5</v>
      </c>
      <c r="F69">
        <v>180.4</v>
      </c>
      <c r="G69">
        <v>157.1</v>
      </c>
      <c r="H69">
        <v>188.7</v>
      </c>
      <c r="I69">
        <v>157.69999999999999</v>
      </c>
      <c r="J69">
        <v>152.80000000000001</v>
      </c>
      <c r="K69">
        <v>163.6</v>
      </c>
      <c r="L69">
        <v>113.9</v>
      </c>
      <c r="M69">
        <v>169.7</v>
      </c>
      <c r="N69">
        <v>166.2</v>
      </c>
      <c r="O69">
        <v>171</v>
      </c>
      <c r="P69">
        <v>161.69999999999999</v>
      </c>
      <c r="Q69">
        <v>189.7</v>
      </c>
      <c r="R69">
        <v>166</v>
      </c>
      <c r="S69">
        <v>161.1</v>
      </c>
      <c r="T69">
        <v>165.3</v>
      </c>
      <c r="U69">
        <v>140.85</v>
      </c>
      <c r="V69">
        <v>162.5</v>
      </c>
      <c r="W69">
        <v>160.30000000000001</v>
      </c>
      <c r="X69">
        <v>170.4</v>
      </c>
      <c r="Y69">
        <v>157.1</v>
      </c>
      <c r="Z69">
        <v>160.69999999999999</v>
      </c>
      <c r="AA69">
        <v>167.2</v>
      </c>
      <c r="AB69">
        <v>160.4</v>
      </c>
      <c r="AC69">
        <v>162.80000000000001</v>
      </c>
      <c r="AD69" s="1">
        <v>163.19999999999999</v>
      </c>
      <c r="AE69" s="1">
        <v>165.8642857142857</v>
      </c>
      <c r="AF69" s="1">
        <v>164.13333333333335</v>
      </c>
      <c r="AG69" s="1">
        <v>150.57499999999999</v>
      </c>
      <c r="AH69" s="2">
        <f>All_India_Index_Upto_April23__1[[#This Row],[House]]/All_India_Index_Upto_April23__1[[#This Row],[TOTAL BROADER CATEGORIES]]</f>
        <v>9.2851663295906259E-2</v>
      </c>
      <c r="AI69" s="2">
        <f>All_India_Index_Upto_April23__1[[#This Row],[Cloth]]/All_India_Index_Upto_April23__1[[#This Row],[TOTAL BROADER CATEGORIES]]</f>
        <v>0.10121237258709226</v>
      </c>
      <c r="AJ69" s="2">
        <f>All_India_Index_Upto_April23__1[[#This Row],[Food]]/All_India_Index_Upto_April23__1[[#This Row],[TOTAL BROADER CATEGORIES]]</f>
        <v>0.10227975965438388</v>
      </c>
      <c r="AK69" s="2">
        <f>All_India_Index_Upto_April23__1[[#This Row],[Miscellaneous]]/All_India_Index_Upto_April23__1[[#This Row],[TOTAL BROADER CATEGORIES]]</f>
        <v>0.10039017622164066</v>
      </c>
      <c r="AL69" s="2">
        <f>All_India_Index_Upto_April23__1[[#This Row],[Personal care and effects]]/All_India_Index_Upto_April23__1[[#This Row],[TOTAL BROADER CATEGORIES]]</f>
        <v>9.8910222763827771E-2</v>
      </c>
      <c r="AM69" s="2">
        <f>All_India_Index_Upto_April23__1[[#This Row],[Education]]/All_India_Index_Upto_April23__1[[#This Row],[TOTAL BROADER CATEGORIES]]</f>
        <v>0.10310342422763093</v>
      </c>
      <c r="AN69" s="2">
        <f>All_India_Index_Upto_April23__1[[#This Row],[Recreation and amusement]]/All_India_Index_Upto_April23__1[[#This Row],[TOTAL BROADER CATEGORIES]]</f>
        <v>9.9095216946054374E-2</v>
      </c>
      <c r="AO69" s="2">
        <f>All_India_Index_Upto_April23__1[[#This Row],[Transport and communication]]/All_India_Index_Upto_April23__1[[#This Row],[TOTAL BROADER CATEGORIES]]</f>
        <v>9.6875286759335044E-2</v>
      </c>
      <c r="AP69" s="2">
        <f>All_India_Index_Upto_April23__1[[#This Row],[Health]]/All_India_Index_Upto_April23__1[[#This Row],[TOTAL BROADER CATEGORIES]]</f>
        <v>0.10507669550471478</v>
      </c>
      <c r="AQ69" s="2">
        <f>All_India_Index_Upto_April23__1[[#This Row],[Fuel and light]]/All_India_Index_Upto_April23__1[[#This Row],[TOTAL BROADER CATEGORIES]]</f>
        <v>0.10020518203941405</v>
      </c>
      <c r="AR69">
        <f>MONTH(1 &amp; All_India_Index_Upto_April23__1[[#This Row],[Month]])</f>
        <v>7</v>
      </c>
      <c r="AS69" s="19" t="str">
        <f>All_India_Index_Upto_April23__1[[#This Row],[MONTH IN NUM]]&amp;"/"&amp;All_India_Index_Upto_April23__1[[#This Row],[Year]]</f>
        <v>7/2021</v>
      </c>
      <c r="AT6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160.46428571428572</v>
      </c>
      <c r="AU6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1621.672619047619</v>
      </c>
    </row>
    <row r="70" spans="1:47" x14ac:dyDescent="0.3">
      <c r="A70" t="s">
        <v>32</v>
      </c>
      <c r="B70">
        <v>2021</v>
      </c>
      <c r="C70" t="s">
        <v>39</v>
      </c>
      <c r="D70">
        <v>149.1</v>
      </c>
      <c r="E70">
        <v>210.9</v>
      </c>
      <c r="F70">
        <v>185</v>
      </c>
      <c r="G70">
        <v>158.19999999999999</v>
      </c>
      <c r="H70">
        <v>170.6</v>
      </c>
      <c r="I70">
        <v>170.9</v>
      </c>
      <c r="J70">
        <v>186.4</v>
      </c>
      <c r="K70">
        <v>164.7</v>
      </c>
      <c r="L70">
        <v>115.7</v>
      </c>
      <c r="M70">
        <v>165.5</v>
      </c>
      <c r="N70">
        <v>153.4</v>
      </c>
      <c r="O70">
        <v>173.5</v>
      </c>
      <c r="P70">
        <v>167.9</v>
      </c>
      <c r="Q70">
        <v>195.5</v>
      </c>
      <c r="R70">
        <v>157.9</v>
      </c>
      <c r="S70">
        <v>141.9</v>
      </c>
      <c r="T70">
        <v>155.5</v>
      </c>
      <c r="U70">
        <v>161.5</v>
      </c>
      <c r="V70">
        <v>157.69999999999999</v>
      </c>
      <c r="W70">
        <v>150.69999999999999</v>
      </c>
      <c r="X70">
        <v>161.5</v>
      </c>
      <c r="Y70">
        <v>149.5</v>
      </c>
      <c r="Z70">
        <v>151.19999999999999</v>
      </c>
      <c r="AA70">
        <v>160.30000000000001</v>
      </c>
      <c r="AB70">
        <v>159.6</v>
      </c>
      <c r="AC70">
        <v>155</v>
      </c>
      <c r="AD70" s="1">
        <v>161.80000000000001</v>
      </c>
      <c r="AE70" s="1">
        <v>169.09285714285716</v>
      </c>
      <c r="AF70" s="1">
        <v>151.76666666666668</v>
      </c>
      <c r="AG70" s="1">
        <v>156.1</v>
      </c>
      <c r="AH70" s="2">
        <f>All_India_Index_Upto_April23__1[[#This Row],[House]]/All_India_Index_Upto_April23__1[[#This Row],[TOTAL BROADER CATEGORIES]]</f>
        <v>9.9315447201271237E-2</v>
      </c>
      <c r="AI70" s="2">
        <f>All_India_Index_Upto_April23__1[[#This Row],[Cloth]]/All_India_Index_Upto_April23__1[[#This Row],[TOTAL BROADER CATEGORIES]]</f>
        <v>9.6558452083576343E-2</v>
      </c>
      <c r="AJ70" s="2">
        <f>All_India_Index_Upto_April23__1[[#This Row],[Food]]/All_India_Index_Upto_April23__1[[#This Row],[TOTAL BROADER CATEGORIES]]</f>
        <v>0.10758188805690923</v>
      </c>
      <c r="AK70" s="2">
        <f>All_India_Index_Upto_April23__1[[#This Row],[Miscellaneous]]/All_India_Index_Upto_April23__1[[#This Row],[TOTAL BROADER CATEGORIES]]</f>
        <v>9.8615594594471764E-2</v>
      </c>
      <c r="AL70" s="2">
        <f>All_India_Index_Upto_April23__1[[#This Row],[Personal care and effects]]/All_India_Index_Upto_April23__1[[#This Row],[TOTAL BROADER CATEGORIES]]</f>
        <v>0.10154225095017866</v>
      </c>
      <c r="AM70" s="2">
        <f>All_India_Index_Upto_April23__1[[#This Row],[Education]]/All_India_Index_Upto_April23__1[[#This Row],[TOTAL BROADER CATEGORIES]]</f>
        <v>0.10198761169996017</v>
      </c>
      <c r="AN70" s="2">
        <f>All_India_Index_Upto_April23__1[[#This Row],[Recreation and amusement]]/All_India_Index_Upto_April23__1[[#This Row],[TOTAL BROADER CATEGORIES]]</f>
        <v>9.619792195280083E-2</v>
      </c>
      <c r="AO70" s="2">
        <f>All_India_Index_Upto_April23__1[[#This Row],[Transport and communication]]/All_India_Index_Upto_April23__1[[#This Row],[TOTAL BROADER CATEGORIES]]</f>
        <v>9.5116331560474374E-2</v>
      </c>
      <c r="AP70" s="2">
        <f>All_India_Index_Upto_April23__1[[#This Row],[Health]]/All_India_Index_Upto_April23__1[[#This Row],[TOTAL BROADER CATEGORIES]]</f>
        <v>0.10275108727101413</v>
      </c>
      <c r="AQ70" s="2">
        <f>All_India_Index_Upto_April23__1[[#This Row],[Fuel and light]]/All_India_Index_Upto_April23__1[[#This Row],[TOTAL BROADER CATEGORIES]]</f>
        <v>0.1003334146293432</v>
      </c>
      <c r="AR70">
        <f>MONTH(1 &amp; All_India_Index_Upto_April23__1[[#This Row],[Month]])</f>
        <v>7</v>
      </c>
      <c r="AS70" s="19" t="str">
        <f>All_India_Index_Upto_April23__1[[#This Row],[MONTH IN NUM]]&amp;"/"&amp;All_India_Index_Upto_April23__1[[#This Row],[Year]]</f>
        <v>7/2021</v>
      </c>
      <c r="AT7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155.07142857142858</v>
      </c>
      <c r="AU7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1571.7595238095239</v>
      </c>
    </row>
    <row r="71" spans="1:47" x14ac:dyDescent="0.3">
      <c r="A71" t="s">
        <v>32</v>
      </c>
      <c r="B71">
        <v>2021</v>
      </c>
      <c r="C71" t="s">
        <v>38</v>
      </c>
      <c r="D71">
        <v>149.19999999999999</v>
      </c>
      <c r="E71">
        <v>205.5</v>
      </c>
      <c r="F71">
        <v>182.8</v>
      </c>
      <c r="G71">
        <v>156.5</v>
      </c>
      <c r="H71">
        <v>172.2</v>
      </c>
      <c r="I71">
        <v>171.5</v>
      </c>
      <c r="J71">
        <v>176.2</v>
      </c>
      <c r="K71">
        <v>166.9</v>
      </c>
      <c r="L71">
        <v>116.1</v>
      </c>
      <c r="M71">
        <v>165.5</v>
      </c>
      <c r="N71">
        <v>152.30000000000001</v>
      </c>
      <c r="O71">
        <v>173.3</v>
      </c>
      <c r="P71">
        <v>166.2</v>
      </c>
      <c r="Q71">
        <v>195.6</v>
      </c>
      <c r="R71">
        <v>157.30000000000001</v>
      </c>
      <c r="S71">
        <v>140.5</v>
      </c>
      <c r="T71">
        <v>154.80000000000001</v>
      </c>
      <c r="U71">
        <v>160.5</v>
      </c>
      <c r="V71">
        <v>156.1</v>
      </c>
      <c r="W71">
        <v>149.80000000000001</v>
      </c>
      <c r="X71">
        <v>160.80000000000001</v>
      </c>
      <c r="Y71">
        <v>147.5</v>
      </c>
      <c r="Z71">
        <v>150.69999999999999</v>
      </c>
      <c r="AA71">
        <v>158.1</v>
      </c>
      <c r="AB71">
        <v>158</v>
      </c>
      <c r="AC71">
        <v>153.4</v>
      </c>
      <c r="AD71" s="1">
        <v>160.4</v>
      </c>
      <c r="AE71" s="1">
        <v>167.84285714285713</v>
      </c>
      <c r="AF71" s="1">
        <v>150.86666666666667</v>
      </c>
      <c r="AG71" s="1">
        <v>155.15</v>
      </c>
      <c r="AH71" s="2">
        <f>All_India_Index_Upto_April23__1[[#This Row],[House]]/All_India_Index_Upto_April23__1[[#This Row],[TOTAL BROADER CATEGORIES]]</f>
        <v>9.9553435703449544E-2</v>
      </c>
      <c r="AI71" s="2">
        <f>All_India_Index_Upto_April23__1[[#This Row],[Cloth]]/All_India_Index_Upto_April23__1[[#This Row],[TOTAL BROADER CATEGORIES]]</f>
        <v>9.6804995164639085E-2</v>
      </c>
      <c r="AJ71" s="2">
        <f>All_India_Index_Upto_April23__1[[#This Row],[Food]]/All_India_Index_Upto_April23__1[[#This Row],[TOTAL BROADER CATEGORIES]]</f>
        <v>0.10769792514891842</v>
      </c>
      <c r="AK71" s="2">
        <f>All_India_Index_Upto_April23__1[[#This Row],[Miscellaneous]]/All_India_Index_Upto_April23__1[[#This Row],[TOTAL BROADER CATEGORIES]]</f>
        <v>9.8430531981367447E-2</v>
      </c>
      <c r="AL71" s="2">
        <f>All_India_Index_Upto_April23__1[[#This Row],[Personal care and effects]]/All_India_Index_Upto_April23__1[[#This Row],[TOTAL BROADER CATEGORIES]]</f>
        <v>0.10138216462226894</v>
      </c>
      <c r="AM71" s="2">
        <f>All_India_Index_Upto_April23__1[[#This Row],[Education]]/All_India_Index_Upto_April23__1[[#This Row],[TOTAL BROADER CATEGORIES]]</f>
        <v>0.10144633054924505</v>
      </c>
      <c r="AN71" s="2">
        <f>All_India_Index_Upto_April23__1[[#This Row],[Recreation and amusement]]/All_India_Index_Upto_April23__1[[#This Row],[TOTAL BROADER CATEGORIES]]</f>
        <v>9.6698051953012204E-2</v>
      </c>
      <c r="AO71" s="2">
        <f>All_India_Index_Upto_April23__1[[#This Row],[Transport and communication]]/All_India_Index_Upto_April23__1[[#This Row],[TOTAL BROADER CATEGORIES]]</f>
        <v>9.4644742289776387E-2</v>
      </c>
      <c r="AP71" s="2">
        <f>All_India_Index_Upto_April23__1[[#This Row],[Health]]/All_India_Index_Upto_April23__1[[#This Row],[TOTAL BROADER CATEGORIES]]</f>
        <v>0.1031788105776003</v>
      </c>
      <c r="AQ71" s="2">
        <f>All_India_Index_Upto_April23__1[[#This Row],[Fuel and light]]/All_India_Index_Upto_April23__1[[#This Row],[TOTAL BROADER CATEGORIES]]</f>
        <v>0.10016301200972266</v>
      </c>
      <c r="AR71">
        <f>MONTH(1 &amp; All_India_Index_Upto_April23__1[[#This Row],[Month]])</f>
        <v>6</v>
      </c>
      <c r="AS71" s="19" t="str">
        <f>All_India_Index_Upto_April23__1[[#This Row],[MONTH IN NUM]]&amp;"/"&amp;All_India_Index_Upto_April23__1[[#This Row],[Year]]</f>
        <v>6/2021</v>
      </c>
      <c r="AT7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153.87142857142857</v>
      </c>
      <c r="AU7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1558.4595238095237</v>
      </c>
    </row>
    <row r="72" spans="1:47" x14ac:dyDescent="0.3">
      <c r="A72" t="s">
        <v>33</v>
      </c>
      <c r="B72">
        <v>2021</v>
      </c>
      <c r="C72" t="s">
        <v>38</v>
      </c>
      <c r="D72">
        <v>146.69999999999999</v>
      </c>
      <c r="E72">
        <v>202</v>
      </c>
      <c r="F72">
        <v>180.7</v>
      </c>
      <c r="G72">
        <v>156.19999999999999</v>
      </c>
      <c r="H72">
        <v>183.7</v>
      </c>
      <c r="I72">
        <v>164.6</v>
      </c>
      <c r="J72">
        <v>155.4</v>
      </c>
      <c r="K72">
        <v>166</v>
      </c>
      <c r="L72">
        <v>115.1</v>
      </c>
      <c r="M72">
        <v>168.5</v>
      </c>
      <c r="N72">
        <v>160</v>
      </c>
      <c r="O72">
        <v>172.4</v>
      </c>
      <c r="P72">
        <v>162.6</v>
      </c>
      <c r="Q72">
        <v>190.8</v>
      </c>
      <c r="R72">
        <v>162.19999999999999</v>
      </c>
      <c r="S72">
        <v>151.80000000000001</v>
      </c>
      <c r="T72">
        <v>160.69999999999999</v>
      </c>
      <c r="U72">
        <v>160.5</v>
      </c>
      <c r="V72">
        <v>159.80000000000001</v>
      </c>
      <c r="W72">
        <v>154.80000000000001</v>
      </c>
      <c r="X72">
        <v>166.3</v>
      </c>
      <c r="Y72">
        <v>150.69999999999999</v>
      </c>
      <c r="Z72">
        <v>154.9</v>
      </c>
      <c r="AA72">
        <v>161.69999999999999</v>
      </c>
      <c r="AB72">
        <v>158.80000000000001</v>
      </c>
      <c r="AC72">
        <v>157.6</v>
      </c>
      <c r="AD72" s="1">
        <v>161.30000000000001</v>
      </c>
      <c r="AE72" s="1">
        <v>166.05</v>
      </c>
      <c r="AF72" s="1">
        <v>158.23333333333332</v>
      </c>
      <c r="AG72" s="1">
        <v>157.65</v>
      </c>
      <c r="AH72" s="2">
        <f>All_India_Index_Upto_April23__1[[#This Row],[House]]/All_India_Index_Upto_April23__1[[#This Row],[TOTAL BROADER CATEGORIES]]</f>
        <v>9.9042972022114262E-2</v>
      </c>
      <c r="AI72" s="2">
        <f>All_India_Index_Upto_April23__1[[#This Row],[Cloth]]/All_India_Index_Upto_April23__1[[#This Row],[TOTAL BROADER CATEGORIES]]</f>
        <v>9.9409448818897628E-2</v>
      </c>
      <c r="AJ72" s="2">
        <f>All_India_Index_Upto_April23__1[[#This Row],[Food]]/All_India_Index_Upto_April23__1[[#This Row],[TOTAL BROADER CATEGORIES]]</f>
        <v>0.10432023789579495</v>
      </c>
      <c r="AK72" s="2">
        <f>All_India_Index_Upto_April23__1[[#This Row],[Miscellaneous]]/All_India_Index_Upto_April23__1[[#This Row],[TOTAL BROADER CATEGORIES]]</f>
        <v>9.9011559725247111E-2</v>
      </c>
      <c r="AL72" s="2">
        <f>All_India_Index_Upto_April23__1[[#This Row],[Personal care and effects]]/All_India_Index_Upto_April23__1[[#This Row],[TOTAL BROADER CATEGORIES]]</f>
        <v>9.9765454850058638E-2</v>
      </c>
      <c r="AM72" s="2">
        <f>All_India_Index_Upto_April23__1[[#This Row],[Education]]/All_India_Index_Upto_April23__1[[#This Row],[TOTAL BROADER CATEGORIES]]</f>
        <v>0.10158736806835315</v>
      </c>
      <c r="AN72" s="2">
        <f>All_India_Index_Upto_April23__1[[#This Row],[Recreation and amusement]]/All_India_Index_Upto_April23__1[[#This Row],[TOTAL BROADER CATEGORIES]]</f>
        <v>9.7315295694421183E-2</v>
      </c>
      <c r="AO72" s="2">
        <f>All_India_Index_Upto_April23__1[[#This Row],[Transport and communication]]/All_India_Index_Upto_April23__1[[#This Row],[TOTAL BROADER CATEGORIES]]</f>
        <v>9.4676662757580826E-2</v>
      </c>
      <c r="AP72" s="2">
        <f>All_India_Index_Upto_April23__1[[#This Row],[Health]]/All_India_Index_Upto_April23__1[[#This Row],[TOTAL BROADER CATEGORIES]]</f>
        <v>0.10447729938013069</v>
      </c>
      <c r="AQ72" s="2">
        <f>All_India_Index_Upto_April23__1[[#This Row],[Fuel and light]]/All_India_Index_Upto_April23__1[[#This Row],[TOTAL BROADER CATEGORIES]]</f>
        <v>0.10039370078740158</v>
      </c>
      <c r="AR72">
        <f>MONTH(1 &amp; All_India_Index_Upto_April23__1[[#This Row],[Month]])</f>
        <v>6</v>
      </c>
      <c r="AS72" s="19" t="str">
        <f>All_India_Index_Upto_April23__1[[#This Row],[MONTH IN NUM]]&amp;"/"&amp;All_India_Index_Upto_April23__1[[#This Row],[Year]]</f>
        <v>6/2021</v>
      </c>
      <c r="AT7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158.78571428571428</v>
      </c>
      <c r="AU7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1591.7333333333333</v>
      </c>
    </row>
    <row r="73" spans="1:47" x14ac:dyDescent="0.3">
      <c r="A73" t="s">
        <v>30</v>
      </c>
      <c r="B73">
        <v>2021</v>
      </c>
      <c r="C73" t="s">
        <v>38</v>
      </c>
      <c r="D73">
        <v>145.6</v>
      </c>
      <c r="E73">
        <v>200.1</v>
      </c>
      <c r="F73">
        <v>179.3</v>
      </c>
      <c r="G73">
        <v>156.1</v>
      </c>
      <c r="H73">
        <v>189.67500000000001</v>
      </c>
      <c r="I73">
        <v>158.6</v>
      </c>
      <c r="J73">
        <v>144.69999999999999</v>
      </c>
      <c r="K73">
        <v>165.5</v>
      </c>
      <c r="L73">
        <v>114.6</v>
      </c>
      <c r="M73">
        <v>170</v>
      </c>
      <c r="N73">
        <v>165.5</v>
      </c>
      <c r="O73">
        <v>171.7</v>
      </c>
      <c r="P73">
        <v>160.5</v>
      </c>
      <c r="Q73">
        <v>189.1</v>
      </c>
      <c r="R73">
        <v>165.3</v>
      </c>
      <c r="S73">
        <v>159.9</v>
      </c>
      <c r="T73">
        <v>164.6</v>
      </c>
      <c r="U73">
        <v>140.85</v>
      </c>
      <c r="V73">
        <v>162.1</v>
      </c>
      <c r="W73">
        <v>159.19999999999999</v>
      </c>
      <c r="X73">
        <v>169.7</v>
      </c>
      <c r="Y73">
        <v>154.19999999999999</v>
      </c>
      <c r="Z73">
        <v>160.4</v>
      </c>
      <c r="AA73">
        <v>166.8</v>
      </c>
      <c r="AB73">
        <v>159.4</v>
      </c>
      <c r="AC73">
        <v>161.5</v>
      </c>
      <c r="AD73" s="1">
        <v>162.1</v>
      </c>
      <c r="AE73" s="1">
        <v>165.12142857142857</v>
      </c>
      <c r="AF73" s="1">
        <v>163.26666666666668</v>
      </c>
      <c r="AG73" s="1">
        <v>150.02499999999998</v>
      </c>
      <c r="AH73" s="2">
        <f>All_India_Index_Upto_April23__1[[#This Row],[House]]/All_India_Index_Upto_April23__1[[#This Row],[TOTAL BROADER CATEGORIES]]</f>
        <v>9.3038004121044404E-2</v>
      </c>
      <c r="AI73" s="2">
        <f>All_India_Index_Upto_April23__1[[#This Row],[Cloth]]/All_India_Index_Upto_April23__1[[#This Row],[TOTAL BROADER CATEGORIES]]</f>
        <v>0.10124982373712728</v>
      </c>
      <c r="AJ73" s="2">
        <f>All_India_Index_Upto_April23__1[[#This Row],[Food]]/All_India_Index_Upto_April23__1[[#This Row],[TOTAL BROADER CATEGORIES]]</f>
        <v>0.1024000543369526</v>
      </c>
      <c r="AK73" s="2">
        <f>All_India_Index_Upto_April23__1[[#This Row],[Miscellaneous]]/All_India_Index_Upto_April23__1[[#This Row],[TOTAL BROADER CATEGORIES]]</f>
        <v>0.10015422539942459</v>
      </c>
      <c r="AL73" s="2">
        <f>All_India_Index_Upto_April23__1[[#This Row],[Personal care and effects]]/All_India_Index_Upto_April23__1[[#This Row],[TOTAL BROADER CATEGORIES]]</f>
        <v>9.885191039423083E-2</v>
      </c>
      <c r="AM73" s="2">
        <f>All_India_Index_Upto_April23__1[[#This Row],[Education]]/All_India_Index_Upto_April23__1[[#This Row],[TOTAL BROADER CATEGORIES]]</f>
        <v>0.10344102041253264</v>
      </c>
      <c r="AN73" s="2">
        <f>All_India_Index_Upto_April23__1[[#This Row],[Recreation and amusement]]/All_India_Index_Upto_April23__1[[#This Row],[TOTAL BROADER CATEGORIES]]</f>
        <v>9.9472060396704046E-2</v>
      </c>
      <c r="AO73" s="2">
        <f>All_India_Index_Upto_April23__1[[#This Row],[Transport and communication]]/All_India_Index_Upto_April23__1[[#This Row],[TOTAL BROADER CATEGORIES]]</f>
        <v>9.5627130381370093E-2</v>
      </c>
      <c r="AP73" s="2">
        <f>All_India_Index_Upto_April23__1[[#This Row],[Health]]/All_India_Index_Upto_April23__1[[#This Row],[TOTAL BROADER CATEGORIES]]</f>
        <v>0.10523945541970496</v>
      </c>
      <c r="AQ73" s="2">
        <f>All_India_Index_Upto_April23__1[[#This Row],[Fuel and light]]/All_India_Index_Upto_April23__1[[#This Row],[TOTAL BROADER CATEGORIES]]</f>
        <v>0.10052631540090852</v>
      </c>
      <c r="AR73">
        <f>MONTH(1 &amp; All_India_Index_Upto_April23__1[[#This Row],[Month]])</f>
        <v>6</v>
      </c>
      <c r="AS73" s="19" t="str">
        <f>All_India_Index_Upto_April23__1[[#This Row],[MONTH IN NUM]]&amp;"/"&amp;All_India_Index_Upto_April23__1[[#This Row],[Year]]</f>
        <v>6/2021</v>
      </c>
      <c r="AT7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159.82142857142858</v>
      </c>
      <c r="AU7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1612.5130952380953</v>
      </c>
    </row>
    <row r="74" spans="1:47" x14ac:dyDescent="0.3">
      <c r="A74" t="s">
        <v>30</v>
      </c>
      <c r="B74">
        <v>2021</v>
      </c>
      <c r="C74" t="s">
        <v>37</v>
      </c>
      <c r="D74">
        <v>145.1</v>
      </c>
      <c r="E74">
        <v>198.5</v>
      </c>
      <c r="F74">
        <v>168.6</v>
      </c>
      <c r="G74">
        <v>155.80000000000001</v>
      </c>
      <c r="H74">
        <v>184.4</v>
      </c>
      <c r="I74">
        <v>162.30000000000001</v>
      </c>
      <c r="J74">
        <v>138.4</v>
      </c>
      <c r="K74">
        <v>165.1</v>
      </c>
      <c r="L74">
        <v>114.3</v>
      </c>
      <c r="M74">
        <v>169.7</v>
      </c>
      <c r="N74">
        <v>164.6</v>
      </c>
      <c r="O74">
        <v>169.8</v>
      </c>
      <c r="P74">
        <v>158.69999999999999</v>
      </c>
      <c r="Q74">
        <v>189.6</v>
      </c>
      <c r="R74">
        <v>165.3</v>
      </c>
      <c r="S74">
        <v>160.6</v>
      </c>
      <c r="T74">
        <v>164.5</v>
      </c>
      <c r="U74">
        <v>140.85</v>
      </c>
      <c r="V74">
        <v>161.69999999999999</v>
      </c>
      <c r="W74">
        <v>158.80000000000001</v>
      </c>
      <c r="X74">
        <v>169.1</v>
      </c>
      <c r="Y74">
        <v>153.19999999999999</v>
      </c>
      <c r="Z74">
        <v>160</v>
      </c>
      <c r="AA74">
        <v>167.6</v>
      </c>
      <c r="AB74">
        <v>159.30000000000001</v>
      </c>
      <c r="AC74">
        <v>161.1</v>
      </c>
      <c r="AD74" s="1">
        <v>161.1</v>
      </c>
      <c r="AE74" s="1">
        <v>163.20714285714283</v>
      </c>
      <c r="AF74" s="1">
        <v>163.46666666666667</v>
      </c>
      <c r="AG74" s="1">
        <v>149.82499999999999</v>
      </c>
      <c r="AH74" s="2">
        <f>All_India_Index_Upto_April23__1[[#This Row],[House]]/All_India_Index_Upto_April23__1[[#This Row],[TOTAL BROADER CATEGORIES]]</f>
        <v>9.314585693995954E-2</v>
      </c>
      <c r="AI74" s="2">
        <f>All_India_Index_Upto_April23__1[[#This Row],[Cloth]]/All_India_Index_Upto_April23__1[[#This Row],[TOTAL BROADER CATEGORIES]]</f>
        <v>0.10162684964315293</v>
      </c>
      <c r="AJ74" s="2">
        <f>All_India_Index_Upto_April23__1[[#This Row],[Food]]/All_India_Index_Upto_April23__1[[#This Row],[TOTAL BROADER CATEGORIES]]</f>
        <v>0.10146550428934401</v>
      </c>
      <c r="AK74" s="2">
        <f>All_India_Index_Upto_April23__1[[#This Row],[Miscellaneous]]/All_India_Index_Upto_April23__1[[#This Row],[TOTAL BROADER CATEGORIES]]</f>
        <v>0.10015549843502408</v>
      </c>
      <c r="AL74" s="2">
        <f>All_India_Index_Upto_April23__1[[#This Row],[Personal care and effects]]/All_India_Index_Upto_April23__1[[#This Row],[TOTAL BROADER CATEGORIES]]</f>
        <v>9.9036442586588058E-2</v>
      </c>
      <c r="AM74" s="2">
        <f>All_India_Index_Upto_April23__1[[#This Row],[Education]]/All_India_Index_Upto_April23__1[[#This Row],[TOTAL BROADER CATEGORIES]]</f>
        <v>0.10419653344326527</v>
      </c>
      <c r="AN74" s="2">
        <f>All_India_Index_Upto_April23__1[[#This Row],[Recreation and amusement]]/All_India_Index_Upto_April23__1[[#This Row],[TOTAL BROADER CATEGORIES]]</f>
        <v>9.9471630972090955E-2</v>
      </c>
      <c r="AO74" s="2">
        <f>All_India_Index_Upto_April23__1[[#This Row],[Transport and communication]]/All_India_Index_Upto_April23__1[[#This Row],[TOTAL BROADER CATEGORIES]]</f>
        <v>9.5244086655777077E-2</v>
      </c>
      <c r="AP74" s="2">
        <f>All_India_Index_Upto_April23__1[[#This Row],[Health]]/All_India_Index_Upto_April23__1[[#This Row],[TOTAL BROADER CATEGORIES]]</f>
        <v>0.10512907998362862</v>
      </c>
      <c r="AQ74" s="2">
        <f>All_India_Index_Upto_April23__1[[#This Row],[Fuel and light]]/All_India_Index_Upto_April23__1[[#This Row],[TOTAL BROADER CATEGORIES]]</f>
        <v>0.10052851705116941</v>
      </c>
      <c r="AR74">
        <f>MONTH(1 &amp; All_India_Index_Upto_April23__1[[#This Row],[Month]])</f>
        <v>5</v>
      </c>
      <c r="AS74" s="19" t="str">
        <f>All_India_Index_Upto_April23__1[[#This Row],[MONTH IN NUM]]&amp;"/"&amp;All_India_Index_Upto_April23__1[[#This Row],[Year]]</f>
        <v>5/2021</v>
      </c>
      <c r="AT7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159.90714285714284</v>
      </c>
      <c r="AU7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1608.4988095238095</v>
      </c>
    </row>
    <row r="75" spans="1:47" x14ac:dyDescent="0.3">
      <c r="A75" t="s">
        <v>32</v>
      </c>
      <c r="B75">
        <v>2021</v>
      </c>
      <c r="C75" t="s">
        <v>37</v>
      </c>
      <c r="D75">
        <v>148.80000000000001</v>
      </c>
      <c r="E75">
        <v>204.3</v>
      </c>
      <c r="F75">
        <v>173</v>
      </c>
      <c r="G75">
        <v>156.5</v>
      </c>
      <c r="H75">
        <v>168.8</v>
      </c>
      <c r="I75">
        <v>172.5</v>
      </c>
      <c r="J75">
        <v>166.5</v>
      </c>
      <c r="K75">
        <v>165.9</v>
      </c>
      <c r="L75">
        <v>115.9</v>
      </c>
      <c r="M75">
        <v>165.2</v>
      </c>
      <c r="N75">
        <v>152</v>
      </c>
      <c r="O75">
        <v>171.1</v>
      </c>
      <c r="P75">
        <v>164.2</v>
      </c>
      <c r="Q75">
        <v>198.2</v>
      </c>
      <c r="R75">
        <v>156.5</v>
      </c>
      <c r="S75">
        <v>140.19999999999999</v>
      </c>
      <c r="T75">
        <v>154.1</v>
      </c>
      <c r="U75">
        <v>161.6</v>
      </c>
      <c r="V75">
        <v>155.5</v>
      </c>
      <c r="W75">
        <v>150.1</v>
      </c>
      <c r="X75">
        <v>160.4</v>
      </c>
      <c r="Y75">
        <v>145</v>
      </c>
      <c r="Z75">
        <v>152.6</v>
      </c>
      <c r="AA75">
        <v>156.6</v>
      </c>
      <c r="AB75">
        <v>157.5</v>
      </c>
      <c r="AC75">
        <v>152.30000000000001</v>
      </c>
      <c r="AD75" s="1">
        <v>159.5</v>
      </c>
      <c r="AE75" s="1">
        <v>165.92142857142858</v>
      </c>
      <c r="AF75" s="1">
        <v>150.26666666666665</v>
      </c>
      <c r="AG75" s="1">
        <v>155.85</v>
      </c>
      <c r="AH75" s="2">
        <f>All_India_Index_Upto_April23__1[[#This Row],[House]]/All_India_Index_Upto_April23__1[[#This Row],[TOTAL BROADER CATEGORIES]]</f>
        <v>0.10042282000693448</v>
      </c>
      <c r="AI75" s="2">
        <f>All_India_Index_Upto_April23__1[[#This Row],[Cloth]]/All_India_Index_Upto_April23__1[[#This Row],[TOTAL BROADER CATEGORIES]]</f>
        <v>9.6825167916000557E-2</v>
      </c>
      <c r="AJ75" s="2">
        <f>All_India_Index_Upto_April23__1[[#This Row],[Food]]/All_India_Index_Upto_April23__1[[#This Row],[TOTAL BROADER CATEGORIES]]</f>
        <v>0.10691240139058074</v>
      </c>
      <c r="AK75" s="2">
        <f>All_India_Index_Upto_April23__1[[#This Row],[Miscellaneous]]/All_India_Index_Upto_April23__1[[#This Row],[TOTAL BROADER CATEGORIES]]</f>
        <v>9.8135357632698886E-2</v>
      </c>
      <c r="AL75" s="2">
        <f>All_India_Index_Upto_April23__1[[#This Row],[Personal care and effects]]/All_India_Index_Upto_April23__1[[#This Row],[TOTAL BROADER CATEGORIES]]</f>
        <v>0.10148600674425524</v>
      </c>
      <c r="AM75" s="2">
        <f>All_India_Index_Upto_April23__1[[#This Row],[Education]]/All_India_Index_Upto_April23__1[[#This Row],[TOTAL BROADER CATEGORIES]]</f>
        <v>0.10090608670571664</v>
      </c>
      <c r="AN75" s="2">
        <f>All_India_Index_Upto_April23__1[[#This Row],[Recreation and amusement]]/All_India_Index_Upto_April23__1[[#This Row],[TOTAL BROADER CATEGORIES]]</f>
        <v>9.8328664312211753E-2</v>
      </c>
      <c r="AO75" s="2">
        <f>All_India_Index_Upto_April23__1[[#This Row],[Transport and communication]]/All_India_Index_Upto_April23__1[[#This Row],[TOTAL BROADER CATEGORIES]]</f>
        <v>9.3431561764552445E-2</v>
      </c>
      <c r="AP75" s="2">
        <f>All_India_Index_Upto_April23__1[[#This Row],[Health]]/All_India_Index_Upto_April23__1[[#This Row],[TOTAL BROADER CATEGORIES]]</f>
        <v>0.1033546379795463</v>
      </c>
      <c r="AQ75" s="2">
        <f>All_India_Index_Upto_April23__1[[#This Row],[Fuel and light]]/All_India_Index_Upto_April23__1[[#This Row],[TOTAL BROADER CATEGORIES]]</f>
        <v>0.1001972955475028</v>
      </c>
      <c r="AR75">
        <f>MONTH(1 &amp; All_India_Index_Upto_April23__1[[#This Row],[Month]])</f>
        <v>5</v>
      </c>
      <c r="AS75" s="19" t="str">
        <f>All_India_Index_Upto_April23__1[[#This Row],[MONTH IN NUM]]&amp;"/"&amp;All_India_Index_Upto_April23__1[[#This Row],[Year]]</f>
        <v>5/2021</v>
      </c>
      <c r="AT7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153.51428571428571</v>
      </c>
      <c r="AU7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1551.9380952380955</v>
      </c>
    </row>
    <row r="76" spans="1:47" x14ac:dyDescent="0.3">
      <c r="A76" t="s">
        <v>33</v>
      </c>
      <c r="B76">
        <v>2021</v>
      </c>
      <c r="C76" t="s">
        <v>37</v>
      </c>
      <c r="D76">
        <v>146.30000000000001</v>
      </c>
      <c r="E76">
        <v>200.5</v>
      </c>
      <c r="F76">
        <v>170.3</v>
      </c>
      <c r="G76">
        <v>156.1</v>
      </c>
      <c r="H76">
        <v>178.7</v>
      </c>
      <c r="I76">
        <v>167.1</v>
      </c>
      <c r="J76">
        <v>147.9</v>
      </c>
      <c r="K76">
        <v>165.4</v>
      </c>
      <c r="L76">
        <v>114.8</v>
      </c>
      <c r="M76">
        <v>168.2</v>
      </c>
      <c r="N76">
        <v>159.30000000000001</v>
      </c>
      <c r="O76">
        <v>170.4</v>
      </c>
      <c r="P76">
        <v>160.69999999999999</v>
      </c>
      <c r="Q76">
        <v>191.9</v>
      </c>
      <c r="R76">
        <v>161.80000000000001</v>
      </c>
      <c r="S76">
        <v>152.1</v>
      </c>
      <c r="T76">
        <v>160.4</v>
      </c>
      <c r="U76">
        <v>161.6</v>
      </c>
      <c r="V76">
        <v>159.4</v>
      </c>
      <c r="W76">
        <v>154.69999999999999</v>
      </c>
      <c r="X76">
        <v>165.8</v>
      </c>
      <c r="Y76">
        <v>148.9</v>
      </c>
      <c r="Z76">
        <v>155.80000000000001</v>
      </c>
      <c r="AA76">
        <v>161.19999999999999</v>
      </c>
      <c r="AB76">
        <v>158.6</v>
      </c>
      <c r="AC76">
        <v>156.80000000000001</v>
      </c>
      <c r="AD76" s="1">
        <v>160.4</v>
      </c>
      <c r="AE76" s="1">
        <v>164.11428571428573</v>
      </c>
      <c r="AF76" s="1">
        <v>158.1</v>
      </c>
      <c r="AG76" s="1">
        <v>158.14999999999998</v>
      </c>
      <c r="AH76" s="2">
        <f>All_India_Index_Upto_April23__1[[#This Row],[House]]/All_India_Index_Upto_April23__1[[#This Row],[TOTAL BROADER CATEGORIES]]</f>
        <v>9.9661956869117413E-2</v>
      </c>
      <c r="AI76" s="2">
        <f>All_India_Index_Upto_April23__1[[#This Row],[Cloth]]/All_India_Index_Upto_April23__1[[#This Row],[TOTAL BROADER CATEGORIES]]</f>
        <v>9.9630448188475912E-2</v>
      </c>
      <c r="AJ76" s="2">
        <f>All_India_Index_Upto_April23__1[[#This Row],[Food]]/All_India_Index_Upto_April23__1[[#This Row],[TOTAL BROADER CATEGORIES]]</f>
        <v>0.10342049234564123</v>
      </c>
      <c r="AK76" s="2">
        <f>All_India_Index_Upto_April23__1[[#This Row],[Miscellaneous]]/All_India_Index_Upto_April23__1[[#This Row],[TOTAL BROADER CATEGORIES]]</f>
        <v>9.8811222491796483E-2</v>
      </c>
      <c r="AL76" s="2">
        <f>All_India_Index_Upto_April23__1[[#This Row],[Personal care and effects]]/All_India_Index_Upto_April23__1[[#This Row],[TOTAL BROADER CATEGORIES]]</f>
        <v>9.9945534994891075E-2</v>
      </c>
      <c r="AM76" s="2">
        <f>All_India_Index_Upto_April23__1[[#This Row],[Education]]/All_India_Index_Upto_April23__1[[#This Row],[TOTAL BROADER CATEGORIES]]</f>
        <v>0.10158398638824995</v>
      </c>
      <c r="AN76" s="2">
        <f>All_India_Index_Upto_April23__1[[#This Row],[Recreation and amusement]]/All_India_Index_Upto_April23__1[[#This Row],[TOTAL BROADER CATEGORIES]]</f>
        <v>9.8181048878966157E-2</v>
      </c>
      <c r="AO76" s="2">
        <f>All_India_Index_Upto_April23__1[[#This Row],[Transport and communication]]/All_India_Index_Upto_April23__1[[#This Row],[TOTAL BROADER CATEGORIES]]</f>
        <v>9.3832850950436836E-2</v>
      </c>
      <c r="AP76" s="2">
        <f>All_India_Index_Upto_April23__1[[#This Row],[Health]]/All_India_Index_Upto_April23__1[[#This Row],[TOTAL BROADER CATEGORIES]]</f>
        <v>0.1044827850072695</v>
      </c>
      <c r="AQ76" s="2">
        <f>All_India_Index_Upto_April23__1[[#This Row],[Fuel and light]]/All_India_Index_Upto_April23__1[[#This Row],[TOTAL BROADER CATEGORIES]]</f>
        <v>0.10044967388515536</v>
      </c>
      <c r="AR76">
        <f>MONTH(1 &amp; All_India_Index_Upto_April23__1[[#This Row],[Month]])</f>
        <v>5</v>
      </c>
      <c r="AS76" s="19" t="str">
        <f>All_India_Index_Upto_April23__1[[#This Row],[MONTH IN NUM]]&amp;"/"&amp;All_India_Index_Upto_April23__1[[#This Row],[Year]]</f>
        <v>5/2021</v>
      </c>
      <c r="AT7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158.74285714285716</v>
      </c>
      <c r="AU7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1586.8642857142859</v>
      </c>
    </row>
    <row r="77" spans="1:47" x14ac:dyDescent="0.3">
      <c r="A77" t="s">
        <v>33</v>
      </c>
      <c r="B77">
        <v>2021</v>
      </c>
      <c r="C77" t="s">
        <v>36</v>
      </c>
      <c r="D77">
        <v>144.30000000000001</v>
      </c>
      <c r="E77">
        <v>198</v>
      </c>
      <c r="F77">
        <v>164.6</v>
      </c>
      <c r="G77">
        <v>155.4</v>
      </c>
      <c r="H77">
        <v>170.1</v>
      </c>
      <c r="I77">
        <v>164.4</v>
      </c>
      <c r="J77">
        <v>144.1</v>
      </c>
      <c r="K77">
        <v>161.69999999999999</v>
      </c>
      <c r="L77">
        <v>113.1</v>
      </c>
      <c r="M77">
        <v>163.9</v>
      </c>
      <c r="N77">
        <v>157.6</v>
      </c>
      <c r="O77">
        <v>168.9</v>
      </c>
      <c r="P77">
        <v>158</v>
      </c>
      <c r="Q77">
        <v>188.8</v>
      </c>
      <c r="R77">
        <v>158.80000000000001</v>
      </c>
      <c r="S77">
        <v>148.5</v>
      </c>
      <c r="T77">
        <v>157.30000000000001</v>
      </c>
      <c r="U77">
        <v>161.4</v>
      </c>
      <c r="V77">
        <v>155.6</v>
      </c>
      <c r="W77">
        <v>151.80000000000001</v>
      </c>
      <c r="X77">
        <v>162.30000000000001</v>
      </c>
      <c r="Y77">
        <v>146.6</v>
      </c>
      <c r="Z77">
        <v>153.19999999999999</v>
      </c>
      <c r="AA77">
        <v>160.30000000000001</v>
      </c>
      <c r="AB77">
        <v>155.4</v>
      </c>
      <c r="AC77">
        <v>154.4</v>
      </c>
      <c r="AD77" s="1">
        <v>157.80000000000001</v>
      </c>
      <c r="AE77" s="1">
        <v>160.92142857142858</v>
      </c>
      <c r="AF77" s="1">
        <v>154.86666666666667</v>
      </c>
      <c r="AG77" s="1">
        <v>156.60000000000002</v>
      </c>
      <c r="AH77" s="2">
        <f>All_India_Index_Upto_April23__1[[#This Row],[House]]/All_India_Index_Upto_April23__1[[#This Row],[TOTAL BROADER CATEGORIES]]</f>
        <v>0.10037251308221387</v>
      </c>
      <c r="AI77" s="2">
        <f>All_India_Index_Upto_April23__1[[#This Row],[Cloth]]/All_India_Index_Upto_April23__1[[#This Row],[TOTAL BROADER CATEGORIES]]</f>
        <v>9.9261535925918604E-2</v>
      </c>
      <c r="AJ77" s="2">
        <f>All_India_Index_Upto_April23__1[[#This Row],[Food]]/All_India_Index_Upto_April23__1[[#This Row],[TOTAL BROADER CATEGORIES]]</f>
        <v>0.10314232563534008</v>
      </c>
      <c r="AK77" s="2">
        <f>All_India_Index_Upto_April23__1[[#This Row],[Miscellaneous]]/All_India_Index_Upto_April23__1[[#This Row],[TOTAL BROADER CATEGORIES]]</f>
        <v>9.8962426691531408E-2</v>
      </c>
      <c r="AL77" s="2">
        <f>All_India_Index_Upto_April23__1[[#This Row],[Personal care and effects]]/All_India_Index_Upto_April23__1[[#This Row],[TOTAL BROADER CATEGORIES]]</f>
        <v>9.9603375050932516E-2</v>
      </c>
      <c r="AM77" s="2">
        <f>All_India_Index_Upto_April23__1[[#This Row],[Education]]/All_India_Index_Upto_April23__1[[#This Row],[TOTAL BROADER CATEGORIES]]</f>
        <v>0.10274402201199796</v>
      </c>
      <c r="AN77" s="2">
        <f>All_India_Index_Upto_April23__1[[#This Row],[Recreation and amusement]]/All_India_Index_Upto_April23__1[[#This Row],[TOTAL BROADER CATEGORIES]]</f>
        <v>9.8193288660250067E-2</v>
      </c>
      <c r="AO77" s="2">
        <f>All_India_Index_Upto_April23__1[[#This Row],[Transport and communication]]/All_India_Index_Upto_April23__1[[#This Row],[TOTAL BROADER CATEGORIES]]</f>
        <v>9.3963029488202746E-2</v>
      </c>
      <c r="AP77" s="2">
        <f>All_India_Index_Upto_April23__1[[#This Row],[Health]]/All_India_Index_Upto_April23__1[[#This Row],[TOTAL BROADER CATEGORIES]]</f>
        <v>0.10402591873080018</v>
      </c>
      <c r="AQ77" s="2">
        <f>All_India_Index_Upto_April23__1[[#This Row],[Fuel and light]]/All_India_Index_Upto_April23__1[[#This Row],[TOTAL BROADER CATEGORIES]]</f>
        <v>9.9731564722812735E-2</v>
      </c>
      <c r="AR77">
        <f>MONTH(1 &amp; All_India_Index_Upto_April23__1[[#This Row],[Month]])</f>
        <v>4</v>
      </c>
      <c r="AS77" s="19" t="str">
        <f>All_India_Index_Upto_April23__1[[#This Row],[MONTH IN NUM]]&amp;"/"&amp;All_India_Index_Upto_April23__1[[#This Row],[Year]]</f>
        <v>4/2021</v>
      </c>
      <c r="AT7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156.24285714285716</v>
      </c>
      <c r="AU7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1560.188095238095</v>
      </c>
    </row>
    <row r="78" spans="1:47" x14ac:dyDescent="0.3">
      <c r="A78" t="s">
        <v>30</v>
      </c>
      <c r="B78">
        <v>2021</v>
      </c>
      <c r="C78" t="s">
        <v>36</v>
      </c>
      <c r="D78">
        <v>142.69999999999999</v>
      </c>
      <c r="E78">
        <v>195.5</v>
      </c>
      <c r="F78">
        <v>163.4</v>
      </c>
      <c r="G78">
        <v>155</v>
      </c>
      <c r="H78">
        <v>175.2</v>
      </c>
      <c r="I78">
        <v>160.6</v>
      </c>
      <c r="J78">
        <v>135.1</v>
      </c>
      <c r="K78">
        <v>161.1</v>
      </c>
      <c r="L78">
        <v>112.2</v>
      </c>
      <c r="M78">
        <v>164.4</v>
      </c>
      <c r="N78">
        <v>161.9</v>
      </c>
      <c r="O78">
        <v>166.8</v>
      </c>
      <c r="P78">
        <v>155.6</v>
      </c>
      <c r="Q78">
        <v>186.8</v>
      </c>
      <c r="R78">
        <v>160.69999999999999</v>
      </c>
      <c r="S78">
        <v>155.1</v>
      </c>
      <c r="T78">
        <v>159.9</v>
      </c>
      <c r="U78">
        <v>140.85</v>
      </c>
      <c r="V78">
        <v>156</v>
      </c>
      <c r="W78">
        <v>155.5</v>
      </c>
      <c r="X78">
        <v>165.3</v>
      </c>
      <c r="Y78">
        <v>151.69999999999999</v>
      </c>
      <c r="Z78">
        <v>158.6</v>
      </c>
      <c r="AA78">
        <v>164.1</v>
      </c>
      <c r="AB78">
        <v>154.6</v>
      </c>
      <c r="AC78">
        <v>158</v>
      </c>
      <c r="AD78" s="1">
        <v>157.6</v>
      </c>
      <c r="AE78" s="1">
        <v>159.73571428571429</v>
      </c>
      <c r="AF78" s="1">
        <v>158.56666666666663</v>
      </c>
      <c r="AG78" s="1">
        <v>148.17500000000001</v>
      </c>
      <c r="AH78" s="2">
        <f>All_India_Index_Upto_April23__1[[#This Row],[House]]/All_India_Index_Upto_April23__1[[#This Row],[TOTAL BROADER CATEGORIES]]</f>
        <v>9.4092664647232829E-2</v>
      </c>
      <c r="AI78" s="2">
        <f>All_India_Index_Upto_April23__1[[#This Row],[Cloth]]/All_India_Index_Upto_April23__1[[#This Row],[TOTAL BROADER CATEGORIES]]</f>
        <v>0.10069148095762588</v>
      </c>
      <c r="AJ78" s="2">
        <f>All_India_Index_Upto_April23__1[[#This Row],[Food]]/All_India_Index_Upto_April23__1[[#This Row],[TOTAL BROADER CATEGORIES]]</f>
        <v>0.10143383834298575</v>
      </c>
      <c r="AK78" s="2">
        <f>All_India_Index_Upto_April23__1[[#This Row],[Miscellaneous]]/All_India_Index_Upto_April23__1[[#This Row],[TOTAL BROADER CATEGORIES]]</f>
        <v>0.10033164173620912</v>
      </c>
      <c r="AL78" s="2">
        <f>All_India_Index_Upto_April23__1[[#This Row],[Personal care and effects]]/All_India_Index_Upto_April23__1[[#This Row],[TOTAL BROADER CATEGORIES]]</f>
        <v>9.8172606407708418E-2</v>
      </c>
      <c r="AM78" s="2">
        <f>All_India_Index_Upto_April23__1[[#This Row],[Education]]/All_India_Index_Upto_April23__1[[#This Row],[TOTAL BROADER CATEGORIES]]</f>
        <v>0.10420520511969567</v>
      </c>
      <c r="AN78" s="2">
        <f>All_India_Index_Upto_April23__1[[#This Row],[Recreation and amusement]]/All_India_Index_Upto_April23__1[[#This Row],[TOTAL BROADER CATEGORIES]]</f>
        <v>0.10071264797065042</v>
      </c>
      <c r="AO78" s="2">
        <f>All_India_Index_Upto_April23__1[[#This Row],[Transport and communication]]/All_India_Index_Upto_April23__1[[#This Row],[TOTAL BROADER CATEGORIES]]</f>
        <v>9.6331076274575461E-2</v>
      </c>
      <c r="AP78" s="2">
        <f>All_India_Index_Upto_April23__1[[#This Row],[Health]]/All_India_Index_Upto_April23__1[[#This Row],[TOTAL BROADER CATEGORIES]]</f>
        <v>0.10496721758857828</v>
      </c>
      <c r="AQ78" s="2">
        <f>All_India_Index_Upto_April23__1[[#This Row],[Fuel and light]]/All_India_Index_Upto_April23__1[[#This Row],[TOTAL BROADER CATEGORIES]]</f>
        <v>9.9061620954738125E-2</v>
      </c>
      <c r="AR78">
        <f>MONTH(1 &amp; All_India_Index_Upto_April23__1[[#This Row],[Month]])</f>
        <v>4</v>
      </c>
      <c r="AS78" s="19" t="str">
        <f>All_India_Index_Upto_April23__1[[#This Row],[MONTH IN NUM]]&amp;"/"&amp;All_India_Index_Upto_April23__1[[#This Row],[Year]]</f>
        <v>4/2021</v>
      </c>
      <c r="AT7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156.02142857142857</v>
      </c>
      <c r="AU7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1574.777380952381</v>
      </c>
    </row>
    <row r="79" spans="1:47" x14ac:dyDescent="0.3">
      <c r="A79" t="s">
        <v>32</v>
      </c>
      <c r="B79">
        <v>2021</v>
      </c>
      <c r="C79" t="s">
        <v>36</v>
      </c>
      <c r="D79">
        <v>147.6</v>
      </c>
      <c r="E79">
        <v>202.5</v>
      </c>
      <c r="F79">
        <v>166.4</v>
      </c>
      <c r="G79">
        <v>156</v>
      </c>
      <c r="H79">
        <v>161.4</v>
      </c>
      <c r="I79">
        <v>168.8</v>
      </c>
      <c r="J79">
        <v>161.6</v>
      </c>
      <c r="K79">
        <v>162.80000000000001</v>
      </c>
      <c r="L79">
        <v>114.8</v>
      </c>
      <c r="M79">
        <v>162.80000000000001</v>
      </c>
      <c r="N79">
        <v>151.5</v>
      </c>
      <c r="O79">
        <v>171.4</v>
      </c>
      <c r="P79">
        <v>162</v>
      </c>
      <c r="Q79">
        <v>194.4</v>
      </c>
      <c r="R79">
        <v>155.9</v>
      </c>
      <c r="S79">
        <v>139.30000000000001</v>
      </c>
      <c r="T79">
        <v>153.4</v>
      </c>
      <c r="U79">
        <v>161.4</v>
      </c>
      <c r="V79">
        <v>154.9</v>
      </c>
      <c r="W79">
        <v>147.6</v>
      </c>
      <c r="X79">
        <v>157.5</v>
      </c>
      <c r="Y79">
        <v>142.1</v>
      </c>
      <c r="Z79">
        <v>149.1</v>
      </c>
      <c r="AA79">
        <v>157.6</v>
      </c>
      <c r="AB79">
        <v>156.6</v>
      </c>
      <c r="AC79">
        <v>150.5</v>
      </c>
      <c r="AD79" s="1">
        <v>158</v>
      </c>
      <c r="AE79" s="1">
        <v>163.14285714285714</v>
      </c>
      <c r="AF79" s="1">
        <v>149.53333333333333</v>
      </c>
      <c r="AG79" s="1">
        <v>154.5</v>
      </c>
      <c r="AH79" s="2">
        <f>All_India_Index_Upto_April23__1[[#This Row],[House]]/All_India_Index_Upto_April23__1[[#This Row],[TOTAL BROADER CATEGORIES]]</f>
        <v>0.1006202512017367</v>
      </c>
      <c r="AI79" s="2">
        <f>All_India_Index_Upto_April23__1[[#This Row],[Cloth]]/All_India_Index_Upto_April23__1[[#This Row],[TOTAL BROADER CATEGORIES]]</f>
        <v>9.7385641184679794E-2</v>
      </c>
      <c r="AJ79" s="2">
        <f>All_India_Index_Upto_April23__1[[#This Row],[Food]]/All_India_Index_Upto_April23__1[[#This Row],[TOTAL BROADER CATEGORIES]]</f>
        <v>0.10624903085749729</v>
      </c>
      <c r="AK79" s="2">
        <f>All_India_Index_Upto_April23__1[[#This Row],[Miscellaneous]]/All_India_Index_Upto_April23__1[[#This Row],[TOTAL BROADER CATEGORIES]]</f>
        <v>9.8015196154442555E-2</v>
      </c>
      <c r="AL79" s="2">
        <f>All_India_Index_Upto_April23__1[[#This Row],[Personal care and effects]]/All_India_Index_Upto_April23__1[[#This Row],[TOTAL BROADER CATEGORIES]]</f>
        <v>0.10198790510156613</v>
      </c>
      <c r="AM79" s="2">
        <f>All_India_Index_Upto_April23__1[[#This Row],[Education]]/All_India_Index_Upto_April23__1[[#This Row],[TOTAL BROADER CATEGORIES]]</f>
        <v>0.10263916886338968</v>
      </c>
      <c r="AN79" s="2">
        <f>All_India_Index_Upto_April23__1[[#This Row],[Recreation and amusement]]/All_India_Index_Upto_April23__1[[#This Row],[TOTAL BROADER CATEGORIES]]</f>
        <v>9.7103426887889602E-2</v>
      </c>
      <c r="AO79" s="2">
        <f>All_India_Index_Upto_April23__1[[#This Row],[Transport and communication]]/All_India_Index_Upto_April23__1[[#This Row],[TOTAL BROADER CATEGORIES]]</f>
        <v>9.2544580555124822E-2</v>
      </c>
      <c r="AP79" s="2">
        <f>All_India_Index_Upto_April23__1[[#This Row],[Health]]/All_India_Index_Upto_April23__1[[#This Row],[TOTAL BROADER CATEGORIES]]</f>
        <v>0.10257404248720732</v>
      </c>
      <c r="AQ79" s="2">
        <f>All_India_Index_Upto_April23__1[[#This Row],[Fuel and light]]/All_India_Index_Upto_April23__1[[#This Row],[TOTAL BROADER CATEGORIES]]</f>
        <v>0.10088075670646612</v>
      </c>
      <c r="AR79">
        <f>MONTH(1 &amp; All_India_Index_Upto_April23__1[[#This Row],[Month]])</f>
        <v>4</v>
      </c>
      <c r="AS79" s="19" t="str">
        <f>All_India_Index_Upto_April23__1[[#This Row],[MONTH IN NUM]]&amp;"/"&amp;All_India_Index_Upto_April23__1[[#This Row],[Year]]</f>
        <v>4/2021</v>
      </c>
      <c r="AT7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152.87142857142859</v>
      </c>
      <c r="AU7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1535.4761904761904</v>
      </c>
    </row>
    <row r="80" spans="1:47" x14ac:dyDescent="0.3">
      <c r="A80" t="s">
        <v>32</v>
      </c>
      <c r="B80">
        <v>2021</v>
      </c>
      <c r="C80" t="s">
        <v>35</v>
      </c>
      <c r="D80">
        <v>147.5</v>
      </c>
      <c r="E80">
        <v>197.5</v>
      </c>
      <c r="F80">
        <v>164.7</v>
      </c>
      <c r="G80">
        <v>155.6</v>
      </c>
      <c r="H80">
        <v>156.4</v>
      </c>
      <c r="I80">
        <v>157.30000000000001</v>
      </c>
      <c r="J80">
        <v>166.1</v>
      </c>
      <c r="K80">
        <v>161.1</v>
      </c>
      <c r="L80">
        <v>114.3</v>
      </c>
      <c r="M80">
        <v>162.6</v>
      </c>
      <c r="N80">
        <v>150.69999999999999</v>
      </c>
      <c r="O80">
        <v>170.3</v>
      </c>
      <c r="P80">
        <v>160.4</v>
      </c>
      <c r="Q80">
        <v>193.5</v>
      </c>
      <c r="R80">
        <v>155.1</v>
      </c>
      <c r="S80">
        <v>138.69999999999999</v>
      </c>
      <c r="T80">
        <v>152.6</v>
      </c>
      <c r="U80">
        <v>159.9</v>
      </c>
      <c r="V80">
        <v>154.80000000000001</v>
      </c>
      <c r="W80">
        <v>147.19999999999999</v>
      </c>
      <c r="X80">
        <v>156.9</v>
      </c>
      <c r="Y80">
        <v>141.69999999999999</v>
      </c>
      <c r="Z80">
        <v>148.6</v>
      </c>
      <c r="AA80">
        <v>157.6</v>
      </c>
      <c r="AB80">
        <v>154.9</v>
      </c>
      <c r="AC80">
        <v>150</v>
      </c>
      <c r="AD80" s="1">
        <v>156.9</v>
      </c>
      <c r="AE80" s="1">
        <v>161.28571428571425</v>
      </c>
      <c r="AF80" s="1">
        <v>148.79999999999998</v>
      </c>
      <c r="AG80" s="1">
        <v>153.55000000000001</v>
      </c>
      <c r="AH80" s="2">
        <f>All_India_Index_Upto_April23__1[[#This Row],[House]]/All_India_Index_Upto_April23__1[[#This Row],[TOTAL BROADER CATEGORIES]]</f>
        <v>0.10048191306867846</v>
      </c>
      <c r="AI80" s="2">
        <f>All_India_Index_Upto_April23__1[[#This Row],[Cloth]]/All_India_Index_Upto_April23__1[[#This Row],[TOTAL BROADER CATEGORIES]]</f>
        <v>9.737355040455456E-2</v>
      </c>
      <c r="AJ80" s="2">
        <f>All_India_Index_Upto_April23__1[[#This Row],[Food]]/All_India_Index_Upto_April23__1[[#This Row],[TOTAL BROADER CATEGORIES]]</f>
        <v>0.10554410369310875</v>
      </c>
      <c r="AK80" s="2">
        <f>All_India_Index_Upto_April23__1[[#This Row],[Miscellaneous]]/All_India_Index_Upto_April23__1[[#This Row],[TOTAL BROADER CATEGORIES]]</f>
        <v>9.8158820972333236E-2</v>
      </c>
      <c r="AL80" s="2">
        <f>All_India_Index_Upto_April23__1[[#This Row],[Personal care and effects]]/All_India_Index_Upto_April23__1[[#This Row],[TOTAL BROADER CATEGORIES]]</f>
        <v>0.10136534245742945</v>
      </c>
      <c r="AM80" s="2">
        <f>All_India_Index_Upto_April23__1[[#This Row],[Education]]/All_India_Index_Upto_April23__1[[#This Row],[TOTAL BROADER CATEGORIES]]</f>
        <v>0.10313220123493144</v>
      </c>
      <c r="AN80" s="2">
        <f>All_India_Index_Upto_April23__1[[#This Row],[Recreation and amusement]]/All_India_Index_Upto_April23__1[[#This Row],[TOTAL BROADER CATEGORIES]]</f>
        <v>9.7242671976591449E-2</v>
      </c>
      <c r="AO80" s="2">
        <f>All_India_Index_Upto_April23__1[[#This Row],[Transport and communication]]/All_India_Index_Upto_April23__1[[#This Row],[TOTAL BROADER CATEGORIES]]</f>
        <v>9.2727366211864115E-2</v>
      </c>
      <c r="AP80" s="2">
        <f>All_India_Index_Upto_April23__1[[#This Row],[Health]]/All_India_Index_Upto_April23__1[[#This Row],[TOTAL BROADER CATEGORIES]]</f>
        <v>0.10267412673706057</v>
      </c>
      <c r="AQ80" s="2">
        <f>All_India_Index_Upto_April23__1[[#This Row],[Fuel and light]]/All_India_Index_Upto_April23__1[[#This Row],[TOTAL BROADER CATEGORIES]]</f>
        <v>0.1012999032434479</v>
      </c>
      <c r="AR80">
        <f>MONTH(1 &amp; All_India_Index_Upto_April23__1[[#This Row],[Month]])</f>
        <v>3</v>
      </c>
      <c r="AS80" s="19" t="str">
        <f>All_India_Index_Upto_April23__1[[#This Row],[MONTH IN NUM]]&amp;"/"&amp;All_India_Index_Upto_April23__1[[#This Row],[Year]]</f>
        <v>3/2021</v>
      </c>
      <c r="AT8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152.27142857142854</v>
      </c>
      <c r="AU8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1528.1357142857144</v>
      </c>
    </row>
    <row r="81" spans="1:47" x14ac:dyDescent="0.3">
      <c r="A81" t="s">
        <v>33</v>
      </c>
      <c r="B81">
        <v>2021</v>
      </c>
      <c r="C81" t="s">
        <v>35</v>
      </c>
      <c r="D81">
        <v>144.1</v>
      </c>
      <c r="E81">
        <v>192.2</v>
      </c>
      <c r="F81">
        <v>163.80000000000001</v>
      </c>
      <c r="G81">
        <v>154.9</v>
      </c>
      <c r="H81">
        <v>163.9</v>
      </c>
      <c r="I81">
        <v>153.69999999999999</v>
      </c>
      <c r="J81">
        <v>149.5</v>
      </c>
      <c r="K81">
        <v>159.80000000000001</v>
      </c>
      <c r="L81">
        <v>112.6</v>
      </c>
      <c r="M81">
        <v>163.5</v>
      </c>
      <c r="N81">
        <v>156.5</v>
      </c>
      <c r="O81">
        <v>168.2</v>
      </c>
      <c r="P81">
        <v>156.69999999999999</v>
      </c>
      <c r="Q81">
        <v>188.1</v>
      </c>
      <c r="R81">
        <v>157.80000000000001</v>
      </c>
      <c r="S81">
        <v>147.9</v>
      </c>
      <c r="T81">
        <v>156.4</v>
      </c>
      <c r="U81">
        <v>159.9</v>
      </c>
      <c r="V81">
        <v>155.5</v>
      </c>
      <c r="W81">
        <v>151.19999999999999</v>
      </c>
      <c r="X81">
        <v>161.69999999999999</v>
      </c>
      <c r="Y81">
        <v>146.19999999999999</v>
      </c>
      <c r="Z81">
        <v>152.6</v>
      </c>
      <c r="AA81">
        <v>160.19999999999999</v>
      </c>
      <c r="AB81">
        <v>153.80000000000001</v>
      </c>
      <c r="AC81">
        <v>153.80000000000001</v>
      </c>
      <c r="AD81" s="1">
        <v>156.80000000000001</v>
      </c>
      <c r="AE81" s="1">
        <v>159.10714285714286</v>
      </c>
      <c r="AF81" s="1">
        <v>154.03333333333333</v>
      </c>
      <c r="AG81" s="1">
        <v>155.55000000000001</v>
      </c>
      <c r="AH81" s="2">
        <f>All_India_Index_Upto_April23__1[[#This Row],[House]]/All_India_Index_Upto_April23__1[[#This Row],[TOTAL BROADER CATEGORIES]]</f>
        <v>0.10019385135404557</v>
      </c>
      <c r="AI81" s="2">
        <f>All_India_Index_Upto_April23__1[[#This Row],[Cloth]]/All_India_Index_Upto_April23__1[[#This Row],[TOTAL BROADER CATEGORIES]]</f>
        <v>9.9216926413167164E-2</v>
      </c>
      <c r="AJ81" s="2">
        <f>All_India_Index_Upto_April23__1[[#This Row],[Food]]/All_India_Index_Upto_April23__1[[#This Row],[TOTAL BROADER CATEGORIES]]</f>
        <v>0.102485100744426</v>
      </c>
      <c r="AK81" s="2">
        <f>All_India_Index_Upto_April23__1[[#This Row],[Miscellaneous]]/All_India_Index_Upto_April23__1[[#This Row],[TOTAL BROADER CATEGORIES]]</f>
        <v>9.9066630268416639E-2</v>
      </c>
      <c r="AL81" s="2">
        <f>All_India_Index_Upto_April23__1[[#This Row],[Personal care and effects]]/All_India_Index_Upto_April23__1[[#This Row],[TOTAL BROADER CATEGORIES]]</f>
        <v>9.9066630268416639E-2</v>
      </c>
      <c r="AM81" s="2">
        <f>All_India_Index_Upto_April23__1[[#This Row],[Education]]/All_India_Index_Upto_April23__1[[#This Row],[TOTAL BROADER CATEGORIES]]</f>
        <v>0.10318903881014528</v>
      </c>
      <c r="AN81" s="2">
        <f>All_India_Index_Upto_April23__1[[#This Row],[Recreation and amusement]]/All_India_Index_Upto_April23__1[[#This Row],[TOTAL BROADER CATEGORIES]]</f>
        <v>9.8293678666842507E-2</v>
      </c>
      <c r="AO81" s="2">
        <f>All_India_Index_Upto_April23__1[[#This Row],[Transport and communication]]/All_India_Index_Upto_April23__1[[#This Row],[TOTAL BROADER CATEGORIES]]</f>
        <v>9.4171270125113851E-2</v>
      </c>
      <c r="AP81" s="2">
        <f>All_India_Index_Upto_April23__1[[#This Row],[Health]]/All_India_Index_Upto_April23__1[[#This Row],[TOTAL BROADER CATEGORIES]]</f>
        <v>0.10415522831211294</v>
      </c>
      <c r="AQ81" s="2">
        <f>All_India_Index_Upto_April23__1[[#This Row],[Fuel and light]]/All_India_Index_Upto_April23__1[[#This Row],[TOTAL BROADER CATEGORIES]]</f>
        <v>0.10016164503731331</v>
      </c>
      <c r="AR81">
        <f>MONTH(1 &amp; All_India_Index_Upto_April23__1[[#This Row],[Month]])</f>
        <v>3</v>
      </c>
      <c r="AS81" s="19" t="str">
        <f>All_India_Index_Upto_April23__1[[#This Row],[MONTH IN NUM]]&amp;"/"&amp;All_India_Index_Upto_April23__1[[#This Row],[Year]]</f>
        <v>3/2021</v>
      </c>
      <c r="AT8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155.55714285714285</v>
      </c>
      <c r="AU8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1552.4904761904763</v>
      </c>
    </row>
    <row r="82" spans="1:47" x14ac:dyDescent="0.3">
      <c r="A82" t="s">
        <v>30</v>
      </c>
      <c r="B82">
        <v>2021</v>
      </c>
      <c r="C82" t="s">
        <v>35</v>
      </c>
      <c r="D82">
        <v>142.5</v>
      </c>
      <c r="E82">
        <v>189.4</v>
      </c>
      <c r="F82">
        <v>163.19999999999999</v>
      </c>
      <c r="G82">
        <v>154.5</v>
      </c>
      <c r="H82">
        <v>168.2</v>
      </c>
      <c r="I82">
        <v>150.5</v>
      </c>
      <c r="J82">
        <v>141</v>
      </c>
      <c r="K82">
        <v>159.19999999999999</v>
      </c>
      <c r="L82">
        <v>111.7</v>
      </c>
      <c r="M82">
        <v>164</v>
      </c>
      <c r="N82">
        <v>160.6</v>
      </c>
      <c r="O82">
        <v>166.4</v>
      </c>
      <c r="P82">
        <v>154.5</v>
      </c>
      <c r="Q82">
        <v>186.1</v>
      </c>
      <c r="R82">
        <v>159.6</v>
      </c>
      <c r="S82">
        <v>154.4</v>
      </c>
      <c r="T82">
        <v>158.9</v>
      </c>
      <c r="U82">
        <v>140.85</v>
      </c>
      <c r="V82">
        <v>156</v>
      </c>
      <c r="W82">
        <v>154.80000000000001</v>
      </c>
      <c r="X82">
        <v>164.6</v>
      </c>
      <c r="Y82">
        <v>151.30000000000001</v>
      </c>
      <c r="Z82">
        <v>157.80000000000001</v>
      </c>
      <c r="AA82">
        <v>163.80000000000001</v>
      </c>
      <c r="AB82">
        <v>153.1</v>
      </c>
      <c r="AC82">
        <v>157.30000000000001</v>
      </c>
      <c r="AD82" s="1">
        <v>156.69999999999999</v>
      </c>
      <c r="AE82" s="1">
        <v>157.98571428571429</v>
      </c>
      <c r="AF82" s="1">
        <v>157.63333333333333</v>
      </c>
      <c r="AG82" s="1">
        <v>147.82499999999999</v>
      </c>
      <c r="AH82" s="2">
        <f>All_India_Index_Upto_April23__1[[#This Row],[House]]/All_India_Index_Upto_April23__1[[#This Row],[TOTAL BROADER CATEGORIES]]</f>
        <v>9.4315603663765429E-2</v>
      </c>
      <c r="AI82" s="2">
        <f>All_India_Index_Upto_April23__1[[#This Row],[Cloth]]/All_India_Index_Upto_April23__1[[#This Row],[TOTAL BROADER CATEGORIES]]</f>
        <v>0.10057353621420526</v>
      </c>
      <c r="AJ82" s="2">
        <f>All_India_Index_Upto_April23__1[[#This Row],[Food]]/All_India_Index_Upto_April23__1[[#This Row],[TOTAL BROADER CATEGORIES]]</f>
        <v>0.10079836301781374</v>
      </c>
      <c r="AK82" s="2">
        <f>All_India_Index_Upto_April23__1[[#This Row],[Miscellaneous]]/All_India_Index_Upto_April23__1[[#This Row],[TOTAL BROADER CATEGORIES]]</f>
        <v>0.10036086221079185</v>
      </c>
      <c r="AL82" s="2">
        <f>All_India_Index_Upto_April23__1[[#This Row],[Personal care and effects]]/All_India_Index_Upto_April23__1[[#This Row],[TOTAL BROADER CATEGORIES]]</f>
        <v>9.7681169767782766E-2</v>
      </c>
      <c r="AM82" s="2">
        <f>All_India_Index_Upto_April23__1[[#This Row],[Education]]/All_India_Index_Upto_April23__1[[#This Row],[TOTAL BROADER CATEGORIES]]</f>
        <v>0.10450800527735349</v>
      </c>
      <c r="AN82" s="2">
        <f>All_India_Index_Upto_April23__1[[#This Row],[Recreation and amusement]]/All_India_Index_Upto_April23__1[[#This Row],[TOTAL BROADER CATEGORIES]]</f>
        <v>0.10067987321591197</v>
      </c>
      <c r="AO82" s="2">
        <f>All_India_Index_Upto_April23__1[[#This Row],[Transport and communication]]/All_India_Index_Upto_April23__1[[#This Row],[TOTAL BROADER CATEGORIES]]</f>
        <v>9.6532730149350321E-2</v>
      </c>
      <c r="AP82" s="2">
        <f>All_India_Index_Upto_April23__1[[#This Row],[Health]]/All_India_Index_Upto_April23__1[[#This Row],[TOTAL BROADER CATEGORIES]]</f>
        <v>0.10501842288554568</v>
      </c>
      <c r="AQ82" s="2">
        <f>All_India_Index_Upto_April23__1[[#This Row],[Fuel and light]]/All_India_Index_Upto_April23__1[[#This Row],[TOTAL BROADER CATEGORIES]]</f>
        <v>9.9531433597479513E-2</v>
      </c>
      <c r="AR82">
        <f>MONTH(1 &amp; All_India_Index_Upto_April23__1[[#This Row],[Month]])</f>
        <v>3</v>
      </c>
      <c r="AS82" s="19" t="str">
        <f>All_India_Index_Upto_April23__1[[#This Row],[MONTH IN NUM]]&amp;"/"&amp;All_India_Index_Upto_April23__1[[#This Row],[Year]]</f>
        <v>3/2021</v>
      </c>
      <c r="AT8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155.47857142857143</v>
      </c>
      <c r="AU8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1567.3440476190476</v>
      </c>
    </row>
    <row r="83" spans="1:47" x14ac:dyDescent="0.3">
      <c r="A83" t="s">
        <v>30</v>
      </c>
      <c r="B83">
        <v>2021</v>
      </c>
      <c r="C83" t="s">
        <v>34</v>
      </c>
      <c r="D83">
        <v>142.80000000000001</v>
      </c>
      <c r="E83">
        <v>184</v>
      </c>
      <c r="F83">
        <v>168</v>
      </c>
      <c r="G83">
        <v>154.4</v>
      </c>
      <c r="H83">
        <v>163</v>
      </c>
      <c r="I83">
        <v>147.80000000000001</v>
      </c>
      <c r="J83">
        <v>149.69999999999999</v>
      </c>
      <c r="K83">
        <v>158.30000000000001</v>
      </c>
      <c r="L83">
        <v>111.8</v>
      </c>
      <c r="M83">
        <v>165</v>
      </c>
      <c r="N83">
        <v>160</v>
      </c>
      <c r="O83">
        <v>165.8</v>
      </c>
      <c r="P83">
        <v>154.69999999999999</v>
      </c>
      <c r="Q83">
        <v>186.5</v>
      </c>
      <c r="R83">
        <v>159.1</v>
      </c>
      <c r="S83">
        <v>153.9</v>
      </c>
      <c r="T83">
        <v>158.4</v>
      </c>
      <c r="U83">
        <v>140.85</v>
      </c>
      <c r="V83">
        <v>154.4</v>
      </c>
      <c r="W83">
        <v>154.80000000000001</v>
      </c>
      <c r="X83">
        <v>164.3</v>
      </c>
      <c r="Y83">
        <v>150.19999999999999</v>
      </c>
      <c r="Z83">
        <v>157</v>
      </c>
      <c r="AA83">
        <v>163.6</v>
      </c>
      <c r="AB83">
        <v>155.19999999999999</v>
      </c>
      <c r="AC83">
        <v>157.19999999999999</v>
      </c>
      <c r="AD83" s="1">
        <v>156.69999999999999</v>
      </c>
      <c r="AE83" s="1">
        <v>157.98571428571429</v>
      </c>
      <c r="AF83" s="1">
        <v>157.13333333333333</v>
      </c>
      <c r="AG83" s="1">
        <v>147.82499999999999</v>
      </c>
      <c r="AH83" s="2">
        <f>All_India_Index_Upto_April23__1[[#This Row],[House]]/All_India_Index_Upto_April23__1[[#This Row],[TOTAL BROADER CATEGORIES]]</f>
        <v>9.4466282582548536E-2</v>
      </c>
      <c r="AI83" s="2">
        <f>All_India_Index_Upto_April23__1[[#This Row],[Cloth]]/All_India_Index_Upto_April23__1[[#This Row],[TOTAL BROADER CATEGORIES]]</f>
        <v>0.10041469216847258</v>
      </c>
      <c r="AJ83" s="2">
        <f>All_India_Index_Upto_April23__1[[#This Row],[Food]]/All_India_Index_Upto_April23__1[[#This Row],[TOTAL BROADER CATEGORIES]]</f>
        <v>0.10095939881427406</v>
      </c>
      <c r="AK83" s="2">
        <f>All_India_Index_Upto_April23__1[[#This Row],[Miscellaneous]]/All_India_Index_Upto_April23__1[[#This Row],[TOTAL BROADER CATEGORIES]]</f>
        <v>0.10045729492289281</v>
      </c>
      <c r="AL83" s="2">
        <f>All_India_Index_Upto_April23__1[[#This Row],[Personal care and effects]]/All_India_Index_Upto_April23__1[[#This Row],[TOTAL BROADER CATEGORIES]]</f>
        <v>9.9179212290286034E-2</v>
      </c>
      <c r="AM83" s="2">
        <f>All_India_Index_Upto_April23__1[[#This Row],[Education]]/All_India_Index_Upto_April23__1[[#This Row],[TOTAL BROADER CATEGORIES]]</f>
        <v>0.10454715934723451</v>
      </c>
      <c r="AN83" s="2">
        <f>All_India_Index_Upto_April23__1[[#This Row],[Recreation and amusement]]/All_India_Index_Upto_April23__1[[#This Row],[TOTAL BROADER CATEGORIES]]</f>
        <v>0.10032948665963214</v>
      </c>
      <c r="AO83" s="2">
        <f>All_India_Index_Upto_April23__1[[#This Row],[Transport and communication]]/All_India_Index_Upto_April23__1[[#This Row],[TOTAL BROADER CATEGORIES]]</f>
        <v>9.5984005708769082E-2</v>
      </c>
      <c r="AP83" s="2">
        <f>All_India_Index_Upto_April23__1[[#This Row],[Health]]/All_India_Index_Upto_April23__1[[#This Row],[TOTAL BROADER CATEGORIES]]</f>
        <v>0.10499448826864689</v>
      </c>
      <c r="AQ83" s="2">
        <f>All_India_Index_Upto_April23__1[[#This Row],[Fuel and light]]/All_India_Index_Upto_April23__1[[#This Row],[TOTAL BROADER CATEGORIES]]</f>
        <v>9.8667979237243325E-2</v>
      </c>
      <c r="AR83">
        <f>MONTH(1 &amp; All_India_Index_Upto_April23__1[[#This Row],[Month]])</f>
        <v>2</v>
      </c>
      <c r="AS83" s="19" t="str">
        <f>All_India_Index_Upto_April23__1[[#This Row],[MONTH IN NUM]]&amp;"/"&amp;All_India_Index_Upto_April23__1[[#This Row],[Year]]</f>
        <v>2/2021</v>
      </c>
      <c r="AT8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155.00714285714284</v>
      </c>
      <c r="AU8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1564.8440476190476</v>
      </c>
    </row>
    <row r="84" spans="1:47" x14ac:dyDescent="0.3">
      <c r="A84" t="s">
        <v>32</v>
      </c>
      <c r="B84">
        <v>2021</v>
      </c>
      <c r="C84" t="s">
        <v>34</v>
      </c>
      <c r="D84">
        <v>147.6</v>
      </c>
      <c r="E84">
        <v>191.2</v>
      </c>
      <c r="F84">
        <v>169.9</v>
      </c>
      <c r="G84">
        <v>155.1</v>
      </c>
      <c r="H84">
        <v>151.4</v>
      </c>
      <c r="I84">
        <v>154</v>
      </c>
      <c r="J84">
        <v>180.2</v>
      </c>
      <c r="K84">
        <v>159.80000000000001</v>
      </c>
      <c r="L84">
        <v>114.9</v>
      </c>
      <c r="M84">
        <v>162.5</v>
      </c>
      <c r="N84">
        <v>149.19999999999999</v>
      </c>
      <c r="O84">
        <v>169.4</v>
      </c>
      <c r="P84">
        <v>160.80000000000001</v>
      </c>
      <c r="Q84">
        <v>193.3</v>
      </c>
      <c r="R84">
        <v>154.19999999999999</v>
      </c>
      <c r="S84">
        <v>138.19999999999999</v>
      </c>
      <c r="T84">
        <v>151.80000000000001</v>
      </c>
      <c r="U84">
        <v>159.80000000000001</v>
      </c>
      <c r="V84">
        <v>149.1</v>
      </c>
      <c r="W84">
        <v>146.5</v>
      </c>
      <c r="X84">
        <v>156.30000000000001</v>
      </c>
      <c r="Y84">
        <v>140.5</v>
      </c>
      <c r="Z84">
        <v>147.30000000000001</v>
      </c>
      <c r="AA84">
        <v>156.6</v>
      </c>
      <c r="AB84">
        <v>156.69999999999999</v>
      </c>
      <c r="AC84">
        <v>149.30000000000001</v>
      </c>
      <c r="AD84" s="1">
        <v>156.5</v>
      </c>
      <c r="AE84" s="1">
        <v>161.37857142857143</v>
      </c>
      <c r="AF84" s="1">
        <v>148.06666666666666</v>
      </c>
      <c r="AG84" s="1">
        <v>153.15</v>
      </c>
      <c r="AH84" s="2">
        <f>All_India_Index_Upto_April23__1[[#This Row],[House]]/All_India_Index_Upto_April23__1[[#This Row],[TOTAL BROADER CATEGORIES]]</f>
        <v>0.10086306658345434</v>
      </c>
      <c r="AI84" s="2">
        <f>All_India_Index_Upto_April23__1[[#This Row],[Cloth]]/All_India_Index_Upto_April23__1[[#This Row],[TOTAL BROADER CATEGORIES]]</f>
        <v>9.7515233815149455E-2</v>
      </c>
      <c r="AJ84" s="2">
        <f>All_India_Index_Upto_April23__1[[#This Row],[Food]]/All_India_Index_Upto_April23__1[[#This Row],[TOTAL BROADER CATEGORIES]]</f>
        <v>0.10628232187491181</v>
      </c>
      <c r="AK84" s="2">
        <f>All_India_Index_Upto_April23__1[[#This Row],[Miscellaneous]]/All_India_Index_Upto_April23__1[[#This Row],[TOTAL BROADER CATEGORIES]]</f>
        <v>9.8327494880246391E-2</v>
      </c>
      <c r="AL84" s="2">
        <f>All_India_Index_Upto_April23__1[[#This Row],[Personal care and effects]]/All_India_Index_Upto_April23__1[[#This Row],[TOTAL BROADER CATEGORIES]]</f>
        <v>0.10320106127082791</v>
      </c>
      <c r="AM84" s="2">
        <f>All_India_Index_Upto_April23__1[[#This Row],[Education]]/All_India_Index_Upto_April23__1[[#This Row],[TOTAL BROADER CATEGORIES]]</f>
        <v>0.10313520226554979</v>
      </c>
      <c r="AN84" s="2">
        <f>All_India_Index_Upto_April23__1[[#This Row],[Recreation and amusement]]/All_India_Index_Upto_April23__1[[#This Row],[TOTAL BROADER CATEGORIES]]</f>
        <v>9.7010314774683803E-2</v>
      </c>
      <c r="AO84" s="2">
        <f>All_India_Index_Upto_April23__1[[#This Row],[Transport and communication]]/All_India_Index_Upto_April23__1[[#This Row],[TOTAL BROADER CATEGORIES]]</f>
        <v>9.2531902415771042E-2</v>
      </c>
      <c r="AP84" s="2">
        <f>All_India_Index_Upto_April23__1[[#This Row],[Health]]/All_India_Index_Upto_April23__1[[#This Row],[TOTAL BROADER CATEGORIES]]</f>
        <v>0.10293762524971541</v>
      </c>
      <c r="AQ84" s="2">
        <f>All_India_Index_Upto_April23__1[[#This Row],[Fuel and light]]/All_India_Index_Upto_April23__1[[#This Row],[TOTAL BROADER CATEGORIES]]</f>
        <v>9.8195776869690124E-2</v>
      </c>
      <c r="AR84">
        <f>MONTH(1 &amp; All_India_Index_Upto_April23__1[[#This Row],[Month]])</f>
        <v>2</v>
      </c>
      <c r="AS84" s="19" t="str">
        <f>All_India_Index_Upto_April23__1[[#This Row],[MONTH IN NUM]]&amp;"/"&amp;All_India_Index_Upto_April23__1[[#This Row],[Year]]</f>
        <v>2/2021</v>
      </c>
      <c r="AT8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150.8857142857143</v>
      </c>
      <c r="AU8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1518.395238095238</v>
      </c>
    </row>
    <row r="85" spans="1:47" x14ac:dyDescent="0.3">
      <c r="A85" t="s">
        <v>33</v>
      </c>
      <c r="B85">
        <v>2021</v>
      </c>
      <c r="C85" t="s">
        <v>34</v>
      </c>
      <c r="D85">
        <v>144.30000000000001</v>
      </c>
      <c r="E85">
        <v>186.5</v>
      </c>
      <c r="F85">
        <v>168.7</v>
      </c>
      <c r="G85">
        <v>154.69999999999999</v>
      </c>
      <c r="H85">
        <v>158.69999999999999</v>
      </c>
      <c r="I85">
        <v>150.69999999999999</v>
      </c>
      <c r="J85">
        <v>160</v>
      </c>
      <c r="K85">
        <v>158.80000000000001</v>
      </c>
      <c r="L85">
        <v>112.8</v>
      </c>
      <c r="M85">
        <v>164.2</v>
      </c>
      <c r="N85">
        <v>155.5</v>
      </c>
      <c r="O85">
        <v>167.5</v>
      </c>
      <c r="P85">
        <v>156.9</v>
      </c>
      <c r="Q85">
        <v>188.3</v>
      </c>
      <c r="R85">
        <v>157.19999999999999</v>
      </c>
      <c r="S85">
        <v>147.4</v>
      </c>
      <c r="T85">
        <v>155.80000000000001</v>
      </c>
      <c r="U85">
        <v>159.80000000000001</v>
      </c>
      <c r="V85">
        <v>152.4</v>
      </c>
      <c r="W85">
        <v>150.9</v>
      </c>
      <c r="X85">
        <v>161.30000000000001</v>
      </c>
      <c r="Y85">
        <v>145.1</v>
      </c>
      <c r="Z85">
        <v>151.5</v>
      </c>
      <c r="AA85">
        <v>159.5</v>
      </c>
      <c r="AB85">
        <v>155.80000000000001</v>
      </c>
      <c r="AC85">
        <v>153.4</v>
      </c>
      <c r="AD85" s="1">
        <v>156.6</v>
      </c>
      <c r="AE85" s="1">
        <v>159.11428571428573</v>
      </c>
      <c r="AF85" s="1">
        <v>153.46666666666667</v>
      </c>
      <c r="AG85" s="1">
        <v>155.35000000000002</v>
      </c>
      <c r="AH85" s="2">
        <f>All_India_Index_Upto_April23__1[[#This Row],[House]]/All_India_Index_Upto_April23__1[[#This Row],[TOTAL BROADER CATEGORIES]]</f>
        <v>0.10042465034453781</v>
      </c>
      <c r="AI85" s="2">
        <f>All_India_Index_Upto_April23__1[[#This Row],[Cloth]]/All_India_Index_Upto_April23__1[[#This Row],[TOTAL BROADER CATEGORIES]]</f>
        <v>9.9207185964221012E-2</v>
      </c>
      <c r="AJ85" s="2">
        <f>All_India_Index_Upto_April23__1[[#This Row],[Food]]/All_India_Index_Upto_April23__1[[#This Row],[TOTAL BROADER CATEGORIES]]</f>
        <v>0.10285803995930498</v>
      </c>
      <c r="AK85" s="2">
        <f>All_India_Index_Upto_April23__1[[#This Row],[Miscellaneous]]/All_India_Index_Upto_April23__1[[#This Row],[TOTAL BROADER CATEGORIES]]</f>
        <v>9.9164089879962017E-2</v>
      </c>
      <c r="AL85" s="2">
        <f>All_India_Index_Upto_April23__1[[#This Row],[Personal care and effects]]/All_India_Index_Upto_April23__1[[#This Row],[TOTAL BROADER CATEGORIES]]</f>
        <v>0.10071554891328606</v>
      </c>
      <c r="AM85" s="2">
        <f>All_India_Index_Upto_April23__1[[#This Row],[Education]]/All_India_Index_Upto_April23__1[[#This Row],[TOTAL BROADER CATEGORIES]]</f>
        <v>0.10310738158966062</v>
      </c>
      <c r="AN85" s="2">
        <f>All_India_Index_Upto_April23__1[[#This Row],[Recreation and amusement]]/All_India_Index_Upto_April23__1[[#This Row],[TOTAL BROADER CATEGORIES]]</f>
        <v>9.7935851478580471E-2</v>
      </c>
      <c r="AO85" s="2">
        <f>All_India_Index_Upto_April23__1[[#This Row],[Transport and communication]]/All_India_Index_Upto_April23__1[[#This Row],[TOTAL BROADER CATEGORIES]]</f>
        <v>9.3798627389716338E-2</v>
      </c>
      <c r="AP85" s="2">
        <f>All_India_Index_Upto_April23__1[[#This Row],[Health]]/All_India_Index_Upto_April23__1[[#This Row],[TOTAL BROADER CATEGORIES]]</f>
        <v>0.10427097586465367</v>
      </c>
      <c r="AQ85" s="2">
        <f>All_India_Index_Upto_April23__1[[#This Row],[Fuel and light]]/All_India_Index_Upto_April23__1[[#This Row],[TOTAL BROADER CATEGORIES]]</f>
        <v>9.8517648616076994E-2</v>
      </c>
      <c r="AR85">
        <f>MONTH(1 &amp; All_India_Index_Upto_April23__1[[#This Row],[Month]])</f>
        <v>2</v>
      </c>
      <c r="AS85" s="19" t="str">
        <f>All_India_Index_Upto_April23__1[[#This Row],[MONTH IN NUM]]&amp;"/"&amp;All_India_Index_Upto_April23__1[[#This Row],[Year]]</f>
        <v>2/2021</v>
      </c>
      <c r="AT8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154.71428571428569</v>
      </c>
      <c r="AU8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1546.9309523809525</v>
      </c>
    </row>
    <row r="86" spans="1:47" x14ac:dyDescent="0.3">
      <c r="A86" t="s">
        <v>33</v>
      </c>
      <c r="B86">
        <v>2021</v>
      </c>
      <c r="C86" t="s">
        <v>31</v>
      </c>
      <c r="D86">
        <v>144.9</v>
      </c>
      <c r="E86">
        <v>190.1</v>
      </c>
      <c r="F86">
        <v>175.3</v>
      </c>
      <c r="G86">
        <v>154.1</v>
      </c>
      <c r="H86">
        <v>150.9</v>
      </c>
      <c r="I86">
        <v>149.6</v>
      </c>
      <c r="J86">
        <v>194.2</v>
      </c>
      <c r="K86">
        <v>160.4</v>
      </c>
      <c r="L86">
        <v>114.6</v>
      </c>
      <c r="M86">
        <v>164</v>
      </c>
      <c r="N86">
        <v>151.80000000000001</v>
      </c>
      <c r="O86">
        <v>165.6</v>
      </c>
      <c r="P86">
        <v>161</v>
      </c>
      <c r="Q86">
        <v>186.5</v>
      </c>
      <c r="R86">
        <v>155.5</v>
      </c>
      <c r="S86">
        <v>146.1</v>
      </c>
      <c r="T86">
        <v>154.19999999999999</v>
      </c>
      <c r="U86">
        <v>157.69999999999999</v>
      </c>
      <c r="V86">
        <v>147.9</v>
      </c>
      <c r="W86">
        <v>150</v>
      </c>
      <c r="X86">
        <v>159.30000000000001</v>
      </c>
      <c r="Y86">
        <v>141.9</v>
      </c>
      <c r="Z86">
        <v>149.6</v>
      </c>
      <c r="AA86">
        <v>159.19999999999999</v>
      </c>
      <c r="AB86">
        <v>156.80000000000001</v>
      </c>
      <c r="AC86">
        <v>151.9</v>
      </c>
      <c r="AD86" s="1">
        <v>157.30000000000001</v>
      </c>
      <c r="AE86" s="1">
        <v>161.64285714285714</v>
      </c>
      <c r="AF86" s="1">
        <v>151.93333333333334</v>
      </c>
      <c r="AG86" s="1">
        <v>153.85</v>
      </c>
      <c r="AH86" s="2">
        <f>All_India_Index_Upto_April23__1[[#This Row],[House]]/All_India_Index_Upto_April23__1[[#This Row],[TOTAL BROADER CATEGORIES]]</f>
        <v>0.10029163840562726</v>
      </c>
      <c r="AI86" s="2">
        <f>All_India_Index_Upto_April23__1[[#This Row],[Cloth]]/All_India_Index_Upto_April23__1[[#This Row],[TOTAL BROADER CATEGORIES]]</f>
        <v>9.9042202979709476E-2</v>
      </c>
      <c r="AJ86" s="2">
        <f>All_India_Index_Upto_April23__1[[#This Row],[Food]]/All_India_Index_Upto_April23__1[[#This Row],[TOTAL BROADER CATEGORIES]]</f>
        <v>0.10537164107522842</v>
      </c>
      <c r="AK86" s="2">
        <f>All_India_Index_Upto_April23__1[[#This Row],[Miscellaneous]]/All_India_Index_Upto_April23__1[[#This Row],[TOTAL BROADER CATEGORIES]]</f>
        <v>9.9020473667954384E-2</v>
      </c>
      <c r="AL86" s="2">
        <f>All_India_Index_Upto_April23__1[[#This Row],[Personal care and effects]]/All_India_Index_Upto_April23__1[[#This Row],[TOTAL BROADER CATEGORIES]]</f>
        <v>0.10221468249595292</v>
      </c>
      <c r="AM86" s="2">
        <f>All_India_Index_Upto_April23__1[[#This Row],[Education]]/All_India_Index_Upto_April23__1[[#This Row],[TOTAL BROADER CATEGORIES]]</f>
        <v>0.10377919294231953</v>
      </c>
      <c r="AN86" s="2">
        <f>All_India_Index_Upto_April23__1[[#This Row],[Recreation and amusement]]/All_India_Index_Upto_April23__1[[#This Row],[TOTAL BROADER CATEGORIES]]</f>
        <v>9.7521151156853031E-2</v>
      </c>
      <c r="AO86" s="2">
        <f>All_India_Index_Upto_April23__1[[#This Row],[Transport and communication]]/All_India_Index_Upto_April23__1[[#This Row],[TOTAL BROADER CATEGORIES]]</f>
        <v>9.2501680141426776E-2</v>
      </c>
      <c r="AP86" s="2">
        <f>All_India_Index_Upto_April23__1[[#This Row],[Health]]/All_India_Index_Upto_April23__1[[#This Row],[TOTAL BROADER CATEGORIES]]</f>
        <v>0.10384438087758482</v>
      </c>
      <c r="AQ86" s="2">
        <f>All_India_Index_Upto_April23__1[[#This Row],[Fuel and light]]/All_India_Index_Upto_April23__1[[#This Row],[TOTAL BROADER CATEGORIES]]</f>
        <v>9.6412956257343349E-2</v>
      </c>
      <c r="AR86">
        <f>MONTH(1 &amp; All_India_Index_Upto_April23__1[[#This Row],[Month]])</f>
        <v>1</v>
      </c>
      <c r="AS86" s="19" t="str">
        <f>All_India_Index_Upto_April23__1[[#This Row],[MONTH IN NUM]]&amp;"/"&amp;All_India_Index_Upto_April23__1[[#This Row],[Year]]</f>
        <v>1/2021</v>
      </c>
      <c r="AT8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152.94285714285712</v>
      </c>
      <c r="AU8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1534.0261904761905</v>
      </c>
    </row>
    <row r="87" spans="1:47" x14ac:dyDescent="0.3">
      <c r="A87" t="s">
        <v>30</v>
      </c>
      <c r="B87">
        <v>2021</v>
      </c>
      <c r="C87" t="s">
        <v>31</v>
      </c>
      <c r="D87">
        <v>143.4</v>
      </c>
      <c r="E87">
        <v>187.5</v>
      </c>
      <c r="F87">
        <v>173.4</v>
      </c>
      <c r="G87">
        <v>154</v>
      </c>
      <c r="H87">
        <v>154.80000000000001</v>
      </c>
      <c r="I87">
        <v>147</v>
      </c>
      <c r="J87">
        <v>187.8</v>
      </c>
      <c r="K87">
        <v>159.5</v>
      </c>
      <c r="L87">
        <v>113.8</v>
      </c>
      <c r="M87">
        <v>164.5</v>
      </c>
      <c r="N87">
        <v>156.1</v>
      </c>
      <c r="O87">
        <v>164.3</v>
      </c>
      <c r="P87">
        <v>159.6</v>
      </c>
      <c r="Q87">
        <v>184.6</v>
      </c>
      <c r="R87">
        <v>157.5</v>
      </c>
      <c r="S87">
        <v>152.4</v>
      </c>
      <c r="T87">
        <v>156.80000000000001</v>
      </c>
      <c r="U87">
        <v>140.85</v>
      </c>
      <c r="V87">
        <v>150.9</v>
      </c>
      <c r="W87">
        <v>153.9</v>
      </c>
      <c r="X87">
        <v>162.5</v>
      </c>
      <c r="Y87">
        <v>147.5</v>
      </c>
      <c r="Z87">
        <v>155.1</v>
      </c>
      <c r="AA87">
        <v>163.5</v>
      </c>
      <c r="AB87">
        <v>156.19999999999999</v>
      </c>
      <c r="AC87">
        <v>155.9</v>
      </c>
      <c r="AD87" s="1">
        <v>158.5</v>
      </c>
      <c r="AE87" s="1">
        <v>160.73571428571427</v>
      </c>
      <c r="AF87" s="1">
        <v>155.56666666666666</v>
      </c>
      <c r="AG87" s="1">
        <v>147.375</v>
      </c>
      <c r="AH87" s="2">
        <f>All_India_Index_Upto_April23__1[[#This Row],[House]]/All_India_Index_Upto_April23__1[[#This Row],[TOTAL BROADER CATEGORIES]]</f>
        <v>9.4758016675941276E-2</v>
      </c>
      <c r="AI87" s="2">
        <f>All_India_Index_Upto_April23__1[[#This Row],[Cloth]]/All_India_Index_Upto_April23__1[[#This Row],[TOTAL BROADER CATEGORIES]]</f>
        <v>0.10002502998622967</v>
      </c>
      <c r="AJ87" s="2">
        <f>All_India_Index_Upto_April23__1[[#This Row],[Food]]/All_India_Index_Upto_April23__1[[#This Row],[TOTAL BROADER CATEGORIES]]</f>
        <v>0.10334858350944899</v>
      </c>
      <c r="AK87" s="2">
        <f>All_India_Index_Upto_April23__1[[#This Row],[Miscellaneous]]/All_India_Index_Upto_April23__1[[#This Row],[TOTAL BROADER CATEGORIES]]</f>
        <v>0.10023935402734009</v>
      </c>
      <c r="AL87" s="2">
        <f>All_India_Index_Upto_April23__1[[#This Row],[Personal care and effects]]/All_India_Index_Upto_April23__1[[#This Row],[TOTAL BROADER CATEGORIES]]</f>
        <v>0.10043224566433945</v>
      </c>
      <c r="AM87" s="2">
        <f>All_India_Index_Upto_April23__1[[#This Row],[Education]]/All_India_Index_Upto_April23__1[[#This Row],[TOTAL BROADER CATEGORIES]]</f>
        <v>0.1051259421646575</v>
      </c>
      <c r="AN87" s="2">
        <f>All_India_Index_Upto_April23__1[[#This Row],[Recreation and amusement]]/All_India_Index_Upto_April23__1[[#This Row],[TOTAL BROADER CATEGORIES]]</f>
        <v>9.9724976328675094E-2</v>
      </c>
      <c r="AO87" s="2">
        <f>All_India_Index_Upto_April23__1[[#This Row],[Transport and communication]]/All_India_Index_Upto_April23__1[[#This Row],[TOTAL BROADER CATEGORIES]]</f>
        <v>9.4838388191357689E-2</v>
      </c>
      <c r="AP87" s="2">
        <f>All_India_Index_Upto_April23__1[[#This Row],[Health]]/All_India_Index_Upto_April23__1[[#This Row],[TOTAL BROADER CATEGORIES]]</f>
        <v>0.10448297004132627</v>
      </c>
      <c r="AQ87" s="2">
        <f>All_India_Index_Upto_April23__1[[#This Row],[Fuel and light]]/All_India_Index_Upto_April23__1[[#This Row],[TOTAL BROADER CATEGORIES]]</f>
        <v>9.7024493410683907E-2</v>
      </c>
      <c r="AR87">
        <f>MONTH(1 &amp; All_India_Index_Upto_April23__1[[#This Row],[Month]])</f>
        <v>1</v>
      </c>
      <c r="AS87" s="19" t="str">
        <f>All_India_Index_Upto_April23__1[[#This Row],[MONTH IN NUM]]&amp;"/"&amp;All_India_Index_Upto_April23__1[[#This Row],[Year]]</f>
        <v>1/2021</v>
      </c>
      <c r="AT8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153.69285714285712</v>
      </c>
      <c r="AU8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1555.277380952381</v>
      </c>
    </row>
    <row r="88" spans="1:47" x14ac:dyDescent="0.3">
      <c r="A88" t="s">
        <v>32</v>
      </c>
      <c r="B88">
        <v>2021</v>
      </c>
      <c r="C88" t="s">
        <v>31</v>
      </c>
      <c r="D88">
        <v>148</v>
      </c>
      <c r="E88">
        <v>194.8</v>
      </c>
      <c r="F88">
        <v>178.4</v>
      </c>
      <c r="G88">
        <v>154.4</v>
      </c>
      <c r="H88">
        <v>144.1</v>
      </c>
      <c r="I88">
        <v>152.6</v>
      </c>
      <c r="J88">
        <v>206.8</v>
      </c>
      <c r="K88">
        <v>162.1</v>
      </c>
      <c r="L88">
        <v>116.3</v>
      </c>
      <c r="M88">
        <v>163</v>
      </c>
      <c r="N88">
        <v>145.9</v>
      </c>
      <c r="O88">
        <v>167.2</v>
      </c>
      <c r="P88">
        <v>163.4</v>
      </c>
      <c r="Q88">
        <v>191.8</v>
      </c>
      <c r="R88">
        <v>152.5</v>
      </c>
      <c r="S88">
        <v>137.30000000000001</v>
      </c>
      <c r="T88">
        <v>150.19999999999999</v>
      </c>
      <c r="U88">
        <v>157.69999999999999</v>
      </c>
      <c r="V88">
        <v>142.9</v>
      </c>
      <c r="W88">
        <v>145.69999999999999</v>
      </c>
      <c r="X88">
        <v>154.1</v>
      </c>
      <c r="Y88">
        <v>136.9</v>
      </c>
      <c r="Z88">
        <v>145.4</v>
      </c>
      <c r="AA88">
        <v>156.1</v>
      </c>
      <c r="AB88">
        <v>157.69999999999999</v>
      </c>
      <c r="AC88">
        <v>147.6</v>
      </c>
      <c r="AD88" s="1">
        <v>156</v>
      </c>
      <c r="AE88" s="1">
        <v>163.48571428571429</v>
      </c>
      <c r="AF88" s="1">
        <v>146.66666666666666</v>
      </c>
      <c r="AG88" s="1">
        <v>151.69999999999999</v>
      </c>
      <c r="AH88" s="2">
        <f>All_India_Index_Upto_April23__1[[#This Row],[House]]/All_India_Index_Upto_April23__1[[#This Row],[TOTAL BROADER CATEGORIES]]</f>
        <v>0.10096153846153845</v>
      </c>
      <c r="AI88" s="2">
        <f>All_India_Index_Upto_April23__1[[#This Row],[Cloth]]/All_India_Index_Upto_April23__1[[#This Row],[TOTAL BROADER CATEGORIES]]</f>
        <v>9.7611682977536626E-2</v>
      </c>
      <c r="AJ88" s="2">
        <f>All_India_Index_Upto_April23__1[[#This Row],[Food]]/All_India_Index_Upto_April23__1[[#This Row],[TOTAL BROADER CATEGORIES]]</f>
        <v>0.10880533441509051</v>
      </c>
      <c r="AK88" s="2">
        <f>All_India_Index_Upto_April23__1[[#This Row],[Miscellaneous]]/All_India_Index_Upto_April23__1[[#This Row],[TOTAL BROADER CATEGORIES]]</f>
        <v>9.8232848232848224E-2</v>
      </c>
      <c r="AL88" s="2">
        <f>All_India_Index_Upto_April23__1[[#This Row],[Personal care and effects]]/All_India_Index_Upto_April23__1[[#This Row],[TOTAL BROADER CATEGORIES]]</f>
        <v>0.10495474367425585</v>
      </c>
      <c r="AM88" s="2">
        <f>All_India_Index_Upto_April23__1[[#This Row],[Education]]/All_India_Index_Upto_April23__1[[#This Row],[TOTAL BROADER CATEGORIES]]</f>
        <v>0.10388988895086455</v>
      </c>
      <c r="AN88" s="2">
        <f>All_India_Index_Upto_April23__1[[#This Row],[Recreation and amusement]]/All_India_Index_Upto_April23__1[[#This Row],[TOTAL BROADER CATEGORIES]]</f>
        <v>9.6768672988185173E-2</v>
      </c>
      <c r="AO88" s="2">
        <f>All_India_Index_Upto_April23__1[[#This Row],[Transport and communication]]/All_India_Index_Upto_April23__1[[#This Row],[TOTAL BROADER CATEGORIES]]</f>
        <v>9.1111632270168844E-2</v>
      </c>
      <c r="AP88" s="2">
        <f>All_India_Index_Upto_April23__1[[#This Row],[Health]]/All_India_Index_Upto_April23__1[[#This Row],[TOTAL BROADER CATEGORIES]]</f>
        <v>0.10255882054662541</v>
      </c>
      <c r="AQ88" s="2">
        <f>All_India_Index_Upto_April23__1[[#This Row],[Fuel and light]]/All_India_Index_Upto_April23__1[[#This Row],[TOTAL BROADER CATEGORIES]]</f>
        <v>9.5104837482886256E-2</v>
      </c>
      <c r="AR88">
        <f>MONTH(1 &amp; All_India_Index_Upto_April23__1[[#This Row],[Month]])</f>
        <v>1</v>
      </c>
      <c r="AS88" s="19" t="str">
        <f>All_India_Index_Upto_April23__1[[#This Row],[MONTH IN NUM]]&amp;"/"&amp;All_India_Index_Upto_April23__1[[#This Row],[Year]]</f>
        <v>1/2021</v>
      </c>
      <c r="AT8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148.91428571428568</v>
      </c>
      <c r="AU8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1502.5523809523811</v>
      </c>
    </row>
    <row r="89" spans="1:47" x14ac:dyDescent="0.3">
      <c r="A89" t="s">
        <v>32</v>
      </c>
      <c r="B89">
        <v>2020</v>
      </c>
      <c r="C89" t="s">
        <v>44</v>
      </c>
      <c r="D89">
        <v>149</v>
      </c>
      <c r="E89">
        <v>195.7</v>
      </c>
      <c r="F89">
        <v>178.3</v>
      </c>
      <c r="G89">
        <v>154.19999999999999</v>
      </c>
      <c r="H89">
        <v>140.69999999999999</v>
      </c>
      <c r="I89">
        <v>149.69999999999999</v>
      </c>
      <c r="J89">
        <v>225.46299999999999</v>
      </c>
      <c r="K89">
        <v>161.5</v>
      </c>
      <c r="L89">
        <v>117.1</v>
      </c>
      <c r="M89">
        <v>161.9</v>
      </c>
      <c r="N89">
        <v>143.30000000000001</v>
      </c>
      <c r="O89">
        <v>166.1</v>
      </c>
      <c r="P89">
        <v>167</v>
      </c>
      <c r="Q89">
        <v>190.2</v>
      </c>
      <c r="R89">
        <v>151.9</v>
      </c>
      <c r="S89">
        <v>136.69999999999999</v>
      </c>
      <c r="T89">
        <v>149.6</v>
      </c>
      <c r="U89">
        <v>158.4</v>
      </c>
      <c r="V89">
        <v>137.9</v>
      </c>
      <c r="W89">
        <v>145.5</v>
      </c>
      <c r="X89">
        <v>152.9</v>
      </c>
      <c r="Y89">
        <v>135.5</v>
      </c>
      <c r="Z89">
        <v>144.30000000000001</v>
      </c>
      <c r="AA89">
        <v>156.9</v>
      </c>
      <c r="AB89">
        <v>157.9</v>
      </c>
      <c r="AC89">
        <v>146.9</v>
      </c>
      <c r="AD89">
        <v>156.9</v>
      </c>
      <c r="AE89">
        <v>165.4</v>
      </c>
      <c r="AF89">
        <v>146.06666666666669</v>
      </c>
      <c r="AG89">
        <v>151.94999999999999</v>
      </c>
      <c r="AH89" s="2">
        <f>All_India_Index_Upto_April23__1[[#This Row],[House]]/All_India_Index_Upto_April23__1[[#This Row],[TOTAL BROADER CATEGORIES]]</f>
        <v>0.10159009616348906</v>
      </c>
      <c r="AI89" s="2">
        <f>All_India_Index_Upto_April23__1[[#This Row],[Cloth]]/All_India_Index_Upto_April23__1[[#This Row],[TOTAL BROADER CATEGORIES]]</f>
        <v>9.7656641743645758E-2</v>
      </c>
      <c r="AJ89" s="2">
        <f>All_India_Index_Upto_April23__1[[#This Row],[Food]]/All_India_Index_Upto_April23__1[[#This Row],[TOTAL BROADER CATEGORIES]]</f>
        <v>0.11058244097032638</v>
      </c>
      <c r="AK89" s="2">
        <f>All_India_Index_Upto_April23__1[[#This Row],[Miscellaneous]]/All_India_Index_Upto_April23__1[[#This Row],[TOTAL BROADER CATEGORIES]]</f>
        <v>9.8213788262037152E-2</v>
      </c>
      <c r="AL89" s="2">
        <f>All_India_Index_Upto_April23__1[[#This Row],[Personal care and effects]]/All_India_Index_Upto_April23__1[[#This Row],[TOTAL BROADER CATEGORIES]]</f>
        <v>0.10556812230480372</v>
      </c>
      <c r="AM89" s="2">
        <f>All_India_Index_Upto_April23__1[[#This Row],[Education]]/All_India_Index_Upto_April23__1[[#This Row],[TOTAL BROADER CATEGORIES]]</f>
        <v>0.10489954648273403</v>
      </c>
      <c r="AN89" s="2">
        <f>All_India_Index_Upto_April23__1[[#This Row],[Recreation and amusement]]/All_India_Index_Upto_April23__1[[#This Row],[TOTAL BROADER CATEGORIES]]</f>
        <v>9.6475491124655963E-2</v>
      </c>
      <c r="AO89" s="2">
        <f>All_India_Index_Upto_April23__1[[#This Row],[Transport and communication]]/All_India_Index_Upto_April23__1[[#This Row],[TOTAL BROADER CATEGORIES]]</f>
        <v>9.0592023890442713E-2</v>
      </c>
      <c r="AP89" s="2">
        <f>All_India_Index_Upto_April23__1[[#This Row],[Health]]/All_India_Index_Upto_April23__1[[#This Row],[TOTAL BROADER CATEGORIES]]</f>
        <v>0.10222524319445528</v>
      </c>
      <c r="AQ89" s="2">
        <f>All_India_Index_Upto_April23__1[[#This Row],[Fuel and light]]/All_India_Index_Upto_April23__1[[#This Row],[TOTAL BROADER CATEGORIES]]</f>
        <v>9.2196605863409956E-2</v>
      </c>
      <c r="AR89">
        <f>MONTH(1 &amp; All_India_Index_Upto_April23__1[[#This Row],[Month]])</f>
        <v>12</v>
      </c>
      <c r="AS89" s="19" t="str">
        <f>All_India_Index_Upto_April23__1[[#This Row],[MONTH IN NUM]]&amp;"/"&amp;All_India_Index_Upto_April23__1[[#This Row],[Year]]</f>
        <v>12/2020</v>
      </c>
      <c r="AT8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148.12857142857143</v>
      </c>
      <c r="AU8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1495.7166666666667</v>
      </c>
    </row>
    <row r="90" spans="1:47" x14ac:dyDescent="0.3">
      <c r="A90" t="s">
        <v>33</v>
      </c>
      <c r="B90">
        <v>2020</v>
      </c>
      <c r="C90" t="s">
        <v>44</v>
      </c>
      <c r="D90">
        <v>146</v>
      </c>
      <c r="E90">
        <v>191</v>
      </c>
      <c r="F90">
        <v>175.3</v>
      </c>
      <c r="G90">
        <v>154.1</v>
      </c>
      <c r="H90">
        <v>146.6</v>
      </c>
      <c r="I90">
        <v>147.69999999999999</v>
      </c>
      <c r="J90">
        <v>225.46299999999999</v>
      </c>
      <c r="K90">
        <v>160.19999999999999</v>
      </c>
      <c r="L90">
        <v>115.3</v>
      </c>
      <c r="M90">
        <v>163</v>
      </c>
      <c r="N90">
        <v>149.19999999999999</v>
      </c>
      <c r="O90">
        <v>164.8</v>
      </c>
      <c r="P90">
        <v>165.4</v>
      </c>
      <c r="Q90">
        <v>185.4</v>
      </c>
      <c r="R90">
        <v>155</v>
      </c>
      <c r="S90">
        <v>145.4</v>
      </c>
      <c r="T90">
        <v>153.6</v>
      </c>
      <c r="U90">
        <v>158.4</v>
      </c>
      <c r="V90">
        <v>144.6</v>
      </c>
      <c r="W90">
        <v>149.69999999999999</v>
      </c>
      <c r="X90">
        <v>158.30000000000001</v>
      </c>
      <c r="Y90">
        <v>140.69999999999999</v>
      </c>
      <c r="Z90">
        <v>148.5</v>
      </c>
      <c r="AA90">
        <v>159.4</v>
      </c>
      <c r="AB90">
        <v>157.1</v>
      </c>
      <c r="AC90">
        <v>151.19999999999999</v>
      </c>
      <c r="AD90">
        <v>158.9</v>
      </c>
      <c r="AE90">
        <v>163.89285714285714</v>
      </c>
      <c r="AF90">
        <v>151.33333333333334</v>
      </c>
      <c r="AG90">
        <v>154.05000000000001</v>
      </c>
      <c r="AH90" s="2">
        <f>All_India_Index_Upto_April23__1[[#This Row],[House]]/All_India_Index_Upto_April23__1[[#This Row],[TOTAL BROADER CATEGORIES]]</f>
        <v>0.10074710531724729</v>
      </c>
      <c r="AI90" s="2">
        <f>All_India_Index_Upto_April23__1[[#This Row],[Cloth]]/All_India_Index_Upto_April23__1[[#This Row],[TOTAL BROADER CATEGORIES]]</f>
        <v>9.8970433439425007E-2</v>
      </c>
      <c r="AJ90" s="2">
        <f>All_India_Index_Upto_April23__1[[#This Row],[Food]]/All_India_Index_Upto_April23__1[[#This Row],[TOTAL BROADER CATEGORIES]]</f>
        <v>0.10718423199815638</v>
      </c>
      <c r="AK90" s="2">
        <f>All_India_Index_Upto_April23__1[[#This Row],[Miscellaneous]]/All_India_Index_Upto_April23__1[[#This Row],[TOTAL BROADER CATEGORIES]]</f>
        <v>9.8883234819654581E-2</v>
      </c>
      <c r="AL90" s="2">
        <f>All_India_Index_Upto_April23__1[[#This Row],[Personal care and effects]]/All_India_Index_Upto_April23__1[[#This Row],[TOTAL BROADER CATEGORIES]]</f>
        <v>0.1027417737444956</v>
      </c>
      <c r="AM90" s="2">
        <f>All_India_Index_Upto_April23__1[[#This Row],[Education]]/All_India_Index_Upto_April23__1[[#This Row],[TOTAL BROADER CATEGORIES]]</f>
        <v>0.10424594993553532</v>
      </c>
      <c r="AN90" s="2">
        <f>All_India_Index_Upto_April23__1[[#This Row],[Recreation and amusement]]/All_India_Index_Upto_April23__1[[#This Row],[TOTAL BROADER CATEGORIES]]</f>
        <v>9.7117462769303609E-2</v>
      </c>
      <c r="AO90" s="2">
        <f>All_India_Index_Upto_April23__1[[#This Row],[Transport and communication]]/All_India_Index_Upto_April23__1[[#This Row],[TOTAL BROADER CATEGORIES]]</f>
        <v>9.2016343512734119E-2</v>
      </c>
      <c r="AP90" s="2">
        <f>All_India_Index_Upto_April23__1[[#This Row],[Health]]/All_India_Index_Upto_April23__1[[#This Row],[TOTAL BROADER CATEGORIES]]</f>
        <v>0.10352656132242938</v>
      </c>
      <c r="AQ90" s="2">
        <f>All_India_Index_Upto_April23__1[[#This Row],[Fuel and light]]/All_India_Index_Upto_April23__1[[#This Row],[TOTAL BROADER CATEGORIES]]</f>
        <v>9.4566903141018857E-2</v>
      </c>
      <c r="AR90">
        <f>MONTH(1 &amp; All_India_Index_Upto_April23__1[[#This Row],[Month]])</f>
        <v>12</v>
      </c>
      <c r="AS90" s="19" t="str">
        <f>All_India_Index_Upto_April23__1[[#This Row],[MONTH IN NUM]]&amp;"/"&amp;All_India_Index_Upto_April23__1[[#This Row],[Year]]</f>
        <v>12/2020</v>
      </c>
      <c r="AT9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152.29999999999998</v>
      </c>
      <c r="AU9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1529.0761904761903</v>
      </c>
    </row>
    <row r="91" spans="1:47" x14ac:dyDescent="0.3">
      <c r="A91" t="s">
        <v>30</v>
      </c>
      <c r="B91">
        <v>2020</v>
      </c>
      <c r="C91" t="s">
        <v>44</v>
      </c>
      <c r="D91">
        <v>144.6</v>
      </c>
      <c r="E91">
        <v>188.5</v>
      </c>
      <c r="F91">
        <v>173.4</v>
      </c>
      <c r="G91">
        <v>154</v>
      </c>
      <c r="H91">
        <v>150</v>
      </c>
      <c r="I91">
        <v>145.9</v>
      </c>
      <c r="J91">
        <v>225.2</v>
      </c>
      <c r="K91">
        <v>159.5</v>
      </c>
      <c r="L91">
        <v>114.4</v>
      </c>
      <c r="M91">
        <v>163.5</v>
      </c>
      <c r="N91">
        <v>153.4</v>
      </c>
      <c r="O91">
        <v>163.6</v>
      </c>
      <c r="P91">
        <v>164.5</v>
      </c>
      <c r="Q91">
        <v>183.6</v>
      </c>
      <c r="R91">
        <v>157</v>
      </c>
      <c r="S91">
        <v>151.6</v>
      </c>
      <c r="T91">
        <v>156.30000000000001</v>
      </c>
      <c r="U91">
        <v>140.85</v>
      </c>
      <c r="V91">
        <v>148.69999999999999</v>
      </c>
      <c r="W91">
        <v>153.4</v>
      </c>
      <c r="X91">
        <v>161.6</v>
      </c>
      <c r="Y91">
        <v>146.4</v>
      </c>
      <c r="Z91">
        <v>153.9</v>
      </c>
      <c r="AA91">
        <v>162.9</v>
      </c>
      <c r="AB91">
        <v>156.6</v>
      </c>
      <c r="AC91">
        <v>155.19999999999999</v>
      </c>
      <c r="AD91">
        <v>160.69999999999999</v>
      </c>
      <c r="AE91">
        <v>163.15</v>
      </c>
      <c r="AF91">
        <v>154.96666666666667</v>
      </c>
      <c r="AG91">
        <v>147.125</v>
      </c>
      <c r="AH91" s="2">
        <f>All_India_Index_Upto_April23__1[[#This Row],[House]]/All_India_Index_Upto_April23__1[[#This Row],[TOTAL BROADER CATEGORIES]]</f>
        <v>9.488619568430387E-2</v>
      </c>
      <c r="AI91" s="2">
        <f>All_India_Index_Upto_April23__1[[#This Row],[Cloth]]/All_India_Index_Upto_April23__1[[#This Row],[TOTAL BROADER CATEGORIES]]</f>
        <v>9.9943568107919267E-2</v>
      </c>
      <c r="AJ91" s="2">
        <f>All_India_Index_Upto_April23__1[[#This Row],[Food]]/All_India_Index_Upto_April23__1[[#This Row],[TOTAL BROADER CATEGORIES]]</f>
        <v>0.10522129363394513</v>
      </c>
      <c r="AK91" s="2">
        <f>All_India_Index_Upto_April23__1[[#This Row],[Miscellaneous]]/All_India_Index_Upto_April23__1[[#This Row],[TOTAL BROADER CATEGORIES]]</f>
        <v>0.10009405315346787</v>
      </c>
      <c r="AL91" s="2">
        <f>All_India_Index_Upto_April23__1[[#This Row],[Personal care and effects]]/All_India_Index_Upto_April23__1[[#This Row],[TOTAL BROADER CATEGORIES]]</f>
        <v>0.10099696342675946</v>
      </c>
      <c r="AM91" s="2">
        <f>All_India_Index_Upto_April23__1[[#This Row],[Education]]/All_India_Index_Upto_April23__1[[#This Row],[TOTAL BROADER CATEGORIES]]</f>
        <v>0.10506005965657163</v>
      </c>
      <c r="AN91" s="2">
        <f>All_India_Index_Upto_April23__1[[#This Row],[Recreation and amusement]]/All_India_Index_Upto_April23__1[[#This Row],[TOTAL BROADER CATEGORIES]]</f>
        <v>9.9255636471125674E-2</v>
      </c>
      <c r="AO91" s="2">
        <f>All_India_Index_Upto_April23__1[[#This Row],[Transport and communication]]/All_India_Index_Upto_April23__1[[#This Row],[TOTAL BROADER CATEGORIES]]</f>
        <v>9.4418617149920725E-2</v>
      </c>
      <c r="AP91" s="2">
        <f>All_India_Index_Upto_April23__1[[#This Row],[Health]]/All_India_Index_Upto_April23__1[[#This Row],[TOTAL BROADER CATEGORIES]]</f>
        <v>0.10422164297422942</v>
      </c>
      <c r="AQ91" s="2">
        <f>All_India_Index_Upto_April23__1[[#This Row],[Fuel and light]]/All_India_Index_Upto_April23__1[[#This Row],[TOTAL BROADER CATEGORIES]]</f>
        <v>9.5901969741756896E-2</v>
      </c>
      <c r="AR91">
        <f>MONTH(1 &amp; All_India_Index_Upto_April23__1[[#This Row],[Month]])</f>
        <v>12</v>
      </c>
      <c r="AS91" s="19" t="str">
        <f>All_India_Index_Upto_April23__1[[#This Row],[MONTH IN NUM]]&amp;"/"&amp;All_India_Index_Upto_April23__1[[#This Row],[Year]]</f>
        <v>12/2020</v>
      </c>
      <c r="AT9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152.96428571428572</v>
      </c>
      <c r="AU9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1550.5416666666667</v>
      </c>
    </row>
    <row r="92" spans="1:47" x14ac:dyDescent="0.3">
      <c r="A92" t="s">
        <v>30</v>
      </c>
      <c r="B92">
        <v>2020</v>
      </c>
      <c r="C92" t="s">
        <v>43</v>
      </c>
      <c r="D92">
        <v>145.4</v>
      </c>
      <c r="E92">
        <v>188.6</v>
      </c>
      <c r="F92">
        <v>171.6</v>
      </c>
      <c r="G92">
        <v>153.80000000000001</v>
      </c>
      <c r="H92">
        <v>145.4</v>
      </c>
      <c r="I92">
        <v>146.5</v>
      </c>
      <c r="J92">
        <v>222.2</v>
      </c>
      <c r="K92">
        <v>155.9</v>
      </c>
      <c r="L92">
        <v>114.9</v>
      </c>
      <c r="M92">
        <v>162</v>
      </c>
      <c r="N92">
        <v>150</v>
      </c>
      <c r="O92">
        <v>162.69999999999999</v>
      </c>
      <c r="P92">
        <v>163.4</v>
      </c>
      <c r="Q92">
        <v>183.4</v>
      </c>
      <c r="R92">
        <v>156.30000000000001</v>
      </c>
      <c r="S92">
        <v>151</v>
      </c>
      <c r="T92">
        <v>155.5</v>
      </c>
      <c r="U92">
        <v>140.85</v>
      </c>
      <c r="V92">
        <v>147.5</v>
      </c>
      <c r="W92">
        <v>152.80000000000001</v>
      </c>
      <c r="X92">
        <v>160.4</v>
      </c>
      <c r="Y92">
        <v>146.1</v>
      </c>
      <c r="Z92">
        <v>153.6</v>
      </c>
      <c r="AA92">
        <v>161.6</v>
      </c>
      <c r="AB92">
        <v>156.19999999999999</v>
      </c>
      <c r="AC92">
        <v>154.5</v>
      </c>
      <c r="AD92" s="1">
        <v>159.80000000000001</v>
      </c>
      <c r="AE92" s="1">
        <v>161.84285714285716</v>
      </c>
      <c r="AF92" s="1">
        <v>154.26666666666668</v>
      </c>
      <c r="AG92" s="1">
        <v>146.82499999999999</v>
      </c>
      <c r="AH92" s="2">
        <f>All_India_Index_Upto_April23__1[[#This Row],[House]]/All_India_Index_Upto_April23__1[[#This Row],[TOTAL BROADER CATEGORIES]]</f>
        <v>9.5165747028698705E-2</v>
      </c>
      <c r="AI92" s="2">
        <f>All_India_Index_Upto_April23__1[[#This Row],[Cloth]]/All_India_Index_Upto_April23__1[[#This Row],[TOTAL BROADER CATEGORIES]]</f>
        <v>9.9989120210867283E-2</v>
      </c>
      <c r="AJ92" s="2">
        <f>All_India_Index_Upto_April23__1[[#This Row],[Food]]/All_India_Index_Upto_April23__1[[#This Row],[TOTAL BROADER CATEGORIES]]</f>
        <v>0.10489968602934766</v>
      </c>
      <c r="AK92" s="2">
        <f>All_India_Index_Upto_April23__1[[#This Row],[Miscellaneous]]/All_India_Index_Upto_April23__1[[#This Row],[TOTAL BROADER CATEGORIES]]</f>
        <v>0.10014035699597447</v>
      </c>
      <c r="AL92" s="2">
        <f>All_India_Index_Upto_April23__1[[#This Row],[Personal care and effects]]/All_India_Index_Upto_April23__1[[#This Row],[TOTAL BROADER CATEGORIES]]</f>
        <v>0.10124222500175541</v>
      </c>
      <c r="AM92" s="2">
        <f>All_India_Index_Upto_April23__1[[#This Row],[Education]]/All_India_Index_Upto_April23__1[[#This Row],[TOTAL BROADER CATEGORIES]]</f>
        <v>0.10474227631423608</v>
      </c>
      <c r="AN92" s="2">
        <f>All_India_Index_Upto_April23__1[[#This Row],[Recreation and amusement]]/All_India_Index_Upto_April23__1[[#This Row],[TOTAL BROADER CATEGORIES]]</f>
        <v>9.9557015110561017E-2</v>
      </c>
      <c r="AO92" s="2">
        <f>All_India_Index_Upto_April23__1[[#This Row],[Transport and communication]]/All_India_Index_Upto_April23__1[[#This Row],[TOTAL BROADER CATEGORIES]]</f>
        <v>9.4695832732115653E-2</v>
      </c>
      <c r="AP92" s="2">
        <f>All_India_Index_Upto_April23__1[[#This Row],[Health]]/All_India_Index_Upto_April23__1[[#This Row],[TOTAL BROADER CATEGORIES]]</f>
        <v>0.10396448713368482</v>
      </c>
      <c r="AQ92" s="2">
        <f>All_India_Index_Upto_April23__1[[#This Row],[Fuel and light]]/All_India_Index_Upto_April23__1[[#This Row],[TOTAL BROADER CATEGORIES]]</f>
        <v>9.5603253442758801E-2</v>
      </c>
      <c r="AR92">
        <f>MONTH(1 &amp; All_India_Index_Upto_April23__1[[#This Row],[Month]])</f>
        <v>11</v>
      </c>
      <c r="AS92" s="19" t="str">
        <f>All_India_Index_Upto_April23__1[[#This Row],[MONTH IN NUM]]&amp;"/"&amp;All_India_Index_Upto_April23__1[[#This Row],[Year]]</f>
        <v>11/2020</v>
      </c>
      <c r="AT9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152.22142857142856</v>
      </c>
      <c r="AU9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1542.8345238095239</v>
      </c>
    </row>
    <row r="93" spans="1:47" x14ac:dyDescent="0.3">
      <c r="A93" t="s">
        <v>32</v>
      </c>
      <c r="B93">
        <v>2020</v>
      </c>
      <c r="C93" t="s">
        <v>43</v>
      </c>
      <c r="D93">
        <v>149.69999999999999</v>
      </c>
      <c r="E93">
        <v>195.5</v>
      </c>
      <c r="F93">
        <v>176.9</v>
      </c>
      <c r="G93">
        <v>153.9</v>
      </c>
      <c r="H93">
        <v>138</v>
      </c>
      <c r="I93">
        <v>150.5</v>
      </c>
      <c r="J93">
        <v>225.46299999999999</v>
      </c>
      <c r="K93">
        <v>158.69999999999999</v>
      </c>
      <c r="L93">
        <v>117.2</v>
      </c>
      <c r="M93">
        <v>161.4</v>
      </c>
      <c r="N93">
        <v>141.5</v>
      </c>
      <c r="O93">
        <v>165.1</v>
      </c>
      <c r="P93">
        <v>167</v>
      </c>
      <c r="Q93">
        <v>188.8</v>
      </c>
      <c r="R93">
        <v>151.1</v>
      </c>
      <c r="S93">
        <v>136.4</v>
      </c>
      <c r="T93">
        <v>148.80000000000001</v>
      </c>
      <c r="U93">
        <v>158</v>
      </c>
      <c r="V93">
        <v>137.30000000000001</v>
      </c>
      <c r="W93">
        <v>145.1</v>
      </c>
      <c r="X93">
        <v>152</v>
      </c>
      <c r="Y93">
        <v>135.19999999999999</v>
      </c>
      <c r="Z93">
        <v>144.4</v>
      </c>
      <c r="AA93">
        <v>156.4</v>
      </c>
      <c r="AB93">
        <v>157.9</v>
      </c>
      <c r="AC93">
        <v>146.6</v>
      </c>
      <c r="AD93">
        <v>156.69999999999999</v>
      </c>
      <c r="AE93">
        <v>164.96428571428572</v>
      </c>
      <c r="AF93">
        <v>145.43333333333334</v>
      </c>
      <c r="AG93">
        <v>151.55000000000001</v>
      </c>
      <c r="AH93" s="2">
        <f>All_India_Index_Upto_April23__1[[#This Row],[House]]/All_India_Index_Upto_April23__1[[#This Row],[TOTAL BROADER CATEGORIES]]</f>
        <v>0.10159225197674827</v>
      </c>
      <c r="AI93" s="2">
        <f>All_India_Index_Upto_April23__1[[#This Row],[Cloth]]/All_India_Index_Upto_April23__1[[#This Row],[TOTAL BROADER CATEGORIES]]</f>
        <v>9.7491915841757995E-2</v>
      </c>
      <c r="AJ93" s="2">
        <f>All_India_Index_Upto_April23__1[[#This Row],[Food]]/All_India_Index_Upto_April23__1[[#This Row],[TOTAL BROADER CATEGORIES]]</f>
        <v>0.11058458120389317</v>
      </c>
      <c r="AK93" s="2">
        <f>All_India_Index_Upto_April23__1[[#This Row],[Miscellaneous]]/All_India_Index_Upto_April23__1[[#This Row],[TOTAL BROADER CATEGORIES]]</f>
        <v>9.8273996303472749E-2</v>
      </c>
      <c r="AL93" s="2">
        <f>All_India_Index_Upto_April23__1[[#This Row],[Personal care and effects]]/All_India_Index_Upto_April23__1[[#This Row],[TOTAL BROADER CATEGORIES]]</f>
        <v>0.1058490042040815</v>
      </c>
      <c r="AM93" s="2">
        <f>All_India_Index_Upto_April23__1[[#This Row],[Education]]/All_India_Index_Upto_April23__1[[#This Row],[TOTAL BROADER CATEGORIES]]</f>
        <v>0.1048434721818768</v>
      </c>
      <c r="AN93" s="2">
        <f>All_India_Index_Upto_April23__1[[#This Row],[Recreation and amusement]]/All_India_Index_Upto_April23__1[[#This Row],[TOTAL BROADER CATEGORIES]]</f>
        <v>9.67992160042392E-2</v>
      </c>
      <c r="AO93" s="2">
        <f>All_India_Index_Upto_April23__1[[#This Row],[Transport and communication]]/All_India_Index_Upto_April23__1[[#This Row],[TOTAL BROADER CATEGORIES]]</f>
        <v>9.0631952934717014E-2</v>
      </c>
      <c r="AP93" s="2">
        <f>All_India_Index_Upto_April23__1[[#This Row],[Health]]/All_India_Index_Upto_April23__1[[#This Row],[TOTAL BROADER CATEGORIES]]</f>
        <v>0.10189391158340967</v>
      </c>
      <c r="AQ93" s="2">
        <f>All_India_Index_Upto_April23__1[[#This Row],[Fuel and light]]/All_India_Index_Upto_April23__1[[#This Row],[TOTAL BROADER CATEGORIES]]</f>
        <v>9.2039697765803619E-2</v>
      </c>
      <c r="AR93">
        <f>MONTH(1 &amp; All_India_Index_Upto_April23__1[[#This Row],[Month]])</f>
        <v>11</v>
      </c>
      <c r="AS93" s="19" t="str">
        <f>All_India_Index_Upto_April23__1[[#This Row],[MONTH IN NUM]]&amp;"/"&amp;All_India_Index_Upto_April23__1[[#This Row],[Year]]</f>
        <v>11/2020</v>
      </c>
      <c r="AT9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147.58571428571426</v>
      </c>
      <c r="AU9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1491.7476190476191</v>
      </c>
    </row>
    <row r="94" spans="1:47" x14ac:dyDescent="0.3">
      <c r="A94" t="s">
        <v>33</v>
      </c>
      <c r="B94">
        <v>2020</v>
      </c>
      <c r="C94" t="s">
        <v>43</v>
      </c>
      <c r="D94">
        <v>146.80000000000001</v>
      </c>
      <c r="E94">
        <v>191</v>
      </c>
      <c r="F94">
        <v>173.6</v>
      </c>
      <c r="G94">
        <v>153.80000000000001</v>
      </c>
      <c r="H94">
        <v>142.69999999999999</v>
      </c>
      <c r="I94">
        <v>148.4</v>
      </c>
      <c r="J94">
        <v>225.46299999999999</v>
      </c>
      <c r="K94">
        <v>156.80000000000001</v>
      </c>
      <c r="L94">
        <v>115.7</v>
      </c>
      <c r="M94">
        <v>161.80000000000001</v>
      </c>
      <c r="N94">
        <v>146.5</v>
      </c>
      <c r="O94">
        <v>163.80000000000001</v>
      </c>
      <c r="P94">
        <v>164.7</v>
      </c>
      <c r="Q94">
        <v>184.8</v>
      </c>
      <c r="R94">
        <v>154.30000000000001</v>
      </c>
      <c r="S94">
        <v>144.9</v>
      </c>
      <c r="T94">
        <v>152.80000000000001</v>
      </c>
      <c r="U94">
        <v>158</v>
      </c>
      <c r="V94">
        <v>143.6</v>
      </c>
      <c r="W94">
        <v>149.19999999999999</v>
      </c>
      <c r="X94">
        <v>157.19999999999999</v>
      </c>
      <c r="Y94">
        <v>140.4</v>
      </c>
      <c r="Z94">
        <v>148.4</v>
      </c>
      <c r="AA94">
        <v>158.6</v>
      </c>
      <c r="AB94">
        <v>156.9</v>
      </c>
      <c r="AC94">
        <v>150.69999999999999</v>
      </c>
      <c r="AD94">
        <v>158.4</v>
      </c>
      <c r="AE94">
        <v>162.8857142857143</v>
      </c>
      <c r="AF94">
        <v>150.66666666666669</v>
      </c>
      <c r="AG94">
        <v>153.6</v>
      </c>
      <c r="AH94" s="2">
        <f>All_India_Index_Upto_April23__1[[#This Row],[House]]/All_India_Index_Upto_April23__1[[#This Row],[TOTAL BROADER CATEGORIES]]</f>
        <v>0.10085673191170033</v>
      </c>
      <c r="AI94" s="2">
        <f>All_India_Index_Upto_April23__1[[#This Row],[Cloth]]/All_India_Index_Upto_April23__1[[#This Row],[TOTAL BROADER CATEGORIES]]</f>
        <v>9.8930648489775508E-2</v>
      </c>
      <c r="AJ94" s="2">
        <f>All_India_Index_Upto_April23__1[[#This Row],[Food]]/All_India_Index_Upto_April23__1[[#This Row],[TOTAL BROADER CATEGORIES]]</f>
        <v>0.10695391157526109</v>
      </c>
      <c r="AK94" s="2">
        <f>All_India_Index_Upto_April23__1[[#This Row],[Miscellaneous]]/All_India_Index_Upto_April23__1[[#This Row],[TOTAL BROADER CATEGORIES]]</f>
        <v>9.8952535801388269E-2</v>
      </c>
      <c r="AL94" s="2">
        <f>All_India_Index_Upto_April23__1[[#This Row],[Personal care and effects]]/All_India_Index_Upto_April23__1[[#This Row],[TOTAL BROADER CATEGORIES]]</f>
        <v>0.10302357576136577</v>
      </c>
      <c r="AM94" s="2">
        <f>All_India_Index_Upto_April23__1[[#This Row],[Education]]/All_India_Index_Upto_April23__1[[#This Row],[TOTAL BROADER CATEGORIES]]</f>
        <v>0.10413982865361765</v>
      </c>
      <c r="AN94" s="2">
        <f>All_India_Index_Upto_April23__1[[#This Row],[Recreation and amusement]]/All_India_Index_Upto_April23__1[[#This Row],[TOTAL BROADER CATEGORIES]]</f>
        <v>9.7442311300106318E-2</v>
      </c>
      <c r="AO94" s="2">
        <f>All_India_Index_Upto_April23__1[[#This Row],[Transport and communication]]/All_India_Index_Upto_April23__1[[#This Row],[TOTAL BROADER CATEGORIES]]</f>
        <v>9.2189356513038584E-2</v>
      </c>
      <c r="AP94" s="2">
        <f>All_India_Index_Upto_April23__1[[#This Row],[Health]]/All_India_Index_Upto_April23__1[[#This Row],[TOTAL BROADER CATEGORIES]]</f>
        <v>0.1032205615658808</v>
      </c>
      <c r="AQ94" s="2">
        <f>All_India_Index_Upto_April23__1[[#This Row],[Fuel and light]]/All_India_Index_Upto_April23__1[[#This Row],[TOTAL BROADER CATEGORIES]]</f>
        <v>9.4290538427865667E-2</v>
      </c>
      <c r="AR94">
        <f>MONTH(1 &amp; All_India_Index_Upto_April23__1[[#This Row],[Month]])</f>
        <v>11</v>
      </c>
      <c r="AS94" s="19" t="str">
        <f>All_India_Index_Upto_April23__1[[#This Row],[MONTH IN NUM]]&amp;"/"&amp;All_India_Index_Upto_April23__1[[#This Row],[Year]]</f>
        <v>11/2020</v>
      </c>
      <c r="AT9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151.62857142857143</v>
      </c>
      <c r="AU9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1522.952380952381</v>
      </c>
    </row>
    <row r="95" spans="1:47" x14ac:dyDescent="0.3">
      <c r="A95" t="s">
        <v>33</v>
      </c>
      <c r="B95">
        <v>2020</v>
      </c>
      <c r="C95" t="s">
        <v>42</v>
      </c>
      <c r="D95">
        <v>147.5</v>
      </c>
      <c r="E95">
        <v>188.9</v>
      </c>
      <c r="F95">
        <v>161.4</v>
      </c>
      <c r="G95">
        <v>153.6</v>
      </c>
      <c r="H95">
        <v>140.1</v>
      </c>
      <c r="I95">
        <v>151.19999999999999</v>
      </c>
      <c r="J95">
        <v>209.2</v>
      </c>
      <c r="K95">
        <v>150.9</v>
      </c>
      <c r="L95">
        <v>116.2</v>
      </c>
      <c r="M95">
        <v>161</v>
      </c>
      <c r="N95">
        <v>144</v>
      </c>
      <c r="O95">
        <v>163.19999999999999</v>
      </c>
      <c r="P95">
        <v>161.4</v>
      </c>
      <c r="Q95">
        <v>184.3</v>
      </c>
      <c r="R95">
        <v>153.69999999999999</v>
      </c>
      <c r="S95">
        <v>144.6</v>
      </c>
      <c r="T95">
        <v>152.30000000000001</v>
      </c>
      <c r="U95">
        <v>156.5</v>
      </c>
      <c r="V95">
        <v>143.1</v>
      </c>
      <c r="W95">
        <v>148.69999999999999</v>
      </c>
      <c r="X95">
        <v>156.30000000000001</v>
      </c>
      <c r="Y95">
        <v>140.6</v>
      </c>
      <c r="Z95">
        <v>146.5</v>
      </c>
      <c r="AA95">
        <v>158.5</v>
      </c>
      <c r="AB95">
        <v>157</v>
      </c>
      <c r="AC95">
        <v>150.4</v>
      </c>
      <c r="AD95" s="1">
        <v>156.4</v>
      </c>
      <c r="AE95" s="1">
        <v>159.49285714285719</v>
      </c>
      <c r="AF95" s="1">
        <v>150.19999999999999</v>
      </c>
      <c r="AG95" s="1">
        <v>152.6</v>
      </c>
      <c r="AH95" s="2">
        <f>All_India_Index_Upto_April23__1[[#This Row],[House]]/All_India_Index_Upto_April23__1[[#This Row],[TOTAL BROADER CATEGORIES]]</f>
        <v>0.10074649740399988</v>
      </c>
      <c r="AI95" s="2">
        <f>All_India_Index_Upto_April23__1[[#This Row],[Cloth]]/All_India_Index_Upto_April23__1[[#This Row],[TOTAL BROADER CATEGORIES]]</f>
        <v>9.9162017759376025E-2</v>
      </c>
      <c r="AJ95" s="2">
        <f>All_India_Index_Upto_April23__1[[#This Row],[Food]]/All_India_Index_Upto_April23__1[[#This Row],[TOTAL BROADER CATEGORIES]]</f>
        <v>0.10529716066906544</v>
      </c>
      <c r="AK95" s="2">
        <f>All_India_Index_Upto_April23__1[[#This Row],[Miscellaneous]]/All_India_Index_Upto_April23__1[[#This Row],[TOTAL BROADER CATEGORIES]]</f>
        <v>9.9294057729761367E-2</v>
      </c>
      <c r="AL95" s="2">
        <f>All_India_Index_Upto_April23__1[[#This Row],[Personal care and effects]]/All_India_Index_Upto_April23__1[[#This Row],[TOTAL BROADER CATEGORIES]]</f>
        <v>0.10365137675247695</v>
      </c>
      <c r="AM95" s="2">
        <f>All_India_Index_Upto_April23__1[[#This Row],[Education]]/All_India_Index_Upto_April23__1[[#This Row],[TOTAL BROADER CATEGORIES]]</f>
        <v>0.10464167653036685</v>
      </c>
      <c r="AN95" s="2">
        <f>All_India_Index_Upto_April23__1[[#This Row],[Recreation and amusement]]/All_India_Index_Upto_April23__1[[#This Row],[TOTAL BROADER CATEGORIES]]</f>
        <v>9.6719278307247594E-2</v>
      </c>
      <c r="AO95" s="2">
        <f>All_India_Index_Upto_April23__1[[#This Row],[Transport and communication]]/All_India_Index_Upto_April23__1[[#This Row],[TOTAL BROADER CATEGORIES]]</f>
        <v>9.2824099180880623E-2</v>
      </c>
      <c r="AP95" s="2">
        <f>All_India_Index_Upto_April23__1[[#This Row],[Health]]/All_India_Index_Upto_April23__1[[#This Row],[TOTAL BROADER CATEGORIES]]</f>
        <v>0.10318923685612834</v>
      </c>
      <c r="AQ95" s="2">
        <f>All_India_Index_Upto_April23__1[[#This Row],[Fuel and light]]/All_India_Index_Upto_April23__1[[#This Row],[TOTAL BROADER CATEGORIES]]</f>
        <v>9.4474598810697141E-2</v>
      </c>
      <c r="AR95">
        <f>MONTH(1 &amp; All_India_Index_Upto_April23__1[[#This Row],[Month]])</f>
        <v>10</v>
      </c>
      <c r="AS95" s="19" t="str">
        <f>All_India_Index_Upto_April23__1[[#This Row],[MONTH IN NUM]]&amp;"/"&amp;All_India_Index_Upto_April23__1[[#This Row],[Year]]</f>
        <v>10/2020</v>
      </c>
      <c r="AT9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151.05714285714285</v>
      </c>
      <c r="AU9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1514.6928571428568</v>
      </c>
    </row>
    <row r="96" spans="1:47" x14ac:dyDescent="0.3">
      <c r="A96" t="s">
        <v>30</v>
      </c>
      <c r="B96">
        <v>2020</v>
      </c>
      <c r="C96" t="s">
        <v>42</v>
      </c>
      <c r="D96">
        <v>146</v>
      </c>
      <c r="E96">
        <v>186.3</v>
      </c>
      <c r="F96">
        <v>159.19999999999999</v>
      </c>
      <c r="G96">
        <v>153.6</v>
      </c>
      <c r="H96">
        <v>142.6</v>
      </c>
      <c r="I96">
        <v>147.19999999999999</v>
      </c>
      <c r="J96">
        <v>200.6</v>
      </c>
      <c r="K96">
        <v>150.30000000000001</v>
      </c>
      <c r="L96">
        <v>115.3</v>
      </c>
      <c r="M96">
        <v>160.9</v>
      </c>
      <c r="N96">
        <v>147.4</v>
      </c>
      <c r="O96">
        <v>161.9</v>
      </c>
      <c r="P96">
        <v>159.6</v>
      </c>
      <c r="Q96">
        <v>182.7</v>
      </c>
      <c r="R96">
        <v>155.69999999999999</v>
      </c>
      <c r="S96">
        <v>150.6</v>
      </c>
      <c r="T96">
        <v>155</v>
      </c>
      <c r="U96">
        <v>140.85</v>
      </c>
      <c r="V96">
        <v>146.80000000000001</v>
      </c>
      <c r="W96">
        <v>152</v>
      </c>
      <c r="X96">
        <v>159.5</v>
      </c>
      <c r="Y96">
        <v>146.4</v>
      </c>
      <c r="Z96">
        <v>152.4</v>
      </c>
      <c r="AA96">
        <v>162.5</v>
      </c>
      <c r="AB96">
        <v>156.19999999999999</v>
      </c>
      <c r="AC96">
        <v>154.30000000000001</v>
      </c>
      <c r="AD96">
        <v>157.5</v>
      </c>
      <c r="AE96">
        <v>158.1142857142857</v>
      </c>
      <c r="AF96">
        <v>153.76666666666665</v>
      </c>
      <c r="AG96">
        <v>146.42500000000001</v>
      </c>
      <c r="AH96" s="2">
        <f>All_India_Index_Upto_April23__1[[#This Row],[House]]/All_India_Index_Upto_April23__1[[#This Row],[TOTAL BROADER CATEGORIES]]</f>
        <v>9.5303588073898493E-2</v>
      </c>
      <c r="AI96" s="2">
        <f>All_India_Index_Upto_April23__1[[#This Row],[Cloth]]/All_India_Index_Upto_April23__1[[#This Row],[TOTAL BROADER CATEGORIES]]</f>
        <v>0.10008205606622131</v>
      </c>
      <c r="AJ96" s="2">
        <f>All_India_Index_Upto_April23__1[[#This Row],[Food]]/All_India_Index_Upto_April23__1[[#This Row],[TOTAL BROADER CATEGORIES]]</f>
        <v>0.10291178934138963</v>
      </c>
      <c r="AK96" s="2">
        <f>All_India_Index_Upto_April23__1[[#This Row],[Miscellaneous]]/All_India_Index_Upto_April23__1[[#This Row],[TOTAL BROADER CATEGORIES]]</f>
        <v>0.10042918654466476</v>
      </c>
      <c r="AL96" s="2">
        <f>All_India_Index_Upto_April23__1[[#This Row],[Personal care and effects]]/All_India_Index_Upto_April23__1[[#This Row],[TOTAL BROADER CATEGORIES]]</f>
        <v>0.10166583887411947</v>
      </c>
      <c r="AM96" s="2">
        <f>All_India_Index_Upto_April23__1[[#This Row],[Education]]/All_India_Index_Upto_April23__1[[#This Row],[TOTAL BROADER CATEGORIES]]</f>
        <v>0.10576631765073248</v>
      </c>
      <c r="AN96" s="2">
        <f>All_India_Index_Upto_April23__1[[#This Row],[Recreation and amusement]]/All_India_Index_Upto_April23__1[[#This Row],[TOTAL BROADER CATEGORIES]]</f>
        <v>9.9192534215210043E-2</v>
      </c>
      <c r="AO96" s="2">
        <f>All_India_Index_Upto_April23__1[[#This Row],[Transport and communication]]/All_India_Index_Upto_April23__1[[#This Row],[TOTAL BROADER CATEGORIES]]</f>
        <v>9.5287316332721458E-2</v>
      </c>
      <c r="AP96" s="2">
        <f>All_India_Index_Upto_April23__1[[#This Row],[Health]]/All_India_Index_Upto_April23__1[[#This Row],[TOTAL BROADER CATEGORIES]]</f>
        <v>0.10381370870948819</v>
      </c>
      <c r="AQ96" s="2">
        <f>All_India_Index_Upto_April23__1[[#This Row],[Fuel and light]]/All_India_Index_Upto_April23__1[[#This Row],[TOTAL BROADER CATEGORIES]]</f>
        <v>9.5547664191554027E-2</v>
      </c>
      <c r="AR96">
        <f>MONTH(1 &amp; All_India_Index_Upto_April23__1[[#This Row],[Month]])</f>
        <v>10</v>
      </c>
      <c r="AS96" s="19" t="str">
        <f>All_India_Index_Upto_April23__1[[#This Row],[MONTH IN NUM]]&amp;"/"&amp;All_India_Index_Upto_April23__1[[#This Row],[Year]]</f>
        <v>10/2020</v>
      </c>
      <c r="AT9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151.92142857142858</v>
      </c>
      <c r="AU9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1536.4059523809526</v>
      </c>
    </row>
    <row r="97" spans="1:47" x14ac:dyDescent="0.3">
      <c r="A97" t="s">
        <v>32</v>
      </c>
      <c r="B97">
        <v>2020</v>
      </c>
      <c r="C97" t="s">
        <v>42</v>
      </c>
      <c r="D97">
        <v>150.6</v>
      </c>
      <c r="E97">
        <v>193.7</v>
      </c>
      <c r="F97">
        <v>164.8</v>
      </c>
      <c r="G97">
        <v>153.69999999999999</v>
      </c>
      <c r="H97">
        <v>135.69999999999999</v>
      </c>
      <c r="I97">
        <v>155.69999999999999</v>
      </c>
      <c r="J97">
        <v>225.46299999999999</v>
      </c>
      <c r="K97">
        <v>152.19999999999999</v>
      </c>
      <c r="L97">
        <v>118.1</v>
      </c>
      <c r="M97">
        <v>161.30000000000001</v>
      </c>
      <c r="N97">
        <v>139.19999999999999</v>
      </c>
      <c r="O97">
        <v>164.8</v>
      </c>
      <c r="P97">
        <v>164.4</v>
      </c>
      <c r="Q97">
        <v>188.7</v>
      </c>
      <c r="R97">
        <v>150.5</v>
      </c>
      <c r="S97">
        <v>136.1</v>
      </c>
      <c r="T97">
        <v>148.30000000000001</v>
      </c>
      <c r="U97">
        <v>156.5</v>
      </c>
      <c r="V97">
        <v>137.1</v>
      </c>
      <c r="W97">
        <v>145.1</v>
      </c>
      <c r="X97">
        <v>151</v>
      </c>
      <c r="Y97">
        <v>135.4</v>
      </c>
      <c r="Z97">
        <v>142</v>
      </c>
      <c r="AA97">
        <v>155.69999999999999</v>
      </c>
      <c r="AB97">
        <v>158.1</v>
      </c>
      <c r="AC97">
        <v>146.19999999999999</v>
      </c>
      <c r="AD97">
        <v>155.19999999999999</v>
      </c>
      <c r="AE97">
        <v>162.06428571428569</v>
      </c>
      <c r="AF97">
        <v>144.96666666666667</v>
      </c>
      <c r="AG97">
        <v>150.80000000000001</v>
      </c>
      <c r="AH97" s="2">
        <f>All_India_Index_Upto_April23__1[[#This Row],[House]]/All_India_Index_Upto_April23__1[[#This Row],[TOTAL BROADER CATEGORIES]]</f>
        <v>0.10166308453143585</v>
      </c>
      <c r="AI97" s="2">
        <f>All_India_Index_Upto_April23__1[[#This Row],[Cloth]]/All_India_Index_Upto_April23__1[[#This Row],[TOTAL BROADER CATEGORIES]]</f>
        <v>9.7730493949428496E-2</v>
      </c>
      <c r="AJ97" s="2">
        <f>All_India_Index_Upto_April23__1[[#This Row],[Food]]/All_India_Index_Upto_April23__1[[#This Row],[TOTAL BROADER CATEGORIES]]</f>
        <v>0.10925699720224269</v>
      </c>
      <c r="AK97" s="2">
        <f>All_India_Index_Upto_April23__1[[#This Row],[Miscellaneous]]/All_India_Index_Upto_April23__1[[#This Row],[TOTAL BROADER CATEGORIES]]</f>
        <v>9.8561955958195752E-2</v>
      </c>
      <c r="AL97" s="2">
        <f>All_India_Index_Upto_April23__1[[#This Row],[Personal care and effects]]/All_India_Index_Upto_April23__1[[#This Row],[TOTAL BROADER CATEGORIES]]</f>
        <v>0.10658444074549077</v>
      </c>
      <c r="AM97" s="2">
        <f>All_India_Index_Upto_April23__1[[#This Row],[Education]]/All_India_Index_Upto_April23__1[[#This Row],[TOTAL BROADER CATEGORIES]]</f>
        <v>0.10496646062032201</v>
      </c>
      <c r="AN97" s="2">
        <f>All_India_Index_Upto_April23__1[[#This Row],[Recreation and amusement]]/All_India_Index_Upto_April23__1[[#This Row],[TOTAL BROADER CATEGORIES]]</f>
        <v>9.5730490739150464E-2</v>
      </c>
      <c r="AO97" s="2">
        <f>All_India_Index_Upto_April23__1[[#This Row],[Transport and communication]]/All_India_Index_Upto_April23__1[[#This Row],[TOTAL BROADER CATEGORIES]]</f>
        <v>9.1281045394936436E-2</v>
      </c>
      <c r="AP97" s="2">
        <f>All_India_Index_Upto_April23__1[[#This Row],[Health]]/All_India_Index_Upto_April23__1[[#This Row],[TOTAL BROADER CATEGORIES]]</f>
        <v>0.10179791620853325</v>
      </c>
      <c r="AQ97" s="2">
        <f>All_India_Index_Upto_April23__1[[#This Row],[Fuel and light]]/All_India_Index_Upto_April23__1[[#This Row],[TOTAL BROADER CATEGORIES]]</f>
        <v>9.2427114650264292E-2</v>
      </c>
      <c r="AR97">
        <f>MONTH(1 &amp; All_India_Index_Upto_April23__1[[#This Row],[Month]])</f>
        <v>10</v>
      </c>
      <c r="AS97" s="19" t="str">
        <f>All_India_Index_Upto_April23__1[[#This Row],[MONTH IN NUM]]&amp;"/"&amp;All_India_Index_Upto_April23__1[[#This Row],[Year]]</f>
        <v>10/2020</v>
      </c>
      <c r="AT9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147.04285714285717</v>
      </c>
      <c r="AU9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1483.3309523809523</v>
      </c>
    </row>
    <row r="98" spans="1:47" x14ac:dyDescent="0.3">
      <c r="A98" t="s">
        <v>32</v>
      </c>
      <c r="B98">
        <v>2020</v>
      </c>
      <c r="C98" t="s">
        <v>41</v>
      </c>
      <c r="D98">
        <v>151.5</v>
      </c>
      <c r="E98">
        <v>193.1</v>
      </c>
      <c r="F98">
        <v>157.30000000000001</v>
      </c>
      <c r="G98">
        <v>153.9</v>
      </c>
      <c r="H98">
        <v>134.4</v>
      </c>
      <c r="I98">
        <v>155.4</v>
      </c>
      <c r="J98">
        <v>202</v>
      </c>
      <c r="K98">
        <v>150.80000000000001</v>
      </c>
      <c r="L98">
        <v>118.9</v>
      </c>
      <c r="M98">
        <v>160.9</v>
      </c>
      <c r="N98">
        <v>137.69999999999999</v>
      </c>
      <c r="O98">
        <v>164.4</v>
      </c>
      <c r="P98">
        <v>161.30000000000001</v>
      </c>
      <c r="Q98">
        <v>188.7</v>
      </c>
      <c r="R98">
        <v>150.19999999999999</v>
      </c>
      <c r="S98">
        <v>136.30000000000001</v>
      </c>
      <c r="T98">
        <v>148.1</v>
      </c>
      <c r="U98">
        <v>156.30000000000001</v>
      </c>
      <c r="V98">
        <v>137.19999999999999</v>
      </c>
      <c r="W98">
        <v>145.4</v>
      </c>
      <c r="X98">
        <v>150</v>
      </c>
      <c r="Y98">
        <v>135.1</v>
      </c>
      <c r="Z98">
        <v>141.80000000000001</v>
      </c>
      <c r="AA98">
        <v>154.9</v>
      </c>
      <c r="AB98">
        <v>159.80000000000001</v>
      </c>
      <c r="AC98">
        <v>146</v>
      </c>
      <c r="AD98">
        <v>154</v>
      </c>
      <c r="AE98">
        <v>159.30714285714288</v>
      </c>
      <c r="AF98">
        <v>144.86666666666667</v>
      </c>
      <c r="AG98">
        <v>150.85000000000002</v>
      </c>
      <c r="AH98" s="2">
        <f>All_India_Index_Upto_April23__1[[#This Row],[House]]/All_India_Index_Upto_April23__1[[#This Row],[TOTAL BROADER CATEGORIES]]</f>
        <v>0.10193781112938156</v>
      </c>
      <c r="AI98" s="2">
        <f>All_India_Index_Upto_April23__1[[#This Row],[Cloth]]/All_India_Index_Upto_April23__1[[#This Row],[TOTAL BROADER CATEGORIES]]</f>
        <v>9.7894536994429834E-2</v>
      </c>
      <c r="AJ98" s="2">
        <f>All_India_Index_Upto_April23__1[[#This Row],[Food]]/All_India_Index_Upto_April23__1[[#This Row],[TOTAL BROADER CATEGORIES]]</f>
        <v>0.10765277719677054</v>
      </c>
      <c r="AK98" s="2">
        <f>All_India_Index_Upto_April23__1[[#This Row],[Miscellaneous]]/All_India_Index_Upto_April23__1[[#This Row],[TOTAL BROADER CATEGORIES]]</f>
        <v>9.8660393933640747E-2</v>
      </c>
      <c r="AL98" s="2">
        <f>All_India_Index_Upto_April23__1[[#This Row],[Personal care and effects]]/All_India_Index_Upto_April23__1[[#This Row],[TOTAL BROADER CATEGORIES]]</f>
        <v>0.1079858284287383</v>
      </c>
      <c r="AM98" s="2">
        <f>All_India_Index_Upto_April23__1[[#This Row],[Education]]/All_India_Index_Upto_April23__1[[#This Row],[TOTAL BROADER CATEGORIES]]</f>
        <v>0.10467462342685584</v>
      </c>
      <c r="AN98" s="2">
        <f>All_India_Index_Upto_April23__1[[#This Row],[Recreation and amusement]]/All_India_Index_Upto_April23__1[[#This Row],[TOTAL BROADER CATEGORIES]]</f>
        <v>9.5822218217741492E-2</v>
      </c>
      <c r="AO98" s="2">
        <f>All_India_Index_Upto_April23__1[[#This Row],[Transport and communication]]/All_India_Index_Upto_April23__1[[#This Row],[TOTAL BROADER CATEGORIES]]</f>
        <v>9.1294652194759338E-2</v>
      </c>
      <c r="AP98" s="2">
        <f>All_India_Index_Upto_April23__1[[#This Row],[Health]]/All_India_Index_Upto_April23__1[[#This Row],[TOTAL BROADER CATEGORIES]]</f>
        <v>0.10136341842497337</v>
      </c>
      <c r="AQ98" s="2">
        <f>All_India_Index_Upto_April23__1[[#This Row],[Fuel and light]]/All_India_Index_Upto_April23__1[[#This Row],[TOTAL BROADER CATEGORIES]]</f>
        <v>9.2713740052708965E-2</v>
      </c>
      <c r="AR98">
        <f>MONTH(1 &amp; All_India_Index_Upto_April23__1[[#This Row],[Month]])</f>
        <v>9</v>
      </c>
      <c r="AS98" s="19" t="str">
        <f>All_India_Index_Upto_April23__1[[#This Row],[MONTH IN NUM]]&amp;"/"&amp;All_India_Index_Upto_April23__1[[#This Row],[Year]]</f>
        <v>9/2020</v>
      </c>
      <c r="AT9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146.91428571428574</v>
      </c>
      <c r="AU9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1479.8238095238096</v>
      </c>
    </row>
    <row r="99" spans="1:47" x14ac:dyDescent="0.3">
      <c r="A99" t="s">
        <v>33</v>
      </c>
      <c r="B99">
        <v>2020</v>
      </c>
      <c r="C99" t="s">
        <v>41</v>
      </c>
      <c r="D99">
        <v>148.4</v>
      </c>
      <c r="E99">
        <v>187.1</v>
      </c>
      <c r="F99">
        <v>152.5</v>
      </c>
      <c r="G99">
        <v>153.6</v>
      </c>
      <c r="H99">
        <v>138.19999999999999</v>
      </c>
      <c r="I99">
        <v>150.9</v>
      </c>
      <c r="J99">
        <v>186.7</v>
      </c>
      <c r="K99">
        <v>149.80000000000001</v>
      </c>
      <c r="L99">
        <v>116.4</v>
      </c>
      <c r="M99">
        <v>160.30000000000001</v>
      </c>
      <c r="N99">
        <v>142.19999999999999</v>
      </c>
      <c r="O99">
        <v>162.9</v>
      </c>
      <c r="P99">
        <v>158</v>
      </c>
      <c r="Q99">
        <v>184.4</v>
      </c>
      <c r="R99">
        <v>153.4</v>
      </c>
      <c r="S99">
        <v>144.30000000000001</v>
      </c>
      <c r="T99">
        <v>152</v>
      </c>
      <c r="U99">
        <v>156.30000000000001</v>
      </c>
      <c r="V99">
        <v>142.9</v>
      </c>
      <c r="W99">
        <v>148.69999999999999</v>
      </c>
      <c r="X99">
        <v>155.6</v>
      </c>
      <c r="Y99">
        <v>139.6</v>
      </c>
      <c r="Z99">
        <v>146.6</v>
      </c>
      <c r="AA99">
        <v>157.5</v>
      </c>
      <c r="AB99">
        <v>158.4</v>
      </c>
      <c r="AC99">
        <v>150</v>
      </c>
      <c r="AD99">
        <v>154.69999999999999</v>
      </c>
      <c r="AE99">
        <v>156.52857142857144</v>
      </c>
      <c r="AF99">
        <v>149.9</v>
      </c>
      <c r="AG99">
        <v>152.5</v>
      </c>
      <c r="AH99" s="2">
        <f>All_India_Index_Upto_April23__1[[#This Row],[House]]/All_India_Index_Upto_April23__1[[#This Row],[TOTAL BROADER CATEGORIES]]</f>
        <v>0.1010249179024672</v>
      </c>
      <c r="AI99" s="2">
        <f>All_India_Index_Upto_April23__1[[#This Row],[Cloth]]/All_India_Index_Upto_April23__1[[#This Row],[TOTAL BROADER CATEGORIES]]</f>
        <v>9.9302525859539886E-2</v>
      </c>
      <c r="AJ99" s="2">
        <f>All_India_Index_Upto_April23__1[[#This Row],[Food]]/All_India_Index_Upto_April23__1[[#This Row],[TOTAL BROADER CATEGORIES]]</f>
        <v>0.10369367919975017</v>
      </c>
      <c r="AK99" s="2">
        <f>All_India_Index_Upto_April23__1[[#This Row],[Miscellaneous]]/All_India_Index_Upto_April23__1[[#This Row],[TOTAL BROADER CATEGORIES]]</f>
        <v>9.9368771707344788E-2</v>
      </c>
      <c r="AL99" s="2">
        <f>All_India_Index_Upto_April23__1[[#This Row],[Personal care and effects]]/All_India_Index_Upto_April23__1[[#This Row],[TOTAL BROADER CATEGORIES]]</f>
        <v>0.1049334229229561</v>
      </c>
      <c r="AM99" s="2">
        <f>All_India_Index_Upto_April23__1[[#This Row],[Education]]/All_India_Index_Upto_April23__1[[#This Row],[TOTAL BROADER CATEGORIES]]</f>
        <v>0.10433721029271202</v>
      </c>
      <c r="AN99" s="2">
        <f>All_India_Index_Upto_April23__1[[#This Row],[Recreation and amusement]]/All_India_Index_Upto_April23__1[[#This Row],[TOTAL BROADER CATEGORIES]]</f>
        <v>9.7116412881978295E-2</v>
      </c>
      <c r="AO99" s="2">
        <f>All_India_Index_Upto_April23__1[[#This Row],[Transport and communication]]/All_India_Index_Upto_April23__1[[#This Row],[TOTAL BROADER CATEGORIES]]</f>
        <v>9.2479203535635546E-2</v>
      </c>
      <c r="AP99" s="2">
        <f>All_India_Index_Upto_April23__1[[#This Row],[Health]]/All_India_Index_Upto_April23__1[[#This Row],[TOTAL BROADER CATEGORIES]]</f>
        <v>0.10307853918441899</v>
      </c>
      <c r="AQ99" s="2">
        <f>All_India_Index_Upto_April23__1[[#This Row],[Fuel and light]]/All_India_Index_Upto_April23__1[[#This Row],[TOTAL BROADER CATEGORIES]]</f>
        <v>9.4665316513197137E-2</v>
      </c>
      <c r="AR99">
        <f>MONTH(1 &amp; All_India_Index_Upto_April23__1[[#This Row],[Month]])</f>
        <v>9</v>
      </c>
      <c r="AS99" s="19" t="str">
        <f>All_India_Index_Upto_April23__1[[#This Row],[MONTH IN NUM]]&amp;"/"&amp;All_India_Index_Upto_April23__1[[#This Row],[Year]]</f>
        <v>9/2020</v>
      </c>
      <c r="AT9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150.72857142857146</v>
      </c>
      <c r="AU9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1509.5285714285712</v>
      </c>
    </row>
    <row r="100" spans="1:47" x14ac:dyDescent="0.3">
      <c r="A100" t="s">
        <v>30</v>
      </c>
      <c r="B100">
        <v>2020</v>
      </c>
      <c r="C100" t="s">
        <v>41</v>
      </c>
      <c r="D100">
        <v>146.9</v>
      </c>
      <c r="E100">
        <v>183.9</v>
      </c>
      <c r="F100">
        <v>149.5</v>
      </c>
      <c r="G100">
        <v>153.4</v>
      </c>
      <c r="H100">
        <v>140.4</v>
      </c>
      <c r="I100">
        <v>147</v>
      </c>
      <c r="J100">
        <v>178.8</v>
      </c>
      <c r="K100">
        <v>149.30000000000001</v>
      </c>
      <c r="L100">
        <v>115.1</v>
      </c>
      <c r="M100">
        <v>160</v>
      </c>
      <c r="N100">
        <v>145.4</v>
      </c>
      <c r="O100">
        <v>161.6</v>
      </c>
      <c r="P100">
        <v>156.1</v>
      </c>
      <c r="Q100">
        <v>182.9</v>
      </c>
      <c r="R100">
        <v>155.4</v>
      </c>
      <c r="S100">
        <v>149.9</v>
      </c>
      <c r="T100">
        <v>154.6</v>
      </c>
      <c r="U100">
        <v>140.85</v>
      </c>
      <c r="V100">
        <v>146.4</v>
      </c>
      <c r="W100">
        <v>151.6</v>
      </c>
      <c r="X100">
        <v>159.1</v>
      </c>
      <c r="Y100">
        <v>144.6</v>
      </c>
      <c r="Z100">
        <v>152.80000000000001</v>
      </c>
      <c r="AA100">
        <v>161.1</v>
      </c>
      <c r="AB100">
        <v>157.4</v>
      </c>
      <c r="AC100">
        <v>153.69999999999999</v>
      </c>
      <c r="AD100">
        <v>155.4</v>
      </c>
      <c r="AE100">
        <v>155.02142857142854</v>
      </c>
      <c r="AF100">
        <v>153.29999999999998</v>
      </c>
      <c r="AG100">
        <v>146.22499999999999</v>
      </c>
      <c r="AH100" s="2">
        <f>All_India_Index_Upto_April23__1[[#This Row],[House]]/All_India_Index_Upto_April23__1[[#This Row],[TOTAL BROADER CATEGORIES]]</f>
        <v>9.5593986472130577E-2</v>
      </c>
      <c r="AI100" s="2">
        <f>All_India_Index_Upto_April23__1[[#This Row],[Cloth]]/All_India_Index_Upto_April23__1[[#This Row],[TOTAL BROADER CATEGORIES]]</f>
        <v>0.10021923833939216</v>
      </c>
      <c r="AJ100" s="2">
        <f>All_India_Index_Upto_April23__1[[#This Row],[Food]]/All_India_Index_Upto_April23__1[[#This Row],[TOTAL BROADER CATEGORIES]]</f>
        <v>0.10134461511880662</v>
      </c>
      <c r="AK100" s="2">
        <f>All_India_Index_Upto_April23__1[[#This Row],[Miscellaneous]]/All_India_Index_Upto_April23__1[[#This Row],[TOTAL BROADER CATEGORIES]]</f>
        <v>0.10048073667817727</v>
      </c>
      <c r="AL100" s="2">
        <f>All_India_Index_Upto_April23__1[[#This Row],[Personal care and effects]]/All_India_Index_Upto_April23__1[[#This Row],[TOTAL BROADER CATEGORIES]]</f>
        <v>0.10289959631193951</v>
      </c>
      <c r="AM100" s="2">
        <f>All_India_Index_Upto_April23__1[[#This Row],[Education]]/All_India_Index_Upto_April23__1[[#This Row],[TOTAL BROADER CATEGORIES]]</f>
        <v>0.10531845594570174</v>
      </c>
      <c r="AN100" s="2">
        <f>All_India_Index_Upto_April23__1[[#This Row],[Recreation and amusement]]/All_India_Index_Upto_April23__1[[#This Row],[TOTAL BROADER CATEGORIES]]</f>
        <v>9.9892365415910789E-2</v>
      </c>
      <c r="AO100" s="2">
        <f>All_India_Index_Upto_April23__1[[#This Row],[Transport and communication]]/All_India_Index_Upto_April23__1[[#This Row],[TOTAL BROADER CATEGORIES]]</f>
        <v>9.453164947081609E-2</v>
      </c>
      <c r="AP100" s="2">
        <f>All_India_Index_Upto_April23__1[[#This Row],[Health]]/All_India_Index_Upto_April23__1[[#This Row],[TOTAL BROADER CATEGORIES]]</f>
        <v>0.10401096425177621</v>
      </c>
      <c r="AQ100" s="2">
        <f>All_India_Index_Upto_April23__1[[#This Row],[Fuel and light]]/All_India_Index_Upto_April23__1[[#This Row],[TOTAL BROADER CATEGORIES]]</f>
        <v>9.5708391995349071E-2</v>
      </c>
      <c r="AR100">
        <f>MONTH(1 &amp; All_India_Index_Upto_April23__1[[#This Row],[Month]])</f>
        <v>9</v>
      </c>
      <c r="AS100" s="19" t="str">
        <f>All_India_Index_Upto_April23__1[[#This Row],[MONTH IN NUM]]&amp;"/"&amp;All_India_Index_Upto_April23__1[[#This Row],[Year]]</f>
        <v>9/2020</v>
      </c>
      <c r="AT10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151.40714285714287</v>
      </c>
      <c r="AU10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1529.6464285714285</v>
      </c>
    </row>
    <row r="101" spans="1:47" x14ac:dyDescent="0.3">
      <c r="A101" t="s">
        <v>30</v>
      </c>
      <c r="B101">
        <v>2020</v>
      </c>
      <c r="C101" t="s">
        <v>40</v>
      </c>
      <c r="D101">
        <v>147.6</v>
      </c>
      <c r="E101">
        <v>187.2</v>
      </c>
      <c r="F101">
        <v>148.4</v>
      </c>
      <c r="G101">
        <v>153.30000000000001</v>
      </c>
      <c r="H101">
        <v>139.80000000000001</v>
      </c>
      <c r="I101">
        <v>146.9</v>
      </c>
      <c r="J101">
        <v>171</v>
      </c>
      <c r="K101">
        <v>149.9</v>
      </c>
      <c r="L101">
        <v>114.2</v>
      </c>
      <c r="M101">
        <v>160</v>
      </c>
      <c r="N101">
        <v>143.5</v>
      </c>
      <c r="O101">
        <v>161.5</v>
      </c>
      <c r="P101">
        <v>155.30000000000001</v>
      </c>
      <c r="Q101">
        <v>180.9</v>
      </c>
      <c r="R101">
        <v>155.1</v>
      </c>
      <c r="S101">
        <v>149.30000000000001</v>
      </c>
      <c r="T101">
        <v>154.30000000000001</v>
      </c>
      <c r="U101">
        <v>140.85</v>
      </c>
      <c r="V101">
        <v>145.80000000000001</v>
      </c>
      <c r="W101">
        <v>151.9</v>
      </c>
      <c r="X101">
        <v>158.80000000000001</v>
      </c>
      <c r="Y101">
        <v>143.6</v>
      </c>
      <c r="Z101">
        <v>152.19999999999999</v>
      </c>
      <c r="AA101">
        <v>162.69999999999999</v>
      </c>
      <c r="AB101">
        <v>153.6</v>
      </c>
      <c r="AC101">
        <v>153</v>
      </c>
      <c r="AD101">
        <v>154.69999999999999</v>
      </c>
      <c r="AE101">
        <v>154.25</v>
      </c>
      <c r="AF101">
        <v>152.9</v>
      </c>
      <c r="AG101">
        <v>146.375</v>
      </c>
      <c r="AH101" s="2">
        <f>All_India_Index_Upto_April23__1[[#This Row],[House]]/All_India_Index_Upto_April23__1[[#This Row],[TOTAL BROADER CATEGORIES]]</f>
        <v>9.6095455366081842E-2</v>
      </c>
      <c r="AI101" s="2">
        <f>All_India_Index_Upto_April23__1[[#This Row],[Cloth]]/All_India_Index_Upto_April23__1[[#This Row],[TOTAL BROADER CATEGORIES]]</f>
        <v>0.10037912980682434</v>
      </c>
      <c r="AJ101" s="2">
        <f>All_India_Index_Upto_April23__1[[#This Row],[Food]]/All_India_Index_Upto_April23__1[[#This Row],[TOTAL BROADER CATEGORIES]]</f>
        <v>0.10126540727732279</v>
      </c>
      <c r="AK101" s="2">
        <f>All_India_Index_Upto_April23__1[[#This Row],[Miscellaneous]]/All_India_Index_Upto_April23__1[[#This Row],[TOTAL BROADER CATEGORIES]]</f>
        <v>0.10044477998982423</v>
      </c>
      <c r="AL101" s="2">
        <f>All_India_Index_Upto_April23__1[[#This Row],[Personal care and effects]]/All_India_Index_Upto_April23__1[[#This Row],[TOTAL BROADER CATEGORIES]]</f>
        <v>0.10083868108782354</v>
      </c>
      <c r="AM101" s="2">
        <f>All_India_Index_Upto_April23__1[[#This Row],[Education]]/All_India_Index_Upto_April23__1[[#This Row],[TOTAL BROADER CATEGORIES]]</f>
        <v>0.10681284774081308</v>
      </c>
      <c r="AN101" s="2">
        <f>All_India_Index_Upto_April23__1[[#This Row],[Recreation and amusement]]/All_India_Index_Upto_April23__1[[#This Row],[TOTAL BROADER CATEGORIES]]</f>
        <v>9.9919578525825142E-2</v>
      </c>
      <c r="AO101" s="2">
        <f>All_India_Index_Upto_April23__1[[#This Row],[Transport and communication]]/All_India_Index_Upto_April23__1[[#This Row],[TOTAL BROADER CATEGORIES]]</f>
        <v>9.4273662787835028E-2</v>
      </c>
      <c r="AP101" s="2">
        <f>All_India_Index_Upto_April23__1[[#This Row],[Health]]/All_India_Index_Upto_April23__1[[#This Row],[TOTAL BROADER CATEGORIES]]</f>
        <v>0.10425249060381757</v>
      </c>
      <c r="AQ101" s="2">
        <f>All_India_Index_Upto_April23__1[[#This Row],[Fuel and light]]/All_India_Index_Upto_April23__1[[#This Row],[TOTAL BROADER CATEGORIES]]</f>
        <v>9.5717966813832503E-2</v>
      </c>
      <c r="AR101">
        <f>MONTH(1 &amp; All_India_Index_Upto_April23__1[[#This Row],[Month]])</f>
        <v>8</v>
      </c>
      <c r="AS101" s="19" t="str">
        <f>All_India_Index_Upto_April23__1[[#This Row],[MONTH IN NUM]]&amp;"/"&amp;All_India_Index_Upto_April23__1[[#This Row],[Year]]</f>
        <v>8/2020</v>
      </c>
      <c r="AT10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151.42142857142855</v>
      </c>
      <c r="AU10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1523.2249999999999</v>
      </c>
    </row>
    <row r="102" spans="1:47" x14ac:dyDescent="0.3">
      <c r="A102" t="s">
        <v>32</v>
      </c>
      <c r="B102">
        <v>2020</v>
      </c>
      <c r="C102" t="s">
        <v>40</v>
      </c>
      <c r="D102">
        <v>151.6</v>
      </c>
      <c r="E102">
        <v>197.8</v>
      </c>
      <c r="F102">
        <v>154.5</v>
      </c>
      <c r="G102">
        <v>153.4</v>
      </c>
      <c r="H102">
        <v>133.4</v>
      </c>
      <c r="I102">
        <v>154.5</v>
      </c>
      <c r="J102">
        <v>191.9</v>
      </c>
      <c r="K102">
        <v>151.30000000000001</v>
      </c>
      <c r="L102">
        <v>116.8</v>
      </c>
      <c r="M102">
        <v>160</v>
      </c>
      <c r="N102">
        <v>136.5</v>
      </c>
      <c r="O102">
        <v>163.30000000000001</v>
      </c>
      <c r="P102">
        <v>159.9</v>
      </c>
      <c r="Q102">
        <v>187.2</v>
      </c>
      <c r="R102">
        <v>150</v>
      </c>
      <c r="S102">
        <v>135.19999999999999</v>
      </c>
      <c r="T102">
        <v>147.80000000000001</v>
      </c>
      <c r="U102">
        <v>155.5</v>
      </c>
      <c r="V102">
        <v>138.30000000000001</v>
      </c>
      <c r="W102">
        <v>144.5</v>
      </c>
      <c r="X102">
        <v>148.69999999999999</v>
      </c>
      <c r="Y102">
        <v>133.9</v>
      </c>
      <c r="Z102">
        <v>141.19999999999999</v>
      </c>
      <c r="AA102">
        <v>155.5</v>
      </c>
      <c r="AB102">
        <v>155.19999999999999</v>
      </c>
      <c r="AC102">
        <v>144.80000000000001</v>
      </c>
      <c r="AD102">
        <v>152.9</v>
      </c>
      <c r="AE102">
        <v>158.00714285714284</v>
      </c>
      <c r="AF102">
        <v>144.33333333333334</v>
      </c>
      <c r="AG102">
        <v>150</v>
      </c>
      <c r="AH102" s="2">
        <f>All_India_Index_Upto_April23__1[[#This Row],[House]]/All_India_Index_Upto_April23__1[[#This Row],[TOTAL BROADER CATEGORIES]]</f>
        <v>0.10204494837011539</v>
      </c>
      <c r="AI102" s="2">
        <f>All_India_Index_Upto_April23__1[[#This Row],[Cloth]]/All_India_Index_Upto_April23__1[[#This Row],[TOTAL BROADER CATEGORIES]]</f>
        <v>9.8189916987244372E-2</v>
      </c>
      <c r="AJ102" s="2">
        <f>All_India_Index_Upto_April23__1[[#This Row],[Food]]/All_India_Index_Upto_April23__1[[#This Row],[TOTAL BROADER CATEGORIES]]</f>
        <v>0.10749220489977726</v>
      </c>
      <c r="AK102" s="2">
        <f>All_India_Index_Upto_April23__1[[#This Row],[Miscellaneous]]/All_India_Index_Upto_April23__1[[#This Row],[TOTAL BROADER CATEGORIES]]</f>
        <v>9.85073901599514E-2</v>
      </c>
      <c r="AL102" s="2">
        <f>All_India_Index_Upto_April23__1[[#This Row],[Personal care and effects]]/All_India_Index_Upto_April23__1[[#This Row],[TOTAL BROADER CATEGORIES]]</f>
        <v>0.10558250658027939</v>
      </c>
      <c r="AM102" s="2">
        <f>All_India_Index_Upto_April23__1[[#This Row],[Education]]/All_India_Index_Upto_April23__1[[#This Row],[TOTAL BROADER CATEGORIES]]</f>
        <v>0.10578659647701963</v>
      </c>
      <c r="AN102" s="2">
        <f>All_India_Index_Upto_April23__1[[#This Row],[Recreation and amusement]]/All_India_Index_Upto_April23__1[[#This Row],[TOTAL BROADER CATEGORIES]]</f>
        <v>9.6058311399068619E-2</v>
      </c>
      <c r="AO102" s="2">
        <f>All_India_Index_Upto_April23__1[[#This Row],[Transport and communication]]/All_India_Index_Upto_April23__1[[#This Row],[TOTAL BROADER CATEGORIES]]</f>
        <v>9.1092123911723014E-2</v>
      </c>
      <c r="AP102" s="2">
        <f>All_India_Index_Upto_April23__1[[#This Row],[Health]]/All_India_Index_Upto_April23__1[[#This Row],[TOTAL BROADER CATEGORIES]]</f>
        <v>0.10116055881757438</v>
      </c>
      <c r="AQ102" s="2">
        <f>All_India_Index_Upto_April23__1[[#This Row],[Fuel and light]]/All_India_Index_Upto_April23__1[[#This Row],[TOTAL BROADER CATEGORIES]]</f>
        <v>9.4085442397246408E-2</v>
      </c>
      <c r="AR102">
        <f>MONTH(1 &amp; All_India_Index_Upto_April23__1[[#This Row],[Month]])</f>
        <v>8</v>
      </c>
      <c r="AS102" s="19" t="str">
        <f>All_India_Index_Upto_April23__1[[#This Row],[MONTH IN NUM]]&amp;"/"&amp;All_India_Index_Upto_April23__1[[#This Row],[Year]]</f>
        <v>8/2020</v>
      </c>
      <c r="AT10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146.68571428571428</v>
      </c>
      <c r="AU10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1469.9404761904764</v>
      </c>
    </row>
    <row r="103" spans="1:47" x14ac:dyDescent="0.3">
      <c r="A103" t="s">
        <v>33</v>
      </c>
      <c r="B103">
        <v>2020</v>
      </c>
      <c r="C103" t="s">
        <v>40</v>
      </c>
      <c r="D103">
        <v>148.9</v>
      </c>
      <c r="E103">
        <v>190.9</v>
      </c>
      <c r="F103">
        <v>150.80000000000001</v>
      </c>
      <c r="G103">
        <v>153.30000000000001</v>
      </c>
      <c r="H103">
        <v>137.4</v>
      </c>
      <c r="I103">
        <v>150.4</v>
      </c>
      <c r="J103">
        <v>178.1</v>
      </c>
      <c r="K103">
        <v>150.4</v>
      </c>
      <c r="L103">
        <v>115.1</v>
      </c>
      <c r="M103">
        <v>160</v>
      </c>
      <c r="N103">
        <v>140.6</v>
      </c>
      <c r="O103">
        <v>162.30000000000001</v>
      </c>
      <c r="P103">
        <v>157</v>
      </c>
      <c r="Q103">
        <v>182.6</v>
      </c>
      <c r="R103">
        <v>153.1</v>
      </c>
      <c r="S103">
        <v>143.4</v>
      </c>
      <c r="T103">
        <v>151.69999999999999</v>
      </c>
      <c r="U103">
        <v>155.5</v>
      </c>
      <c r="V103">
        <v>143</v>
      </c>
      <c r="W103">
        <v>148.4</v>
      </c>
      <c r="X103">
        <v>155</v>
      </c>
      <c r="Y103">
        <v>138.5</v>
      </c>
      <c r="Z103">
        <v>146</v>
      </c>
      <c r="AA103">
        <v>158.5</v>
      </c>
      <c r="AB103">
        <v>154.30000000000001</v>
      </c>
      <c r="AC103">
        <v>149</v>
      </c>
      <c r="AD103">
        <v>153.9</v>
      </c>
      <c r="AE103">
        <v>155.55714285714285</v>
      </c>
      <c r="AF103">
        <v>149.4</v>
      </c>
      <c r="AG103">
        <v>151.94999999999999</v>
      </c>
      <c r="AH103" s="2">
        <f>All_India_Index_Upto_April23__1[[#This Row],[House]]/All_India_Index_Upto_April23__1[[#This Row],[TOTAL BROADER CATEGORIES]]</f>
        <v>0.10121854317239935</v>
      </c>
      <c r="AI103" s="2">
        <f>All_India_Index_Upto_April23__1[[#This Row],[Cloth]]/All_India_Index_Upto_April23__1[[#This Row],[TOTAL BROADER CATEGORIES]]</f>
        <v>9.9519910167531853E-2</v>
      </c>
      <c r="AJ103" s="2">
        <f>All_India_Index_Upto_April23__1[[#This Row],[Food]]/All_India_Index_Upto_April23__1[[#This Row],[TOTAL BROADER CATEGORIES]]</f>
        <v>0.10362137137256208</v>
      </c>
      <c r="AK103" s="2">
        <f>All_India_Index_Upto_April23__1[[#This Row],[Miscellaneous]]/All_India_Index_Upto_April23__1[[#This Row],[TOTAL BROADER CATEGORIES]]</f>
        <v>9.9253457931474193E-2</v>
      </c>
      <c r="AL103" s="2">
        <f>All_India_Index_Upto_April23__1[[#This Row],[Personal care and effects]]/All_India_Index_Upto_April23__1[[#This Row],[TOTAL BROADER CATEGORIES]]</f>
        <v>0.10278395005923806</v>
      </c>
      <c r="AM103" s="2">
        <f>All_India_Index_Upto_April23__1[[#This Row],[Education]]/All_India_Index_Upto_April23__1[[#This Row],[TOTAL BROADER CATEGORIES]]</f>
        <v>0.10558169853784335</v>
      </c>
      <c r="AN103" s="2">
        <f>All_India_Index_Upto_April23__1[[#This Row],[Recreation and amusement]]/All_India_Index_Upto_April23__1[[#This Row],[TOTAL BROADER CATEGORIES]]</f>
        <v>9.7255066161041834E-2</v>
      </c>
      <c r="AO103" s="2">
        <f>All_India_Index_Upto_April23__1[[#This Row],[Transport and communication]]/All_India_Index_Upto_April23__1[[#This Row],[TOTAL BROADER CATEGORIES]]</f>
        <v>9.2259086734960916E-2</v>
      </c>
      <c r="AP103" s="2">
        <f>All_India_Index_Upto_April23__1[[#This Row],[Health]]/All_India_Index_Upto_April23__1[[#This Row],[TOTAL BROADER CATEGORIES]]</f>
        <v>0.10325024147233892</v>
      </c>
      <c r="AQ103" s="2">
        <f>All_India_Index_Upto_April23__1[[#This Row],[Fuel and light]]/All_India_Index_Upto_April23__1[[#This Row],[TOTAL BROADER CATEGORIES]]</f>
        <v>9.5256674390609461E-2</v>
      </c>
      <c r="AR103">
        <f>MONTH(1 &amp; All_India_Index_Upto_April23__1[[#This Row],[Month]])</f>
        <v>8</v>
      </c>
      <c r="AS103" s="19" t="str">
        <f>All_India_Index_Upto_April23__1[[#This Row],[MONTH IN NUM]]&amp;"/"&amp;All_India_Index_Upto_April23__1[[#This Row],[Year]]</f>
        <v>8/2020</v>
      </c>
      <c r="AT10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150.51428571428571</v>
      </c>
      <c r="AU10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1501.2071428571428</v>
      </c>
    </row>
    <row r="104" spans="1:47" x14ac:dyDescent="0.3">
      <c r="A104" t="s">
        <v>33</v>
      </c>
      <c r="B104">
        <v>2020</v>
      </c>
      <c r="C104" t="s">
        <v>39</v>
      </c>
      <c r="D104">
        <v>149.6</v>
      </c>
      <c r="E104">
        <v>192.7</v>
      </c>
      <c r="F104">
        <v>151.4</v>
      </c>
      <c r="G104">
        <v>153.30000000000001</v>
      </c>
      <c r="H104">
        <v>136.30000000000001</v>
      </c>
      <c r="I104">
        <v>147.19999999999999</v>
      </c>
      <c r="J104">
        <v>156.5</v>
      </c>
      <c r="K104">
        <v>150.9</v>
      </c>
      <c r="L104">
        <v>114.2</v>
      </c>
      <c r="M104">
        <v>159.5</v>
      </c>
      <c r="N104">
        <v>139.4</v>
      </c>
      <c r="O104">
        <v>161.80000000000001</v>
      </c>
      <c r="P104">
        <v>154</v>
      </c>
      <c r="Q104">
        <v>183.5</v>
      </c>
      <c r="R104">
        <v>152.5</v>
      </c>
      <c r="S104">
        <v>144.4</v>
      </c>
      <c r="T104">
        <v>151.4</v>
      </c>
      <c r="U104">
        <v>154.69999999999999</v>
      </c>
      <c r="V104">
        <v>141.9</v>
      </c>
      <c r="W104">
        <v>146.4</v>
      </c>
      <c r="X104">
        <v>154.4</v>
      </c>
      <c r="Y104">
        <v>135</v>
      </c>
      <c r="Z104">
        <v>148.30000000000001</v>
      </c>
      <c r="AA104">
        <v>156.4</v>
      </c>
      <c r="AB104">
        <v>151.6</v>
      </c>
      <c r="AC104">
        <v>147</v>
      </c>
      <c r="AD104">
        <v>151.80000000000001</v>
      </c>
      <c r="AE104">
        <v>153.59285714285716</v>
      </c>
      <c r="AF104">
        <v>149.43333333333331</v>
      </c>
      <c r="AG104">
        <v>150.55000000000001</v>
      </c>
      <c r="AH104" s="2">
        <f>All_India_Index_Upto_April23__1[[#This Row],[House]]/All_India_Index_Upto_April23__1[[#This Row],[TOTAL BROADER CATEGORIES]]</f>
        <v>0.10116409667314098</v>
      </c>
      <c r="AI104" s="2">
        <f>All_India_Index_Upto_April23__1[[#This Row],[Cloth]]/All_India_Index_Upto_April23__1[[#This Row],[TOTAL BROADER CATEGORIES]]</f>
        <v>0.10041373749268037</v>
      </c>
      <c r="AJ104" s="2">
        <f>All_India_Index_Upto_April23__1[[#This Row],[Food]]/All_India_Index_Upto_April23__1[[#This Row],[TOTAL BROADER CATEGORIES]]</f>
        <v>0.10320878544207195</v>
      </c>
      <c r="AK104" s="2">
        <f>All_India_Index_Upto_April23__1[[#This Row],[Miscellaneous]]/All_India_Index_Upto_April23__1[[#This Row],[TOTAL BROADER CATEGORIES]]</f>
        <v>9.8778626442721507E-2</v>
      </c>
      <c r="AL104" s="2">
        <f>All_India_Index_Upto_April23__1[[#This Row],[Personal care and effects]]/All_India_Index_Upto_April23__1[[#This Row],[TOTAL BROADER CATEGORIES]]</f>
        <v>0.10186965829058897</v>
      </c>
      <c r="AM104" s="2">
        <f>All_India_Index_Upto_April23__1[[#This Row],[Education]]/All_India_Index_Upto_April23__1[[#This Row],[TOTAL BROADER CATEGORIES]]</f>
        <v>0.10509508282749418</v>
      </c>
      <c r="AN104" s="2">
        <f>All_India_Index_Upto_April23__1[[#This Row],[Recreation and amusement]]/All_India_Index_Upto_April23__1[[#This Row],[TOTAL BROADER CATEGORIES]]</f>
        <v>9.9652178921466675E-2</v>
      </c>
      <c r="AO104" s="2">
        <f>All_India_Index_Upto_April23__1[[#This Row],[Transport and communication]]/All_India_Index_Upto_April23__1[[#This Row],[TOTAL BROADER CATEGORIES]]</f>
        <v>9.0715065100458528E-2</v>
      </c>
      <c r="AP104" s="2">
        <f>All_India_Index_Upto_April23__1[[#This Row],[Health]]/All_India_Index_Upto_April23__1[[#This Row],[TOTAL BROADER CATEGORIES]]</f>
        <v>0.10375115593711701</v>
      </c>
      <c r="AQ104" s="2">
        <f>All_India_Index_Upto_April23__1[[#This Row],[Fuel and light]]/All_India_Index_Upto_April23__1[[#This Row],[TOTAL BROADER CATEGORIES]]</f>
        <v>9.5351612872259739E-2</v>
      </c>
      <c r="AR104">
        <f>MONTH(1 &amp; All_India_Index_Upto_April23__1[[#This Row],[Month]])</f>
        <v>7</v>
      </c>
      <c r="AS104" s="19" t="str">
        <f>All_India_Index_Upto_April23__1[[#This Row],[MONTH IN NUM]]&amp;"/"&amp;All_India_Index_Upto_April23__1[[#This Row],[Year]]</f>
        <v>7/2020</v>
      </c>
      <c r="AT10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149.67142857142858</v>
      </c>
      <c r="AU10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1488.1761904761906</v>
      </c>
    </row>
    <row r="105" spans="1:47" x14ac:dyDescent="0.3">
      <c r="A105" t="s">
        <v>30</v>
      </c>
      <c r="B105">
        <v>2020</v>
      </c>
      <c r="C105" t="s">
        <v>39</v>
      </c>
      <c r="D105">
        <v>148.19999999999999</v>
      </c>
      <c r="E105">
        <v>190.3</v>
      </c>
      <c r="F105">
        <v>149.4</v>
      </c>
      <c r="G105">
        <v>153.30000000000001</v>
      </c>
      <c r="H105">
        <v>138.19999999999999</v>
      </c>
      <c r="I105">
        <v>143.19999999999999</v>
      </c>
      <c r="J105">
        <v>148.9</v>
      </c>
      <c r="K105">
        <v>150.30000000000001</v>
      </c>
      <c r="L105">
        <v>113.2</v>
      </c>
      <c r="M105">
        <v>159.80000000000001</v>
      </c>
      <c r="N105">
        <v>142.1</v>
      </c>
      <c r="O105">
        <v>161.80000000000001</v>
      </c>
      <c r="P105">
        <v>152.30000000000001</v>
      </c>
      <c r="Q105">
        <v>182.4</v>
      </c>
      <c r="R105">
        <v>154.69999999999999</v>
      </c>
      <c r="S105">
        <v>150</v>
      </c>
      <c r="T105">
        <v>154.1</v>
      </c>
      <c r="U105">
        <v>140.85</v>
      </c>
      <c r="V105">
        <v>144.9</v>
      </c>
      <c r="W105">
        <v>151.69999999999999</v>
      </c>
      <c r="X105">
        <v>158.19999999999999</v>
      </c>
      <c r="Y105">
        <v>141.4</v>
      </c>
      <c r="Z105">
        <v>153.19999999999999</v>
      </c>
      <c r="AA105">
        <v>161.80000000000001</v>
      </c>
      <c r="AB105">
        <v>151.19999999999999</v>
      </c>
      <c r="AC105">
        <v>151.69999999999999</v>
      </c>
      <c r="AD105">
        <v>152.69999999999999</v>
      </c>
      <c r="AE105">
        <v>152.3857142857143</v>
      </c>
      <c r="AF105">
        <v>152.93333333333331</v>
      </c>
      <c r="AG105">
        <v>146.27499999999998</v>
      </c>
      <c r="AH105" s="2">
        <f>All_India_Index_Upto_April23__1[[#This Row],[House]]/All_India_Index_Upto_April23__1[[#This Row],[TOTAL BROADER CATEGORIES]]</f>
        <v>9.661530719360252E-2</v>
      </c>
      <c r="AI105" s="2">
        <f>All_India_Index_Upto_April23__1[[#This Row],[Cloth]]/All_India_Index_Upto_April23__1[[#This Row],[TOTAL BROADER CATEGORIES]]</f>
        <v>0.10101316684424277</v>
      </c>
      <c r="AJ105" s="2">
        <f>All_India_Index_Upto_April23__1[[#This Row],[Food]]/All_India_Index_Upto_April23__1[[#This Row],[TOTAL BROADER CATEGORIES]]</f>
        <v>0.10065146195611577</v>
      </c>
      <c r="AK105" s="2">
        <f>All_India_Index_Upto_April23__1[[#This Row],[Miscellaneous]]/All_India_Index_Upto_April23__1[[#This Row],[TOTAL BROADER CATEGORIES]]</f>
        <v>0.10019854453098276</v>
      </c>
      <c r="AL105" s="2">
        <f>All_India_Index_Upto_April23__1[[#This Row],[Personal care and effects]]/All_India_Index_Upto_April23__1[[#This Row],[TOTAL BROADER CATEGORIES]]</f>
        <v>9.9868292241823295E-2</v>
      </c>
      <c r="AM105" s="2">
        <f>All_India_Index_Upto_April23__1[[#This Row],[Education]]/All_India_Index_Upto_April23__1[[#This Row],[TOTAL BROADER CATEGORIES]]</f>
        <v>0.10686964077200405</v>
      </c>
      <c r="AN105" s="2">
        <f>All_India_Index_Upto_April23__1[[#This Row],[Recreation and amusement]]/All_India_Index_Upto_April23__1[[#This Row],[TOTAL BROADER CATEGORIES]]</f>
        <v>0.10118930139846116</v>
      </c>
      <c r="AO105" s="2">
        <f>All_India_Index_Upto_April23__1[[#This Row],[Transport and communication]]/All_India_Index_Upto_April23__1[[#This Row],[TOTAL BROADER CATEGORIES]]</f>
        <v>9.3395347374297721E-2</v>
      </c>
      <c r="AP105" s="2">
        <f>All_India_Index_Upto_April23__1[[#This Row],[Health]]/All_India_Index_Upto_April23__1[[#This Row],[TOTAL BROADER CATEGORIES]]</f>
        <v>0.10449182429005585</v>
      </c>
      <c r="AQ105" s="2">
        <f>All_India_Index_Upto_April23__1[[#This Row],[Fuel and light]]/All_India_Index_Upto_April23__1[[#This Row],[TOTAL BROADER CATEGORIES]]</f>
        <v>9.5707113398414007E-2</v>
      </c>
      <c r="AR105">
        <f>MONTH(1 &amp; All_India_Index_Upto_April23__1[[#This Row],[Month]])</f>
        <v>7</v>
      </c>
      <c r="AS105" s="19" t="str">
        <f>All_India_Index_Upto_April23__1[[#This Row],[MONTH IN NUM]]&amp;"/"&amp;All_India_Index_Upto_April23__1[[#This Row],[Year]]</f>
        <v>7/2020</v>
      </c>
      <c r="AT10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151.15</v>
      </c>
      <c r="AU10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1513.9940476190477</v>
      </c>
    </row>
    <row r="106" spans="1:47" x14ac:dyDescent="0.3">
      <c r="A106" t="s">
        <v>32</v>
      </c>
      <c r="B106">
        <v>2020</v>
      </c>
      <c r="C106" t="s">
        <v>39</v>
      </c>
      <c r="D106">
        <v>152.69999999999999</v>
      </c>
      <c r="E106">
        <v>197</v>
      </c>
      <c r="F106">
        <v>154.6</v>
      </c>
      <c r="G106">
        <v>153.4</v>
      </c>
      <c r="H106">
        <v>132.9</v>
      </c>
      <c r="I106">
        <v>151.80000000000001</v>
      </c>
      <c r="J106">
        <v>171.2</v>
      </c>
      <c r="K106">
        <v>152</v>
      </c>
      <c r="L106">
        <v>116.3</v>
      </c>
      <c r="M106">
        <v>158.80000000000001</v>
      </c>
      <c r="N106">
        <v>135.6</v>
      </c>
      <c r="O106">
        <v>161.69999999999999</v>
      </c>
      <c r="P106">
        <v>157</v>
      </c>
      <c r="Q106">
        <v>186.7</v>
      </c>
      <c r="R106">
        <v>149.1</v>
      </c>
      <c r="S106">
        <v>136.6</v>
      </c>
      <c r="T106">
        <v>147.19999999999999</v>
      </c>
      <c r="U106">
        <v>154.69999999999999</v>
      </c>
      <c r="V106">
        <v>137.1</v>
      </c>
      <c r="W106">
        <v>140.4</v>
      </c>
      <c r="X106">
        <v>148.1</v>
      </c>
      <c r="Y106">
        <v>129.30000000000001</v>
      </c>
      <c r="Z106">
        <v>144.5</v>
      </c>
      <c r="AA106">
        <v>152.5</v>
      </c>
      <c r="AB106">
        <v>152.19999999999999</v>
      </c>
      <c r="AC106">
        <v>142</v>
      </c>
      <c r="AD106">
        <v>150.80000000000001</v>
      </c>
      <c r="AE106">
        <v>155.83571428571426</v>
      </c>
      <c r="AF106">
        <v>144.29999999999998</v>
      </c>
      <c r="AG106">
        <v>147.55000000000001</v>
      </c>
      <c r="AH106" s="2">
        <f>All_India_Index_Upto_April23__1[[#This Row],[House]]/All_India_Index_Upto_April23__1[[#This Row],[TOTAL BROADER CATEGORIES]]</f>
        <v>0.10152157032348115</v>
      </c>
      <c r="AI106" s="2">
        <f>All_India_Index_Upto_April23__1[[#This Row],[Cloth]]/All_India_Index_Upto_April23__1[[#This Row],[TOTAL BROADER CATEGORIES]]</f>
        <v>9.9285412386840577E-2</v>
      </c>
      <c r="AJ106" s="2">
        <f>All_India_Index_Upto_April23__1[[#This Row],[Food]]/All_India_Index_Upto_April23__1[[#This Row],[TOTAL BROADER CATEGORIES]]</f>
        <v>0.1072225444037076</v>
      </c>
      <c r="AK106" s="2">
        <f>All_India_Index_Upto_April23__1[[#This Row],[Miscellaneous]]/All_India_Index_Upto_April23__1[[#This Row],[TOTAL BROADER CATEGORIES]]</f>
        <v>9.7702900616294969E-2</v>
      </c>
      <c r="AL106" s="2">
        <f>All_India_Index_Upto_April23__1[[#This Row],[Personal care and effects]]/All_India_Index_Upto_April23__1[[#This Row],[TOTAL BROADER CATEGORIES]]</f>
        <v>0.10472099629436685</v>
      </c>
      <c r="AM106" s="2">
        <f>All_India_Index_Upto_April23__1[[#This Row],[Education]]/All_India_Index_Upto_April23__1[[#This Row],[TOTAL BROADER CATEGORIES]]</f>
        <v>0.10492741087313368</v>
      </c>
      <c r="AN106" s="2">
        <f>All_India_Index_Upto_April23__1[[#This Row],[Recreation and amusement]]/All_India_Index_Upto_April23__1[[#This Row],[TOTAL BROADER CATEGORIES]]</f>
        <v>9.9423022106018472E-2</v>
      </c>
      <c r="AO106" s="2">
        <f>All_India_Index_Upto_April23__1[[#This Row],[Transport and communication]]/All_India_Index_Upto_April23__1[[#This Row],[TOTAL BROADER CATEGORIES]]</f>
        <v>8.8964683448499574E-2</v>
      </c>
      <c r="AP106" s="2">
        <f>All_India_Index_Upto_April23__1[[#This Row],[Health]]/All_India_Index_Upto_April23__1[[#This Row],[TOTAL BROADER CATEGORIES]]</f>
        <v>0.10189999705122031</v>
      </c>
      <c r="AQ106" s="2">
        <f>All_India_Index_Upto_April23__1[[#This Row],[Fuel and light]]/All_India_Index_Upto_April23__1[[#This Row],[TOTAL BROADER CATEGORIES]]</f>
        <v>9.4331462496436896E-2</v>
      </c>
      <c r="AR106">
        <f>MONTH(1 &amp; All_India_Index_Upto_April23__1[[#This Row],[Month]])</f>
        <v>7</v>
      </c>
      <c r="AS106" s="19" t="str">
        <f>All_India_Index_Upto_April23__1[[#This Row],[MONTH IN NUM]]&amp;"/"&amp;All_India_Index_Upto_April23__1[[#This Row],[Year]]</f>
        <v>7/2020</v>
      </c>
      <c r="AT10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145.37142857142859</v>
      </c>
      <c r="AU10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1453.3857142857141</v>
      </c>
    </row>
    <row r="107" spans="1:47" x14ac:dyDescent="0.3">
      <c r="A107" t="s">
        <v>32</v>
      </c>
      <c r="B107">
        <v>2020</v>
      </c>
      <c r="C107" t="s">
        <v>38</v>
      </c>
      <c r="D107">
        <v>152.69999999999999</v>
      </c>
      <c r="E107">
        <v>197</v>
      </c>
      <c r="F107">
        <v>154.6</v>
      </c>
      <c r="G107">
        <v>153.4</v>
      </c>
      <c r="H107">
        <v>132.9</v>
      </c>
      <c r="I107">
        <v>151.80000000000001</v>
      </c>
      <c r="J107">
        <v>171.2</v>
      </c>
      <c r="K107">
        <v>152</v>
      </c>
      <c r="L107">
        <v>116.3</v>
      </c>
      <c r="M107">
        <v>158.80000000000001</v>
      </c>
      <c r="N107">
        <v>135.6</v>
      </c>
      <c r="O107">
        <v>161.69999999999999</v>
      </c>
      <c r="P107">
        <v>157</v>
      </c>
      <c r="Q107">
        <v>186.7</v>
      </c>
      <c r="R107">
        <v>149.1</v>
      </c>
      <c r="S107">
        <v>136.6</v>
      </c>
      <c r="T107">
        <v>147.19999999999999</v>
      </c>
      <c r="U107">
        <v>154.69999999999999</v>
      </c>
      <c r="V107">
        <v>137.1</v>
      </c>
      <c r="W107">
        <v>140.4</v>
      </c>
      <c r="X107">
        <v>148.1</v>
      </c>
      <c r="Y107">
        <v>129.30000000000001</v>
      </c>
      <c r="Z107">
        <v>144.5</v>
      </c>
      <c r="AA107">
        <v>152.5</v>
      </c>
      <c r="AB107">
        <v>152.19999999999999</v>
      </c>
      <c r="AC107">
        <v>142</v>
      </c>
      <c r="AD107" s="1">
        <v>150.80000000000001</v>
      </c>
      <c r="AE107" s="1">
        <v>155.83571428571426</v>
      </c>
      <c r="AF107" s="1">
        <v>144.29999999999998</v>
      </c>
      <c r="AG107" s="1">
        <v>147.55000000000001</v>
      </c>
      <c r="AH107" s="2">
        <f>All_India_Index_Upto_April23__1[[#This Row],[House]]/All_India_Index_Upto_April23__1[[#This Row],[TOTAL BROADER CATEGORIES]]</f>
        <v>0.10152157032348115</v>
      </c>
      <c r="AI107" s="2">
        <f>All_India_Index_Upto_April23__1[[#This Row],[Cloth]]/All_India_Index_Upto_April23__1[[#This Row],[TOTAL BROADER CATEGORIES]]</f>
        <v>9.9285412386840577E-2</v>
      </c>
      <c r="AJ107" s="2">
        <f>All_India_Index_Upto_April23__1[[#This Row],[Food]]/All_India_Index_Upto_April23__1[[#This Row],[TOTAL BROADER CATEGORIES]]</f>
        <v>0.1072225444037076</v>
      </c>
      <c r="AK107" s="2">
        <f>All_India_Index_Upto_April23__1[[#This Row],[Miscellaneous]]/All_India_Index_Upto_April23__1[[#This Row],[TOTAL BROADER CATEGORIES]]</f>
        <v>9.7702900616294969E-2</v>
      </c>
      <c r="AL107" s="2">
        <f>All_India_Index_Upto_April23__1[[#This Row],[Personal care and effects]]/All_India_Index_Upto_April23__1[[#This Row],[TOTAL BROADER CATEGORIES]]</f>
        <v>0.10472099629436685</v>
      </c>
      <c r="AM107" s="2">
        <f>All_India_Index_Upto_April23__1[[#This Row],[Education]]/All_India_Index_Upto_April23__1[[#This Row],[TOTAL BROADER CATEGORIES]]</f>
        <v>0.10492741087313368</v>
      </c>
      <c r="AN107" s="2">
        <f>All_India_Index_Upto_April23__1[[#This Row],[Recreation and amusement]]/All_India_Index_Upto_April23__1[[#This Row],[TOTAL BROADER CATEGORIES]]</f>
        <v>9.9423022106018472E-2</v>
      </c>
      <c r="AO107" s="2">
        <f>All_India_Index_Upto_April23__1[[#This Row],[Transport and communication]]/All_India_Index_Upto_April23__1[[#This Row],[TOTAL BROADER CATEGORIES]]</f>
        <v>8.8964683448499574E-2</v>
      </c>
      <c r="AP107" s="2">
        <f>All_India_Index_Upto_April23__1[[#This Row],[Health]]/All_India_Index_Upto_April23__1[[#This Row],[TOTAL BROADER CATEGORIES]]</f>
        <v>0.10189999705122031</v>
      </c>
      <c r="AQ107" s="2">
        <f>All_India_Index_Upto_April23__1[[#This Row],[Fuel and light]]/All_India_Index_Upto_April23__1[[#This Row],[TOTAL BROADER CATEGORIES]]</f>
        <v>9.4331462496436896E-2</v>
      </c>
      <c r="AR107">
        <f>MONTH(1 &amp; All_India_Index_Upto_April23__1[[#This Row],[Month]])</f>
        <v>6</v>
      </c>
      <c r="AS107" s="19" t="str">
        <f>All_India_Index_Upto_April23__1[[#This Row],[MONTH IN NUM]]&amp;"/"&amp;All_India_Index_Upto_April23__1[[#This Row],[Year]]</f>
        <v>6/2020</v>
      </c>
      <c r="AT10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145.37142857142859</v>
      </c>
      <c r="AU10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1453.3857142857141</v>
      </c>
    </row>
    <row r="108" spans="1:47" x14ac:dyDescent="0.3">
      <c r="A108" t="s">
        <v>33</v>
      </c>
      <c r="B108">
        <v>2020</v>
      </c>
      <c r="C108" t="s">
        <v>38</v>
      </c>
      <c r="D108">
        <v>149.6</v>
      </c>
      <c r="E108">
        <v>192.7</v>
      </c>
      <c r="F108">
        <v>151.4</v>
      </c>
      <c r="G108">
        <v>153.30000000000001</v>
      </c>
      <c r="H108">
        <v>136.30000000000001</v>
      </c>
      <c r="I108">
        <v>147.19999999999999</v>
      </c>
      <c r="J108">
        <v>156.5</v>
      </c>
      <c r="K108">
        <v>150.9</v>
      </c>
      <c r="L108">
        <v>114.2</v>
      </c>
      <c r="M108">
        <v>159.5</v>
      </c>
      <c r="N108">
        <v>139.4</v>
      </c>
      <c r="O108">
        <v>161.80000000000001</v>
      </c>
      <c r="P108">
        <v>154</v>
      </c>
      <c r="Q108">
        <v>183.5</v>
      </c>
      <c r="R108">
        <v>152.5</v>
      </c>
      <c r="S108">
        <v>144.4</v>
      </c>
      <c r="T108">
        <v>151.4</v>
      </c>
      <c r="U108">
        <v>154.69999999999999</v>
      </c>
      <c r="V108">
        <v>141.9</v>
      </c>
      <c r="W108">
        <v>146.4</v>
      </c>
      <c r="X108">
        <v>154.4</v>
      </c>
      <c r="Y108">
        <v>135</v>
      </c>
      <c r="Z108">
        <v>148.30000000000001</v>
      </c>
      <c r="AA108">
        <v>156.4</v>
      </c>
      <c r="AB108">
        <v>151.6</v>
      </c>
      <c r="AC108">
        <v>147</v>
      </c>
      <c r="AD108" s="1">
        <v>151.80000000000001</v>
      </c>
      <c r="AE108" s="1">
        <v>153.59285714285716</v>
      </c>
      <c r="AF108" s="1">
        <v>149.43333333333331</v>
      </c>
      <c r="AG108" s="1">
        <v>150.55000000000001</v>
      </c>
      <c r="AH108" s="2">
        <f>All_India_Index_Upto_April23__1[[#This Row],[House]]/All_India_Index_Upto_April23__1[[#This Row],[TOTAL BROADER CATEGORIES]]</f>
        <v>0.10116409667314098</v>
      </c>
      <c r="AI108" s="2">
        <f>All_India_Index_Upto_April23__1[[#This Row],[Cloth]]/All_India_Index_Upto_April23__1[[#This Row],[TOTAL BROADER CATEGORIES]]</f>
        <v>0.10041373749268037</v>
      </c>
      <c r="AJ108" s="2">
        <f>All_India_Index_Upto_April23__1[[#This Row],[Food]]/All_India_Index_Upto_April23__1[[#This Row],[TOTAL BROADER CATEGORIES]]</f>
        <v>0.10320878544207195</v>
      </c>
      <c r="AK108" s="2">
        <f>All_India_Index_Upto_April23__1[[#This Row],[Miscellaneous]]/All_India_Index_Upto_April23__1[[#This Row],[TOTAL BROADER CATEGORIES]]</f>
        <v>9.8778626442721507E-2</v>
      </c>
      <c r="AL108" s="2">
        <f>All_India_Index_Upto_April23__1[[#This Row],[Personal care and effects]]/All_India_Index_Upto_April23__1[[#This Row],[TOTAL BROADER CATEGORIES]]</f>
        <v>0.10186965829058897</v>
      </c>
      <c r="AM108" s="2">
        <f>All_India_Index_Upto_April23__1[[#This Row],[Education]]/All_India_Index_Upto_April23__1[[#This Row],[TOTAL BROADER CATEGORIES]]</f>
        <v>0.10509508282749418</v>
      </c>
      <c r="AN108" s="2">
        <f>All_India_Index_Upto_April23__1[[#This Row],[Recreation and amusement]]/All_India_Index_Upto_April23__1[[#This Row],[TOTAL BROADER CATEGORIES]]</f>
        <v>9.9652178921466675E-2</v>
      </c>
      <c r="AO108" s="2">
        <f>All_India_Index_Upto_April23__1[[#This Row],[Transport and communication]]/All_India_Index_Upto_April23__1[[#This Row],[TOTAL BROADER CATEGORIES]]</f>
        <v>9.0715065100458528E-2</v>
      </c>
      <c r="AP108" s="2">
        <f>All_India_Index_Upto_April23__1[[#This Row],[Health]]/All_India_Index_Upto_April23__1[[#This Row],[TOTAL BROADER CATEGORIES]]</f>
        <v>0.10375115593711701</v>
      </c>
      <c r="AQ108" s="2">
        <f>All_India_Index_Upto_April23__1[[#This Row],[Fuel and light]]/All_India_Index_Upto_April23__1[[#This Row],[TOTAL BROADER CATEGORIES]]</f>
        <v>9.5351612872259739E-2</v>
      </c>
      <c r="AR108">
        <f>MONTH(1 &amp; All_India_Index_Upto_April23__1[[#This Row],[Month]])</f>
        <v>6</v>
      </c>
      <c r="AS108" s="19" t="str">
        <f>All_India_Index_Upto_April23__1[[#This Row],[MONTH IN NUM]]&amp;"/"&amp;All_India_Index_Upto_April23__1[[#This Row],[Year]]</f>
        <v>6/2020</v>
      </c>
      <c r="AT10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149.67142857142858</v>
      </c>
      <c r="AU10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1488.1761904761906</v>
      </c>
    </row>
    <row r="109" spans="1:47" x14ac:dyDescent="0.3">
      <c r="A109" t="s">
        <v>30</v>
      </c>
      <c r="B109">
        <v>2020</v>
      </c>
      <c r="C109" t="s">
        <v>38</v>
      </c>
      <c r="D109">
        <v>148.19999999999999</v>
      </c>
      <c r="E109">
        <v>190.3</v>
      </c>
      <c r="F109">
        <v>149.4</v>
      </c>
      <c r="G109">
        <v>153.30000000000001</v>
      </c>
      <c r="H109">
        <v>138.19999999999999</v>
      </c>
      <c r="I109">
        <v>143.19999999999999</v>
      </c>
      <c r="J109">
        <v>148.9</v>
      </c>
      <c r="K109">
        <v>150.30000000000001</v>
      </c>
      <c r="L109">
        <v>113.2</v>
      </c>
      <c r="M109">
        <v>159.80000000000001</v>
      </c>
      <c r="N109">
        <v>142.1</v>
      </c>
      <c r="O109">
        <v>161.80000000000001</v>
      </c>
      <c r="P109">
        <v>152.30000000000001</v>
      </c>
      <c r="Q109">
        <v>182.4</v>
      </c>
      <c r="R109">
        <v>154.69999999999999</v>
      </c>
      <c r="S109">
        <v>150</v>
      </c>
      <c r="T109">
        <v>154.1</v>
      </c>
      <c r="U109">
        <v>140.85</v>
      </c>
      <c r="V109">
        <v>144.9</v>
      </c>
      <c r="W109">
        <v>151.69999999999999</v>
      </c>
      <c r="X109">
        <v>158.19999999999999</v>
      </c>
      <c r="Y109">
        <v>141.4</v>
      </c>
      <c r="Z109">
        <v>153.19999999999999</v>
      </c>
      <c r="AA109">
        <v>161.80000000000001</v>
      </c>
      <c r="AB109">
        <v>151.19999999999999</v>
      </c>
      <c r="AC109">
        <v>151.69999999999999</v>
      </c>
      <c r="AD109" s="1">
        <v>152.69999999999999</v>
      </c>
      <c r="AE109" s="1">
        <v>152.3857142857143</v>
      </c>
      <c r="AF109" s="1">
        <v>152.93333333333331</v>
      </c>
      <c r="AG109" s="1">
        <v>146.27499999999998</v>
      </c>
      <c r="AH109" s="2">
        <f>All_India_Index_Upto_April23__1[[#This Row],[House]]/All_India_Index_Upto_April23__1[[#This Row],[TOTAL BROADER CATEGORIES]]</f>
        <v>9.661530719360252E-2</v>
      </c>
      <c r="AI109" s="2">
        <f>All_India_Index_Upto_April23__1[[#This Row],[Cloth]]/All_India_Index_Upto_April23__1[[#This Row],[TOTAL BROADER CATEGORIES]]</f>
        <v>0.10101316684424277</v>
      </c>
      <c r="AJ109" s="2">
        <f>All_India_Index_Upto_April23__1[[#This Row],[Food]]/All_India_Index_Upto_April23__1[[#This Row],[TOTAL BROADER CATEGORIES]]</f>
        <v>0.10065146195611577</v>
      </c>
      <c r="AK109" s="2">
        <f>All_India_Index_Upto_April23__1[[#This Row],[Miscellaneous]]/All_India_Index_Upto_April23__1[[#This Row],[TOTAL BROADER CATEGORIES]]</f>
        <v>0.10019854453098276</v>
      </c>
      <c r="AL109" s="2">
        <f>All_India_Index_Upto_April23__1[[#This Row],[Personal care and effects]]/All_India_Index_Upto_April23__1[[#This Row],[TOTAL BROADER CATEGORIES]]</f>
        <v>9.9868292241823295E-2</v>
      </c>
      <c r="AM109" s="2">
        <f>All_India_Index_Upto_April23__1[[#This Row],[Education]]/All_India_Index_Upto_April23__1[[#This Row],[TOTAL BROADER CATEGORIES]]</f>
        <v>0.10686964077200405</v>
      </c>
      <c r="AN109" s="2">
        <f>All_India_Index_Upto_April23__1[[#This Row],[Recreation and amusement]]/All_India_Index_Upto_April23__1[[#This Row],[TOTAL BROADER CATEGORIES]]</f>
        <v>0.10118930139846116</v>
      </c>
      <c r="AO109" s="2">
        <f>All_India_Index_Upto_April23__1[[#This Row],[Transport and communication]]/All_India_Index_Upto_April23__1[[#This Row],[TOTAL BROADER CATEGORIES]]</f>
        <v>9.3395347374297721E-2</v>
      </c>
      <c r="AP109" s="2">
        <f>All_India_Index_Upto_April23__1[[#This Row],[Health]]/All_India_Index_Upto_April23__1[[#This Row],[TOTAL BROADER CATEGORIES]]</f>
        <v>0.10449182429005585</v>
      </c>
      <c r="AQ109" s="2">
        <f>All_India_Index_Upto_April23__1[[#This Row],[Fuel and light]]/All_India_Index_Upto_April23__1[[#This Row],[TOTAL BROADER CATEGORIES]]</f>
        <v>9.5707113398414007E-2</v>
      </c>
      <c r="AR109">
        <f>MONTH(1 &amp; All_India_Index_Upto_April23__1[[#This Row],[Month]])</f>
        <v>6</v>
      </c>
      <c r="AS109" s="19" t="str">
        <f>All_India_Index_Upto_April23__1[[#This Row],[MONTH IN NUM]]&amp;"/"&amp;All_India_Index_Upto_April23__1[[#This Row],[Year]]</f>
        <v>6/2020</v>
      </c>
      <c r="AT10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151.15</v>
      </c>
      <c r="AU10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1513.9940476190477</v>
      </c>
    </row>
    <row r="110" spans="1:47" x14ac:dyDescent="0.3">
      <c r="A110" t="s">
        <v>32</v>
      </c>
      <c r="B110">
        <v>2020</v>
      </c>
      <c r="C110" t="s">
        <v>35</v>
      </c>
      <c r="D110">
        <v>146.5</v>
      </c>
      <c r="E110">
        <v>167.5</v>
      </c>
      <c r="F110">
        <v>148.9</v>
      </c>
      <c r="G110">
        <v>151.1</v>
      </c>
      <c r="H110">
        <v>127.5</v>
      </c>
      <c r="I110">
        <v>143.30000000000001</v>
      </c>
      <c r="J110">
        <v>167</v>
      </c>
      <c r="K110">
        <v>139.69999999999999</v>
      </c>
      <c r="L110">
        <v>114.4</v>
      </c>
      <c r="M110">
        <v>151.5</v>
      </c>
      <c r="N110">
        <v>131.9</v>
      </c>
      <c r="O110">
        <v>159.1</v>
      </c>
      <c r="P110">
        <v>150.1</v>
      </c>
      <c r="Q110">
        <v>173.3</v>
      </c>
      <c r="R110">
        <v>147.69999999999999</v>
      </c>
      <c r="S110">
        <v>133.80000000000001</v>
      </c>
      <c r="T110">
        <v>145.6</v>
      </c>
      <c r="U110">
        <v>154.5</v>
      </c>
      <c r="V110">
        <v>141.4</v>
      </c>
      <c r="W110">
        <v>140.80000000000001</v>
      </c>
      <c r="X110">
        <v>145</v>
      </c>
      <c r="Y110">
        <v>124.6</v>
      </c>
      <c r="Z110">
        <v>137.9</v>
      </c>
      <c r="AA110">
        <v>152.5</v>
      </c>
      <c r="AB110">
        <v>145.30000000000001</v>
      </c>
      <c r="AC110">
        <v>138.69999999999999</v>
      </c>
      <c r="AD110" s="1">
        <v>147.30000000000001</v>
      </c>
      <c r="AE110" s="1">
        <v>147.98571428571429</v>
      </c>
      <c r="AF110" s="1">
        <v>142.36666666666667</v>
      </c>
      <c r="AG110" s="1">
        <v>147.65</v>
      </c>
      <c r="AH110" s="2">
        <f>All_India_Index_Upto_April23__1[[#This Row],[House]]/All_India_Index_Upto_April23__1[[#This Row],[TOTAL BROADER CATEGORIES]]</f>
        <v>0.10373033091402391</v>
      </c>
      <c r="AI110" s="2">
        <f>All_India_Index_Upto_April23__1[[#This Row],[Cloth]]/All_India_Index_Upto_April23__1[[#This Row],[TOTAL BROADER CATEGORIES]]</f>
        <v>0.10001856718225446</v>
      </c>
      <c r="AJ110" s="2">
        <f>All_India_Index_Upto_April23__1[[#This Row],[Food]]/All_India_Index_Upto_April23__1[[#This Row],[TOTAL BROADER CATEGORIES]]</f>
        <v>0.10396618431022918</v>
      </c>
      <c r="AK110" s="2">
        <f>All_India_Index_Upto_April23__1[[#This Row],[Miscellaneous]]/All_India_Index_Upto_April23__1[[#This Row],[TOTAL BROADER CATEGORIES]]</f>
        <v>9.7442579734338744E-2</v>
      </c>
      <c r="AL110" s="2">
        <f>All_India_Index_Upto_April23__1[[#This Row],[Personal care and effects]]/All_India_Index_Upto_April23__1[[#This Row],[TOTAL BROADER CATEGORIES]]</f>
        <v>0.10207935714058702</v>
      </c>
      <c r="AM110" s="2">
        <f>All_India_Index_Upto_April23__1[[#This Row],[Education]]/All_India_Index_Upto_April23__1[[#This Row],[TOTAL BROADER CATEGORIES]]</f>
        <v>0.10713765976558513</v>
      </c>
      <c r="AN110" s="2">
        <f>All_India_Index_Upto_April23__1[[#This Row],[Recreation and amusement]]/All_India_Index_Upto_April23__1[[#This Row],[TOTAL BROADER CATEGORIES]]</f>
        <v>9.6880546109338952E-2</v>
      </c>
      <c r="AO110" s="2">
        <f>All_India_Index_Upto_April23__1[[#This Row],[Transport and communication]]/All_India_Index_Upto_April23__1[[#This Row],[TOTAL BROADER CATEGORIES]]</f>
        <v>8.7536737093717426E-2</v>
      </c>
      <c r="AP110" s="2">
        <f>All_India_Index_Upto_April23__1[[#This Row],[Health]]/All_India_Index_Upto_April23__1[[#This Row],[TOTAL BROADER CATEGORIES]]</f>
        <v>0.10186859453121209</v>
      </c>
      <c r="AQ110" s="2">
        <f>All_India_Index_Upto_April23__1[[#This Row],[Fuel and light]]/All_India_Index_Upto_April23__1[[#This Row],[TOTAL BROADER CATEGORIES]]</f>
        <v>9.9339443218713047E-2</v>
      </c>
      <c r="AR110">
        <f>MONTH(1 &amp; All_India_Index_Upto_April23__1[[#This Row],[Month]])</f>
        <v>3</v>
      </c>
      <c r="AS110" s="19" t="str">
        <f>All_India_Index_Upto_April23__1[[#This Row],[MONTH IN NUM]]&amp;"/"&amp;All_India_Index_Upto_April23__1[[#This Row],[Year]]</f>
        <v>3/2020</v>
      </c>
      <c r="AT11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145.18571428571431</v>
      </c>
      <c r="AU11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1423.402380952381</v>
      </c>
    </row>
    <row r="111" spans="1:47" x14ac:dyDescent="0.3">
      <c r="A111" t="s">
        <v>33</v>
      </c>
      <c r="B111">
        <v>2020</v>
      </c>
      <c r="C111" t="s">
        <v>35</v>
      </c>
      <c r="D111">
        <v>145.1</v>
      </c>
      <c r="E111">
        <v>167</v>
      </c>
      <c r="F111">
        <v>148.1</v>
      </c>
      <c r="G111">
        <v>151.5</v>
      </c>
      <c r="H111">
        <v>131.19999999999999</v>
      </c>
      <c r="I111">
        <v>142.5</v>
      </c>
      <c r="J111">
        <v>157.30000000000001</v>
      </c>
      <c r="K111">
        <v>141.1</v>
      </c>
      <c r="L111">
        <v>113.2</v>
      </c>
      <c r="M111">
        <v>153.19999999999999</v>
      </c>
      <c r="N111">
        <v>136.69999999999999</v>
      </c>
      <c r="O111">
        <v>159.6</v>
      </c>
      <c r="P111">
        <v>148.9</v>
      </c>
      <c r="Q111">
        <v>171.2</v>
      </c>
      <c r="R111">
        <v>151.19999999999999</v>
      </c>
      <c r="S111">
        <v>141.9</v>
      </c>
      <c r="T111">
        <v>149.80000000000001</v>
      </c>
      <c r="U111">
        <v>154.5</v>
      </c>
      <c r="V111">
        <v>148.9</v>
      </c>
      <c r="W111">
        <v>146.4</v>
      </c>
      <c r="X111">
        <v>152.30000000000001</v>
      </c>
      <c r="Y111">
        <v>129.9</v>
      </c>
      <c r="Z111">
        <v>143.69999999999999</v>
      </c>
      <c r="AA111">
        <v>156.1</v>
      </c>
      <c r="AB111">
        <v>145.19999999999999</v>
      </c>
      <c r="AC111">
        <v>143.80000000000001</v>
      </c>
      <c r="AD111" s="1">
        <v>148.6</v>
      </c>
      <c r="AE111" s="1">
        <v>147.6142857142857</v>
      </c>
      <c r="AF111" s="1">
        <v>147.63333333333335</v>
      </c>
      <c r="AG111" s="1">
        <v>150.44999999999999</v>
      </c>
      <c r="AH111" s="2">
        <f>All_India_Index_Upto_April23__1[[#This Row],[House]]/All_India_Index_Upto_April23__1[[#This Row],[TOTAL BROADER CATEGORIES]]</f>
        <v>0.10265436982475862</v>
      </c>
      <c r="AI111" s="2">
        <f>All_India_Index_Upto_April23__1[[#This Row],[Cloth]]/All_India_Index_Upto_April23__1[[#This Row],[TOTAL BROADER CATEGORIES]]</f>
        <v>0.10073251444640656</v>
      </c>
      <c r="AJ111" s="2">
        <f>All_India_Index_Upto_April23__1[[#This Row],[Food]]/All_India_Index_Upto_April23__1[[#This Row],[TOTAL BROADER CATEGORIES]]</f>
        <v>0.10071951796033145</v>
      </c>
      <c r="AK111" s="2">
        <f>All_India_Index_Upto_April23__1[[#This Row],[Miscellaneous]]/All_India_Index_Upto_April23__1[[#This Row],[TOTAL BROADER CATEGORIES]]</f>
        <v>9.8116971623797206E-2</v>
      </c>
      <c r="AL111" s="2">
        <f>All_India_Index_Upto_April23__1[[#This Row],[Personal care and effects]]/All_India_Index_Upto_April23__1[[#This Row],[TOTAL BROADER CATEGORIES]]</f>
        <v>9.9072213350315394E-2</v>
      </c>
      <c r="AM111" s="2">
        <f>All_India_Index_Upto_April23__1[[#This Row],[Education]]/All_India_Index_Upto_April23__1[[#This Row],[TOTAL BROADER CATEGORIES]]</f>
        <v>0.10650945250677846</v>
      </c>
      <c r="AN111" s="2">
        <f>All_India_Index_Upto_April23__1[[#This Row],[Recreation and amusement]]/All_India_Index_Upto_April23__1[[#This Row],[TOTAL BROADER CATEGORIES]]</f>
        <v>9.8048740071903034E-2</v>
      </c>
      <c r="AO111" s="2">
        <f>All_India_Index_Upto_April23__1[[#This Row],[Transport and communication]]/All_India_Index_Upto_April23__1[[#This Row],[TOTAL BROADER CATEGORIES]]</f>
        <v>8.8632785910509437E-2</v>
      </c>
      <c r="AP111" s="2">
        <f>All_India_Index_Upto_April23__1[[#This Row],[Health]]/All_India_Index_Upto_April23__1[[#This Row],[TOTAL BROADER CATEGORIES]]</f>
        <v>0.10391665353480052</v>
      </c>
      <c r="AQ111" s="2">
        <f>All_India_Index_Upto_April23__1[[#This Row],[Fuel and light]]/All_India_Index_Upto_April23__1[[#This Row],[TOTAL BROADER CATEGORIES]]</f>
        <v>0.1015967807703992</v>
      </c>
      <c r="AR111">
        <f>MONTH(1 &amp; All_India_Index_Upto_April23__1[[#This Row],[Month]])</f>
        <v>3</v>
      </c>
      <c r="AS111" s="19" t="str">
        <f>All_India_Index_Upto_April23__1[[#This Row],[MONTH IN NUM]]&amp;"/"&amp;All_India_Index_Upto_April23__1[[#This Row],[Year]]</f>
        <v>3/2020</v>
      </c>
      <c r="AT11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149.82857142857142</v>
      </c>
      <c r="AU11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1465.5976190476192</v>
      </c>
    </row>
    <row r="112" spans="1:47" x14ac:dyDescent="0.3">
      <c r="A112" t="s">
        <v>30</v>
      </c>
      <c r="B112">
        <v>2020</v>
      </c>
      <c r="C112" t="s">
        <v>35</v>
      </c>
      <c r="D112">
        <v>144.4</v>
      </c>
      <c r="E112">
        <v>166.8</v>
      </c>
      <c r="F112">
        <v>147.6</v>
      </c>
      <c r="G112">
        <v>151.69999999999999</v>
      </c>
      <c r="H112">
        <v>133.30000000000001</v>
      </c>
      <c r="I112">
        <v>141.80000000000001</v>
      </c>
      <c r="J112">
        <v>152.30000000000001</v>
      </c>
      <c r="K112">
        <v>141.80000000000001</v>
      </c>
      <c r="L112">
        <v>112.6</v>
      </c>
      <c r="M112">
        <v>154</v>
      </c>
      <c r="N112">
        <v>140.1</v>
      </c>
      <c r="O112">
        <v>160</v>
      </c>
      <c r="P112">
        <v>148.19999999999999</v>
      </c>
      <c r="Q112">
        <v>170.5</v>
      </c>
      <c r="R112">
        <v>153.4</v>
      </c>
      <c r="S112">
        <v>147.6</v>
      </c>
      <c r="T112">
        <v>152.5</v>
      </c>
      <c r="U112">
        <v>140.85</v>
      </c>
      <c r="V112">
        <v>153.4</v>
      </c>
      <c r="W112">
        <v>151.5</v>
      </c>
      <c r="X112">
        <v>156.69999999999999</v>
      </c>
      <c r="Y112">
        <v>135.80000000000001</v>
      </c>
      <c r="Z112">
        <v>151.19999999999999</v>
      </c>
      <c r="AA112">
        <v>161.19999999999999</v>
      </c>
      <c r="AB112">
        <v>145.1</v>
      </c>
      <c r="AC112">
        <v>148.6</v>
      </c>
      <c r="AD112" s="1">
        <v>149.80000000000001</v>
      </c>
      <c r="AE112" s="1">
        <v>147.50714285714281</v>
      </c>
      <c r="AF112" s="1">
        <v>151.16666666666666</v>
      </c>
      <c r="AG112" s="1">
        <v>146.17500000000001</v>
      </c>
      <c r="AH112" s="2">
        <f>All_India_Index_Upto_April23__1[[#This Row],[House]]/All_India_Index_Upto_April23__1[[#This Row],[TOTAL BROADER CATEGORIES]]</f>
        <v>9.765515332607469E-2</v>
      </c>
      <c r="AI112" s="2">
        <f>All_India_Index_Upto_April23__1[[#This Row],[Cloth]]/All_India_Index_Upto_April23__1[[#This Row],[TOTAL BROADER CATEGORIES]]</f>
        <v>0.10098993679579242</v>
      </c>
      <c r="AJ112" s="2">
        <f>All_India_Index_Upto_April23__1[[#This Row],[Food]]/All_India_Index_Upto_April23__1[[#This Row],[TOTAL BROADER CATEGORIES]]</f>
        <v>9.8545118196719572E-2</v>
      </c>
      <c r="AK112" s="2">
        <f>All_India_Index_Upto_April23__1[[#This Row],[Miscellaneous]]/All_India_Index_Upto_April23__1[[#This Row],[TOTAL BROADER CATEGORIES]]</f>
        <v>9.9275223425720524E-2</v>
      </c>
      <c r="AL112" s="2">
        <f>All_India_Index_Upto_April23__1[[#This Row],[Personal care and effects]]/All_India_Index_Upto_April23__1[[#This Row],[TOTAL BROADER CATEGORIES]]</f>
        <v>9.6936977921077042E-2</v>
      </c>
      <c r="AM112" s="2">
        <f>All_India_Index_Upto_April23__1[[#This Row],[Education]]/All_India_Index_Upto_April23__1[[#This Row],[TOTAL BROADER CATEGORIES]]</f>
        <v>0.10769290724243707</v>
      </c>
      <c r="AN112" s="2">
        <f>All_India_Index_Upto_April23__1[[#This Row],[Recreation and amusement]]/All_India_Index_Upto_April23__1[[#This Row],[TOTAL BROADER CATEGORIES]]</f>
        <v>0.10101220580059854</v>
      </c>
      <c r="AO112" s="2">
        <f>All_India_Index_Upto_April23__1[[#This Row],[Transport and communication]]/All_India_Index_Upto_April23__1[[#This Row],[TOTAL BROADER CATEGORIES]]</f>
        <v>9.0723925580167217E-2</v>
      </c>
      <c r="AP112" s="2">
        <f>All_India_Index_Upto_April23__1[[#This Row],[Health]]/All_India_Index_Upto_April23__1[[#This Row],[TOTAL BROADER CATEGORIES]]</f>
        <v>0.10468659159360973</v>
      </c>
      <c r="AQ112" s="2">
        <f>All_India_Index_Upto_April23__1[[#This Row],[Fuel and light]]/All_India_Index_Upto_April23__1[[#This Row],[TOTAL BROADER CATEGORIES]]</f>
        <v>0.10248196011780303</v>
      </c>
      <c r="AR112">
        <f>MONTH(1 &amp; All_India_Index_Upto_April23__1[[#This Row],[Month]])</f>
        <v>3</v>
      </c>
      <c r="AS112" s="19" t="str">
        <f>All_India_Index_Upto_April23__1[[#This Row],[MONTH IN NUM]]&amp;"/"&amp;All_India_Index_Upto_April23__1[[#This Row],[Year]]</f>
        <v>3/2020</v>
      </c>
      <c r="AT11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151.49285714285716</v>
      </c>
      <c r="AU11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1496.8488095238097</v>
      </c>
    </row>
    <row r="113" spans="1:47" x14ac:dyDescent="0.3">
      <c r="A113" t="s">
        <v>30</v>
      </c>
      <c r="B113">
        <v>2020</v>
      </c>
      <c r="C113" t="s">
        <v>34</v>
      </c>
      <c r="D113">
        <v>144.19999999999999</v>
      </c>
      <c r="E113">
        <v>167.5</v>
      </c>
      <c r="F113">
        <v>150.9</v>
      </c>
      <c r="G113">
        <v>150.9</v>
      </c>
      <c r="H113">
        <v>133.69999999999999</v>
      </c>
      <c r="I113">
        <v>140.69999999999999</v>
      </c>
      <c r="J113">
        <v>165.1</v>
      </c>
      <c r="K113">
        <v>141.80000000000001</v>
      </c>
      <c r="L113">
        <v>113.1</v>
      </c>
      <c r="M113">
        <v>152.80000000000001</v>
      </c>
      <c r="N113">
        <v>140.1</v>
      </c>
      <c r="O113">
        <v>159.19999999999999</v>
      </c>
      <c r="P113">
        <v>149.80000000000001</v>
      </c>
      <c r="Q113">
        <v>169.4</v>
      </c>
      <c r="R113">
        <v>153</v>
      </c>
      <c r="S113">
        <v>147.5</v>
      </c>
      <c r="T113">
        <v>152.30000000000001</v>
      </c>
      <c r="U113">
        <v>140.85</v>
      </c>
      <c r="V113">
        <v>152.30000000000001</v>
      </c>
      <c r="W113">
        <v>151.80000000000001</v>
      </c>
      <c r="X113">
        <v>156.19999999999999</v>
      </c>
      <c r="Y113">
        <v>136</v>
      </c>
      <c r="Z113">
        <v>150.4</v>
      </c>
      <c r="AA113">
        <v>161.9</v>
      </c>
      <c r="AB113">
        <v>143.4</v>
      </c>
      <c r="AC113">
        <v>148.4</v>
      </c>
      <c r="AD113" s="1">
        <v>150.4</v>
      </c>
      <c r="AE113" s="1">
        <v>148.51428571428571</v>
      </c>
      <c r="AF113" s="1">
        <v>150.93333333333334</v>
      </c>
      <c r="AG113" s="1">
        <v>146.32499999999999</v>
      </c>
      <c r="AH113" s="2">
        <f>All_India_Index_Upto_April23__1[[#This Row],[House]]/All_India_Index_Upto_April23__1[[#This Row],[TOTAL BROADER CATEGORIES]]</f>
        <v>9.7917345469869896E-2</v>
      </c>
      <c r="AI113" s="2">
        <f>All_India_Index_Upto_April23__1[[#This Row],[Cloth]]/All_India_Index_Upto_April23__1[[#This Row],[TOTAL BROADER CATEGORIES]]</f>
        <v>0.10100113680450389</v>
      </c>
      <c r="AJ113" s="2">
        <f>All_India_Index_Upto_April23__1[[#This Row],[Food]]/All_India_Index_Upto_April23__1[[#This Row],[TOTAL BROADER CATEGORIES]]</f>
        <v>9.9382365429671465E-2</v>
      </c>
      <c r="AK113" s="2">
        <f>All_India_Index_Upto_April23__1[[#This Row],[Miscellaneous]]/All_India_Index_Upto_April23__1[[#This Row],[TOTAL BROADER CATEGORIES]]</f>
        <v>9.9305888041884116E-2</v>
      </c>
      <c r="AL113" s="2">
        <f>All_India_Index_Upto_April23__1[[#This Row],[Personal care and effects]]/All_India_Index_Upto_April23__1[[#This Row],[TOTAL BROADER CATEGORIES]]</f>
        <v>9.5960002326187219E-2</v>
      </c>
      <c r="AM113" s="2">
        <f>All_India_Index_Upto_April23__1[[#This Row],[Education]]/All_India_Index_Upto_April23__1[[#This Row],[TOTAL BROADER CATEGORIES]]</f>
        <v>0.10833977947426576</v>
      </c>
      <c r="AN113" s="2">
        <f>All_India_Index_Upto_April23__1[[#This Row],[Recreation and amusement]]/All_India_Index_Upto_April23__1[[#This Row],[TOTAL BROADER CATEGORIES]]</f>
        <v>0.10064424232816288</v>
      </c>
      <c r="AO113" s="2">
        <f>All_India_Index_Upto_April23__1[[#This Row],[Transport and communication]]/All_India_Index_Upto_April23__1[[#This Row],[TOTAL BROADER CATEGORIES]]</f>
        <v>9.1008091466955793E-2</v>
      </c>
      <c r="AP113" s="2">
        <f>All_India_Index_Upto_April23__1[[#This Row],[Health]]/All_India_Index_Upto_April23__1[[#This Row],[TOTAL BROADER CATEGORIES]]</f>
        <v>0.10452546975837128</v>
      </c>
      <c r="AQ113" s="2">
        <f>All_India_Index_Upto_April23__1[[#This Row],[Fuel and light]]/All_India_Index_Upto_April23__1[[#This Row],[TOTAL BROADER CATEGORIES]]</f>
        <v>0.1019156789001277</v>
      </c>
      <c r="AR113">
        <f>MONTH(1 &amp; All_India_Index_Upto_April23__1[[#This Row],[Month]])</f>
        <v>2</v>
      </c>
      <c r="AS113" s="19" t="str">
        <f>All_India_Index_Upto_April23__1[[#This Row],[MONTH IN NUM]]&amp;"/"&amp;All_India_Index_Upto_April23__1[[#This Row],[Year]]</f>
        <v>2/2020</v>
      </c>
      <c r="AT11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151.37857142857143</v>
      </c>
      <c r="AU11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1494.3726190476191</v>
      </c>
    </row>
    <row r="114" spans="1:47" x14ac:dyDescent="0.3">
      <c r="A114" t="s">
        <v>32</v>
      </c>
      <c r="B114">
        <v>2020</v>
      </c>
      <c r="C114" t="s">
        <v>34</v>
      </c>
      <c r="D114">
        <v>146.19999999999999</v>
      </c>
      <c r="E114">
        <v>167.6</v>
      </c>
      <c r="F114">
        <v>153.1</v>
      </c>
      <c r="G114">
        <v>150.69999999999999</v>
      </c>
      <c r="H114">
        <v>127.4</v>
      </c>
      <c r="I114">
        <v>143.1</v>
      </c>
      <c r="J114">
        <v>181.7</v>
      </c>
      <c r="K114">
        <v>139.6</v>
      </c>
      <c r="L114">
        <v>114.6</v>
      </c>
      <c r="M114">
        <v>150.4</v>
      </c>
      <c r="N114">
        <v>131.5</v>
      </c>
      <c r="O114">
        <v>159</v>
      </c>
      <c r="P114">
        <v>151.69999999999999</v>
      </c>
      <c r="Q114">
        <v>172</v>
      </c>
      <c r="R114">
        <v>147.30000000000001</v>
      </c>
      <c r="S114">
        <v>133.5</v>
      </c>
      <c r="T114">
        <v>145.19999999999999</v>
      </c>
      <c r="U114">
        <v>154.80000000000001</v>
      </c>
      <c r="V114">
        <v>138.9</v>
      </c>
      <c r="W114">
        <v>140.4</v>
      </c>
      <c r="X114">
        <v>144.4</v>
      </c>
      <c r="Y114">
        <v>125.2</v>
      </c>
      <c r="Z114">
        <v>137.69999999999999</v>
      </c>
      <c r="AA114">
        <v>152.19999999999999</v>
      </c>
      <c r="AB114">
        <v>143.5</v>
      </c>
      <c r="AC114">
        <v>138.4</v>
      </c>
      <c r="AD114" s="1">
        <v>147.69999999999999</v>
      </c>
      <c r="AE114" s="1">
        <v>149.18571428571428</v>
      </c>
      <c r="AF114" s="1">
        <v>142</v>
      </c>
      <c r="AG114" s="1">
        <v>147.60000000000002</v>
      </c>
      <c r="AH114" s="2">
        <f>All_India_Index_Upto_April23__1[[#This Row],[House]]/All_India_Index_Upto_April23__1[[#This Row],[TOTAL BROADER CATEGORIES]]</f>
        <v>0.10401063058709832</v>
      </c>
      <c r="AI114" s="2">
        <f>All_India_Index_Upto_April23__1[[#This Row],[Cloth]]/All_India_Index_Upto_April23__1[[#This Row],[TOTAL BROADER CATEGORIES]]</f>
        <v>0.10006442780059593</v>
      </c>
      <c r="AJ114" s="2">
        <f>All_India_Index_Upto_April23__1[[#This Row],[Food]]/All_India_Index_Upto_April23__1[[#This Row],[TOTAL BROADER CATEGORIES]]</f>
        <v>0.10512805025368444</v>
      </c>
      <c r="AK114" s="2">
        <f>All_India_Index_Upto_April23__1[[#This Row],[Miscellaneous]]/All_India_Index_Upto_April23__1[[#This Row],[TOTAL BROADER CATEGORIES]]</f>
        <v>9.7527583152130129E-2</v>
      </c>
      <c r="AL114" s="2">
        <f>All_India_Index_Upto_April23__1[[#This Row],[Personal care and effects]]/All_India_Index_Upto_April23__1[[#This Row],[TOTAL BROADER CATEGORIES]]</f>
        <v>0.10112144640412335</v>
      </c>
      <c r="AM114" s="2">
        <f>All_India_Index_Upto_April23__1[[#This Row],[Education]]/All_India_Index_Upto_April23__1[[#This Row],[TOTAL BROADER CATEGORIES]]</f>
        <v>0.10725215430458239</v>
      </c>
      <c r="AN114" s="2">
        <f>All_India_Index_Upto_April23__1[[#This Row],[Recreation and amusement]]/All_India_Index_Upto_April23__1[[#This Row],[TOTAL BROADER CATEGORIES]]</f>
        <v>9.7034307803817318E-2</v>
      </c>
      <c r="AO114" s="2">
        <f>All_India_Index_Upto_April23__1[[#This Row],[Transport and communication]]/All_India_Index_Upto_April23__1[[#This Row],[TOTAL BROADER CATEGORIES]]</f>
        <v>8.8225819441088815E-2</v>
      </c>
      <c r="AP114" s="2">
        <f>All_India_Index_Upto_April23__1[[#This Row],[Health]]/All_India_Index_Upto_April23__1[[#This Row],[TOTAL BROADER CATEGORIES]]</f>
        <v>0.10175565756623982</v>
      </c>
      <c r="AQ114" s="2">
        <f>All_India_Index_Upto_April23__1[[#This Row],[Fuel and light]]/All_India_Index_Upto_April23__1[[#This Row],[TOTAL BROADER CATEGORIES]]</f>
        <v>9.7879922686639267E-2</v>
      </c>
      <c r="AR114">
        <f>MONTH(1 &amp; All_India_Index_Upto_April23__1[[#This Row],[Month]])</f>
        <v>2</v>
      </c>
      <c r="AS114" s="19" t="str">
        <f>All_India_Index_Upto_April23__1[[#This Row],[MONTH IN NUM]]&amp;"/"&amp;All_India_Index_Upto_April23__1[[#This Row],[Year]]</f>
        <v>2/2020</v>
      </c>
      <c r="AT11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144.6142857142857</v>
      </c>
      <c r="AU11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1419.0857142857146</v>
      </c>
    </row>
    <row r="115" spans="1:47" x14ac:dyDescent="0.3">
      <c r="A115" t="s">
        <v>33</v>
      </c>
      <c r="B115">
        <v>2020</v>
      </c>
      <c r="C115" t="s">
        <v>34</v>
      </c>
      <c r="D115">
        <v>144.80000000000001</v>
      </c>
      <c r="E115">
        <v>167.5</v>
      </c>
      <c r="F115">
        <v>151.80000000000001</v>
      </c>
      <c r="G115">
        <v>150.80000000000001</v>
      </c>
      <c r="H115">
        <v>131.4</v>
      </c>
      <c r="I115">
        <v>141.80000000000001</v>
      </c>
      <c r="J115">
        <v>170.7</v>
      </c>
      <c r="K115">
        <v>141.1</v>
      </c>
      <c r="L115">
        <v>113.6</v>
      </c>
      <c r="M115">
        <v>152</v>
      </c>
      <c r="N115">
        <v>136.5</v>
      </c>
      <c r="O115">
        <v>159.1</v>
      </c>
      <c r="P115">
        <v>150.5</v>
      </c>
      <c r="Q115">
        <v>170.1</v>
      </c>
      <c r="R115">
        <v>150.80000000000001</v>
      </c>
      <c r="S115">
        <v>141.69999999999999</v>
      </c>
      <c r="T115">
        <v>149.5</v>
      </c>
      <c r="U115">
        <v>154.80000000000001</v>
      </c>
      <c r="V115">
        <v>147.19999999999999</v>
      </c>
      <c r="W115">
        <v>146.4</v>
      </c>
      <c r="X115">
        <v>151.69999999999999</v>
      </c>
      <c r="Y115">
        <v>130.30000000000001</v>
      </c>
      <c r="Z115">
        <v>143.19999999999999</v>
      </c>
      <c r="AA115">
        <v>156.19999999999999</v>
      </c>
      <c r="AB115">
        <v>143.4</v>
      </c>
      <c r="AC115">
        <v>143.6</v>
      </c>
      <c r="AD115" s="1">
        <v>149.1</v>
      </c>
      <c r="AE115" s="1">
        <v>148.69285714285712</v>
      </c>
      <c r="AF115" s="1">
        <v>147.33333333333334</v>
      </c>
      <c r="AG115" s="1">
        <v>150.60000000000002</v>
      </c>
      <c r="AH115" s="2">
        <f>All_India_Index_Upto_April23__1[[#This Row],[House]]/All_India_Index_Upto_April23__1[[#This Row],[TOTAL BROADER CATEGORIES]]</f>
        <v>0.10299364146319621</v>
      </c>
      <c r="AI115" s="2">
        <f>All_India_Index_Upto_April23__1[[#This Row],[Cloth]]/All_India_Index_Upto_April23__1[[#This Row],[TOTAL BROADER CATEGORIES]]</f>
        <v>0.10075960497284799</v>
      </c>
      <c r="AJ115" s="2">
        <f>All_India_Index_Upto_April23__1[[#This Row],[Food]]/All_India_Index_Upto_April23__1[[#This Row],[TOTAL BROADER CATEGORIES]]</f>
        <v>0.10168936797283983</v>
      </c>
      <c r="AK115" s="2">
        <f>All_India_Index_Upto_April23__1[[#This Row],[Miscellaneous]]/All_India_Index_Upto_April23__1[[#This Row],[TOTAL BROADER CATEGORIES]]</f>
        <v>9.8206420412450021E-2</v>
      </c>
      <c r="AL115" s="2">
        <f>All_India_Index_Upto_April23__1[[#This Row],[Personal care and effects]]/All_India_Index_Upto_April23__1[[#This Row],[TOTAL BROADER CATEGORIES]]</f>
        <v>9.8069642668142998E-2</v>
      </c>
      <c r="AM115" s="2">
        <f>All_India_Index_Upto_April23__1[[#This Row],[Education]]/All_India_Index_Upto_April23__1[[#This Row],[TOTAL BROADER CATEGORIES]]</f>
        <v>0.10682341830379312</v>
      </c>
      <c r="AN115" s="2">
        <f>All_India_Index_Upto_April23__1[[#This Row],[Recreation and amusement]]/All_India_Index_Upto_April23__1[[#This Row],[TOTAL BROADER CATEGORIES]]</f>
        <v>9.7932864923835947E-2</v>
      </c>
      <c r="AO115" s="2">
        <f>All_India_Index_Upto_April23__1[[#This Row],[Transport and communication]]/All_India_Index_Upto_April23__1[[#This Row],[TOTAL BROADER CATEGORIES]]</f>
        <v>8.9110700416032307E-2</v>
      </c>
      <c r="AP115" s="2">
        <f>All_India_Index_Upto_April23__1[[#This Row],[Health]]/All_India_Index_Upto_April23__1[[#This Row],[TOTAL BROADER CATEGORIES]]</f>
        <v>0.10374591905688486</v>
      </c>
      <c r="AQ115" s="2">
        <f>All_India_Index_Upto_April23__1[[#This Row],[Fuel and light]]/All_India_Index_Upto_April23__1[[#This Row],[TOTAL BROADER CATEGORIES]]</f>
        <v>0.10066841980997662</v>
      </c>
      <c r="AR115">
        <f>MONTH(1 &amp; All_India_Index_Upto_April23__1[[#This Row],[Month]])</f>
        <v>2</v>
      </c>
      <c r="AS115" s="19" t="str">
        <f>All_India_Index_Upto_April23__1[[#This Row],[MONTH IN NUM]]&amp;"/"&amp;All_India_Index_Upto_April23__1[[#This Row],[Year]]</f>
        <v>2/2020</v>
      </c>
      <c r="AT11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149.51428571428571</v>
      </c>
      <c r="AU11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1462.2261904761906</v>
      </c>
    </row>
    <row r="116" spans="1:47" x14ac:dyDescent="0.3">
      <c r="A116" t="s">
        <v>33</v>
      </c>
      <c r="B116">
        <v>2020</v>
      </c>
      <c r="C116" t="s">
        <v>31</v>
      </c>
      <c r="D116">
        <v>144.30000000000001</v>
      </c>
      <c r="E116">
        <v>167.4</v>
      </c>
      <c r="F116">
        <v>154.9</v>
      </c>
      <c r="G116">
        <v>150.1</v>
      </c>
      <c r="H116">
        <v>129.9</v>
      </c>
      <c r="I116">
        <v>143.19999999999999</v>
      </c>
      <c r="J116">
        <v>197</v>
      </c>
      <c r="K116">
        <v>140.4</v>
      </c>
      <c r="L116">
        <v>114.1</v>
      </c>
      <c r="M116">
        <v>150.9</v>
      </c>
      <c r="N116">
        <v>136.1</v>
      </c>
      <c r="O116">
        <v>158.6</v>
      </c>
      <c r="P116">
        <v>153.5</v>
      </c>
      <c r="Q116">
        <v>169.2</v>
      </c>
      <c r="R116">
        <v>150.5</v>
      </c>
      <c r="S116">
        <v>141.5</v>
      </c>
      <c r="T116">
        <v>149.19999999999999</v>
      </c>
      <c r="U116">
        <v>153.9</v>
      </c>
      <c r="V116">
        <v>144.6</v>
      </c>
      <c r="W116">
        <v>146.19999999999999</v>
      </c>
      <c r="X116">
        <v>151.19999999999999</v>
      </c>
      <c r="Y116">
        <v>130.9</v>
      </c>
      <c r="Z116">
        <v>142.80000000000001</v>
      </c>
      <c r="AA116">
        <v>156.1</v>
      </c>
      <c r="AB116">
        <v>142.30000000000001</v>
      </c>
      <c r="AC116">
        <v>143.4</v>
      </c>
      <c r="AD116" s="1">
        <v>150.19999999999999</v>
      </c>
      <c r="AE116" s="1">
        <v>150.68571428571428</v>
      </c>
      <c r="AF116" s="1">
        <v>147.06666666666666</v>
      </c>
      <c r="AG116" s="1">
        <v>150.05000000000001</v>
      </c>
      <c r="AH116" s="2">
        <f>All_India_Index_Upto_April23__1[[#This Row],[House]]/All_India_Index_Upto_April23__1[[#This Row],[TOTAL BROADER CATEGORIES]]</f>
        <v>0.10283719769003448</v>
      </c>
      <c r="AI116" s="2">
        <f>All_India_Index_Upto_April23__1[[#This Row],[Cloth]]/All_India_Index_Upto_April23__1[[#This Row],[TOTAL BROADER CATEGORIES]]</f>
        <v>0.10079256163688373</v>
      </c>
      <c r="AJ116" s="2">
        <f>All_India_Index_Upto_April23__1[[#This Row],[Food]]/All_India_Index_Upto_April23__1[[#This Row],[TOTAL BROADER CATEGORIES]]</f>
        <v>0.10327288629832757</v>
      </c>
      <c r="AK116" s="2">
        <f>All_India_Index_Upto_April23__1[[#This Row],[Miscellaneous]]/All_India_Index_Upto_April23__1[[#This Row],[TOTAL BROADER CATEGORIES]]</f>
        <v>9.8279601124631411E-2</v>
      </c>
      <c r="AL116" s="2">
        <f>All_India_Index_Upto_April23__1[[#This Row],[Personal care and effects]]/All_India_Index_Upto_April23__1[[#This Row],[TOTAL BROADER CATEGORIES]]</f>
        <v>9.7525712970955719E-2</v>
      </c>
      <c r="AM116" s="2">
        <f>All_India_Index_Upto_April23__1[[#This Row],[Education]]/All_India_Index_Upto_April23__1[[#This Row],[TOTAL BROADER CATEGORIES]]</f>
        <v>0.10698358253525078</v>
      </c>
      <c r="AN116" s="2">
        <f>All_India_Index_Upto_April23__1[[#This Row],[Recreation and amusement]]/All_India_Index_Upto_April23__1[[#This Row],[TOTAL BROADER CATEGORIES]]</f>
        <v>9.7868389404444672E-2</v>
      </c>
      <c r="AO116" s="2">
        <f>All_India_Index_Upto_April23__1[[#This Row],[Transport and communication]]/All_India_Index_Upto_April23__1[[#This Row],[TOTAL BROADER CATEGORIES]]</f>
        <v>8.9712690287407623E-2</v>
      </c>
      <c r="AP116" s="2">
        <f>All_India_Index_Upto_April23__1[[#This Row],[Health]]/All_India_Index_Upto_April23__1[[#This Row],[TOTAL BROADER CATEGORIES]]</f>
        <v>0.10362535348705905</v>
      </c>
      <c r="AQ116" s="2">
        <f>All_India_Index_Upto_April23__1[[#This Row],[Fuel and light]]/All_India_Index_Upto_April23__1[[#This Row],[TOTAL BROADER CATEGORIES]]</f>
        <v>9.9102024565004887E-2</v>
      </c>
      <c r="AR116">
        <f>MONTH(1 &amp; All_India_Index_Upto_April23__1[[#This Row],[Month]])</f>
        <v>1</v>
      </c>
      <c r="AS116" s="19" t="str">
        <f>All_India_Index_Upto_April23__1[[#This Row],[MONTH IN NUM]]&amp;"/"&amp;All_India_Index_Upto_April23__1[[#This Row],[Year]]</f>
        <v>1/2020</v>
      </c>
      <c r="AT11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148.85714285714286</v>
      </c>
      <c r="AU11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1459.1023809523811</v>
      </c>
    </row>
    <row r="117" spans="1:47" x14ac:dyDescent="0.3">
      <c r="A117" t="s">
        <v>30</v>
      </c>
      <c r="B117">
        <v>2020</v>
      </c>
      <c r="C117" t="s">
        <v>31</v>
      </c>
      <c r="D117">
        <v>143.69999999999999</v>
      </c>
      <c r="E117">
        <v>167.3</v>
      </c>
      <c r="F117">
        <v>153.5</v>
      </c>
      <c r="G117">
        <v>150.5</v>
      </c>
      <c r="H117">
        <v>132</v>
      </c>
      <c r="I117">
        <v>142.19999999999999</v>
      </c>
      <c r="J117">
        <v>191.5</v>
      </c>
      <c r="K117">
        <v>141.1</v>
      </c>
      <c r="L117">
        <v>113.8</v>
      </c>
      <c r="M117">
        <v>151.6</v>
      </c>
      <c r="N117">
        <v>139.69999999999999</v>
      </c>
      <c r="O117">
        <v>158.69999999999999</v>
      </c>
      <c r="P117">
        <v>153</v>
      </c>
      <c r="Q117">
        <v>168.6</v>
      </c>
      <c r="R117">
        <v>152.80000000000001</v>
      </c>
      <c r="S117">
        <v>147.4</v>
      </c>
      <c r="T117">
        <v>152.1</v>
      </c>
      <c r="U117">
        <v>140.85</v>
      </c>
      <c r="V117">
        <v>150.4</v>
      </c>
      <c r="W117">
        <v>151.69999999999999</v>
      </c>
      <c r="X117">
        <v>155.69999999999999</v>
      </c>
      <c r="Y117">
        <v>136.30000000000001</v>
      </c>
      <c r="Z117">
        <v>150.1</v>
      </c>
      <c r="AA117">
        <v>161.69999999999999</v>
      </c>
      <c r="AB117">
        <v>142.5</v>
      </c>
      <c r="AC117">
        <v>148.1</v>
      </c>
      <c r="AD117" s="1">
        <v>151.9</v>
      </c>
      <c r="AE117" s="1">
        <v>150.51428571428571</v>
      </c>
      <c r="AF117" s="1">
        <v>150.76666666666668</v>
      </c>
      <c r="AG117" s="1">
        <v>146.27499999999998</v>
      </c>
      <c r="AH117" s="2">
        <f>All_India_Index_Upto_April23__1[[#This Row],[House]]/All_India_Index_Upto_April23__1[[#This Row],[TOTAL BROADER CATEGORIES]]</f>
        <v>9.8016160130314861E-2</v>
      </c>
      <c r="AI117" s="2">
        <f>All_India_Index_Upto_April23__1[[#This Row],[Cloth]]/All_India_Index_Upto_April23__1[[#This Row],[TOTAL BROADER CATEGORIES]]</f>
        <v>0.10102594252137281</v>
      </c>
      <c r="AJ117" s="2">
        <f>All_India_Index_Upto_April23__1[[#This Row],[Food]]/All_India_Index_Upto_April23__1[[#This Row],[TOTAL BROADER CATEGORIES]]</f>
        <v>0.10085682673369607</v>
      </c>
      <c r="AK117" s="2">
        <f>All_India_Index_Upto_April23__1[[#This Row],[Miscellaneous]]/All_India_Index_Upto_April23__1[[#This Row],[TOTAL BROADER CATEGORIES]]</f>
        <v>9.9239058727052701E-2</v>
      </c>
      <c r="AL117" s="2">
        <f>All_India_Index_Upto_April23__1[[#This Row],[Personal care and effects]]/All_India_Index_Upto_April23__1[[#This Row],[TOTAL BROADER CATEGORIES]]</f>
        <v>9.5486602758980479E-2</v>
      </c>
      <c r="AM117" s="2">
        <f>All_India_Index_Upto_April23__1[[#This Row],[Education]]/All_India_Index_Upto_April23__1[[#This Row],[TOTAL BROADER CATEGORIES]]</f>
        <v>0.10835216607808522</v>
      </c>
      <c r="AN117" s="2">
        <f>All_India_Index_Upto_April23__1[[#This Row],[Recreation and amusement]]/All_India_Index_Upto_April23__1[[#This Row],[TOTAL BROADER CATEGORIES]]</f>
        <v>0.10057922157279277</v>
      </c>
      <c r="AO117" s="2">
        <f>All_India_Index_Upto_April23__1[[#This Row],[Transport and communication]]/All_India_Index_Upto_April23__1[[#This Row],[TOTAL BROADER CATEGORIES]]</f>
        <v>9.1332097937186246E-2</v>
      </c>
      <c r="AP117" s="2">
        <f>All_India_Index_Upto_April23__1[[#This Row],[Health]]/All_India_Index_Upto_April23__1[[#This Row],[TOTAL BROADER CATEGORIES]]</f>
        <v>0.10433167754086499</v>
      </c>
      <c r="AQ117" s="2">
        <f>All_India_Index_Upto_April23__1[[#This Row],[Fuel and light]]/All_India_Index_Upto_April23__1[[#This Row],[TOTAL BROADER CATEGORIES]]</f>
        <v>0.10078024599965379</v>
      </c>
      <c r="AR117">
        <f>MONTH(1 &amp; All_India_Index_Upto_April23__1[[#This Row],[Month]])</f>
        <v>1</v>
      </c>
      <c r="AS117" s="19" t="str">
        <f>All_India_Index_Upto_April23__1[[#This Row],[MONTH IN NUM]]&amp;"/"&amp;All_India_Index_Upto_April23__1[[#This Row],[Year]]</f>
        <v>1/2020</v>
      </c>
      <c r="AT11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150.99285714285716</v>
      </c>
      <c r="AU11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1492.3559523809524</v>
      </c>
    </row>
    <row r="118" spans="1:47" x14ac:dyDescent="0.3">
      <c r="A118" t="s">
        <v>32</v>
      </c>
      <c r="B118">
        <v>2020</v>
      </c>
      <c r="C118" t="s">
        <v>31</v>
      </c>
      <c r="D118">
        <v>145.6</v>
      </c>
      <c r="E118">
        <v>167.6</v>
      </c>
      <c r="F118">
        <v>157</v>
      </c>
      <c r="G118">
        <v>149.30000000000001</v>
      </c>
      <c r="H118">
        <v>126.3</v>
      </c>
      <c r="I118">
        <v>144.4</v>
      </c>
      <c r="J118">
        <v>207.8</v>
      </c>
      <c r="K118">
        <v>139.1</v>
      </c>
      <c r="L118">
        <v>114.8</v>
      </c>
      <c r="M118">
        <v>149.5</v>
      </c>
      <c r="N118">
        <v>131.1</v>
      </c>
      <c r="O118">
        <v>158.5</v>
      </c>
      <c r="P118">
        <v>154.4</v>
      </c>
      <c r="Q118">
        <v>170.8</v>
      </c>
      <c r="R118">
        <v>147</v>
      </c>
      <c r="S118">
        <v>133.19999999999999</v>
      </c>
      <c r="T118">
        <v>144.9</v>
      </c>
      <c r="U118">
        <v>153.9</v>
      </c>
      <c r="V118">
        <v>135.1</v>
      </c>
      <c r="W118">
        <v>140.1</v>
      </c>
      <c r="X118">
        <v>143.80000000000001</v>
      </c>
      <c r="Y118">
        <v>126.1</v>
      </c>
      <c r="Z118">
        <v>137.19999999999999</v>
      </c>
      <c r="AA118">
        <v>152.1</v>
      </c>
      <c r="AB118">
        <v>142.1</v>
      </c>
      <c r="AC118">
        <v>138.4</v>
      </c>
      <c r="AD118" s="1">
        <v>148.19999999999999</v>
      </c>
      <c r="AE118" s="1">
        <v>151.15714285714284</v>
      </c>
      <c r="AF118" s="1">
        <v>141.70000000000002</v>
      </c>
      <c r="AG118" s="1">
        <v>147</v>
      </c>
      <c r="AH118" s="2">
        <f>All_India_Index_Upto_April23__1[[#This Row],[House]]/All_India_Index_Upto_April23__1[[#This Row],[TOTAL BROADER CATEGORIES]]</f>
        <v>0.10391210389190719</v>
      </c>
      <c r="AI118" s="2">
        <f>All_India_Index_Upto_April23__1[[#This Row],[Cloth]]/All_India_Index_Upto_April23__1[[#This Row],[TOTAL BROADER CATEGORIES]]</f>
        <v>0.10016561307131464</v>
      </c>
      <c r="AJ118" s="2">
        <f>All_India_Index_Upto_April23__1[[#This Row],[Food]]/All_India_Index_Upto_April23__1[[#This Row],[TOTAL BROADER CATEGORIES]]</f>
        <v>0.10685072607194071</v>
      </c>
      <c r="AK118" s="2">
        <f>All_India_Index_Upto_April23__1[[#This Row],[Miscellaneous]]/All_India_Index_Upto_April23__1[[#This Row],[TOTAL BROADER CATEGORIES]]</f>
        <v>9.7832892371700383E-2</v>
      </c>
      <c r="AL118" s="2">
        <f>All_India_Index_Upto_April23__1[[#This Row],[Personal care and effects]]/All_India_Index_Upto_April23__1[[#This Row],[TOTAL BROADER CATEGORIES]]</f>
        <v>0.10044836709551028</v>
      </c>
      <c r="AM118" s="2">
        <f>All_India_Index_Upto_April23__1[[#This Row],[Education]]/All_India_Index_Upto_April23__1[[#This Row],[TOTAL BROADER CATEGORIES]]</f>
        <v>0.10751721770040193</v>
      </c>
      <c r="AN118" s="2">
        <f>All_India_Index_Upto_April23__1[[#This Row],[Recreation and amusement]]/All_India_Index_Upto_April23__1[[#This Row],[TOTAL BROADER CATEGORIES]]</f>
        <v>9.6984630299113375E-2</v>
      </c>
      <c r="AO118" s="2">
        <f>All_India_Index_Upto_April23__1[[#This Row],[Transport and communication]]/All_India_Index_Upto_April23__1[[#This Row],[TOTAL BROADER CATEGORIES]]</f>
        <v>8.9138206127683653E-2</v>
      </c>
      <c r="AP118" s="2">
        <f>All_India_Index_Upto_April23__1[[#This Row],[Health]]/All_India_Index_Upto_April23__1[[#This Row],[TOTAL BROADER CATEGORIES]]</f>
        <v>0.10165007169834188</v>
      </c>
      <c r="AQ118" s="2">
        <f>All_India_Index_Upto_April23__1[[#This Row],[Fuel and light]]/All_India_Index_Upto_April23__1[[#This Row],[TOTAL BROADER CATEGORIES]]</f>
        <v>9.5500171672086132E-2</v>
      </c>
      <c r="AR118">
        <f>MONTH(1 &amp; All_India_Index_Upto_April23__1[[#This Row],[Month]])</f>
        <v>1</v>
      </c>
      <c r="AS118" s="19" t="str">
        <f>All_India_Index_Upto_April23__1[[#This Row],[MONTH IN NUM]]&amp;"/"&amp;All_India_Index_Upto_April23__1[[#This Row],[Year]]</f>
        <v>1/2020</v>
      </c>
      <c r="AT11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143.75714285714284</v>
      </c>
      <c r="AU11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1414.6571428571426</v>
      </c>
    </row>
    <row r="119" spans="1:47" x14ac:dyDescent="0.3">
      <c r="A119" t="s">
        <v>32</v>
      </c>
      <c r="B119">
        <v>2019</v>
      </c>
      <c r="C119" t="s">
        <v>44</v>
      </c>
      <c r="D119">
        <v>144.9</v>
      </c>
      <c r="E119">
        <v>164.5</v>
      </c>
      <c r="F119">
        <v>153.69999999999999</v>
      </c>
      <c r="G119">
        <v>147.5</v>
      </c>
      <c r="H119">
        <v>122.7</v>
      </c>
      <c r="I119">
        <v>147.19999999999999</v>
      </c>
      <c r="J119">
        <v>225.46299999999999</v>
      </c>
      <c r="K119">
        <v>137.19999999999999</v>
      </c>
      <c r="L119">
        <v>114.7</v>
      </c>
      <c r="M119">
        <v>148</v>
      </c>
      <c r="N119">
        <v>130.80000000000001</v>
      </c>
      <c r="O119">
        <v>157.69999999999999</v>
      </c>
      <c r="P119">
        <v>156.30000000000001</v>
      </c>
      <c r="Q119">
        <v>170.4</v>
      </c>
      <c r="R119">
        <v>146.80000000000001</v>
      </c>
      <c r="S119">
        <v>132.80000000000001</v>
      </c>
      <c r="T119">
        <v>144.6</v>
      </c>
      <c r="U119">
        <v>152.80000000000001</v>
      </c>
      <c r="V119">
        <v>133.6</v>
      </c>
      <c r="W119">
        <v>139.80000000000001</v>
      </c>
      <c r="X119">
        <v>143.19999999999999</v>
      </c>
      <c r="Y119">
        <v>125.2</v>
      </c>
      <c r="Z119">
        <v>136.80000000000001</v>
      </c>
      <c r="AA119">
        <v>151.9</v>
      </c>
      <c r="AB119">
        <v>140.19999999999999</v>
      </c>
      <c r="AC119">
        <v>137.69999999999999</v>
      </c>
      <c r="AD119">
        <v>148.30000000000001</v>
      </c>
      <c r="AE119">
        <v>151.93571428571428</v>
      </c>
      <c r="AF119">
        <v>141.4</v>
      </c>
      <c r="AG119">
        <v>146.30000000000001</v>
      </c>
      <c r="AH119" s="2">
        <f>All_India_Index_Upto_April23__1[[#This Row],[House]]/All_India_Index_Upto_April23__1[[#This Row],[TOTAL BROADER CATEGORIES]]</f>
        <v>0.10388885789209396</v>
      </c>
      <c r="AI119" s="2">
        <f>All_India_Index_Upto_April23__1[[#This Row],[Cloth]]/All_India_Index_Upto_April23__1[[#This Row],[TOTAL BROADER CATEGORIES]]</f>
        <v>0.10040932676652142</v>
      </c>
      <c r="AJ119" s="2">
        <f>All_India_Index_Upto_April23__1[[#This Row],[Food]]/All_India_Index_Upto_April23__1[[#This Row],[TOTAL BROADER CATEGORIES]]</f>
        <v>0.10789082590678303</v>
      </c>
      <c r="AK119" s="2">
        <f>All_India_Index_Upto_April23__1[[#This Row],[Miscellaneous]]/All_India_Index_Upto_April23__1[[#This Row],[TOTAL BROADER CATEGORIES]]</f>
        <v>9.7781925712517662E-2</v>
      </c>
      <c r="AL119" s="2">
        <f>All_India_Index_Upto_April23__1[[#This Row],[Personal care and effects]]/All_India_Index_Upto_April23__1[[#This Row],[TOTAL BROADER CATEGORIES]]</f>
        <v>9.9557196694952624E-2</v>
      </c>
      <c r="AM119" s="2">
        <f>All_India_Index_Upto_April23__1[[#This Row],[Education]]/All_India_Index_Upto_April23__1[[#This Row],[TOTAL BROADER CATEGORIES]]</f>
        <v>0.10786546489274826</v>
      </c>
      <c r="AN119" s="2">
        <f>All_India_Index_Upto_April23__1[[#This Row],[Recreation and amusement]]/All_India_Index_Upto_April23__1[[#This Row],[TOTAL BROADER CATEGORIES]]</f>
        <v>9.7142828158841094E-2</v>
      </c>
      <c r="AO119" s="2">
        <f>All_India_Index_Upto_April23__1[[#This Row],[Transport and communication]]/All_India_Index_Upto_April23__1[[#This Row],[TOTAL BROADER CATEGORIES]]</f>
        <v>8.8905570800342865E-2</v>
      </c>
      <c r="AP119" s="2">
        <f>All_India_Index_Upto_April23__1[[#This Row],[Health]]/All_India_Index_Upto_April23__1[[#This Row],[TOTAL BROADER CATEGORIES]]</f>
        <v>0.10168752187387459</v>
      </c>
      <c r="AQ119" s="2">
        <f>All_India_Index_Upto_April23__1[[#This Row],[Fuel and light]]/All_India_Index_Upto_April23__1[[#This Row],[TOTAL BROADER CATEGORIES]]</f>
        <v>9.4870481301324333E-2</v>
      </c>
      <c r="AR119">
        <f>MONTH(1 &amp; All_India_Index_Upto_April23__1[[#This Row],[Month]])</f>
        <v>12</v>
      </c>
      <c r="AS119" s="19" t="str">
        <f>All_India_Index_Upto_April23__1[[#This Row],[MONTH IN NUM]]&amp;"/"&amp;All_India_Index_Upto_April23__1[[#This Row],[Year]]</f>
        <v>12/2019</v>
      </c>
      <c r="AT11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143.18571428571431</v>
      </c>
      <c r="AU11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1408.2357142857145</v>
      </c>
    </row>
    <row r="120" spans="1:47" x14ac:dyDescent="0.3">
      <c r="A120" t="s">
        <v>33</v>
      </c>
      <c r="B120">
        <v>2019</v>
      </c>
      <c r="C120" t="s">
        <v>44</v>
      </c>
      <c r="D120">
        <v>143.5</v>
      </c>
      <c r="E120">
        <v>165</v>
      </c>
      <c r="F120">
        <v>151.1</v>
      </c>
      <c r="G120">
        <v>148.30000000000001</v>
      </c>
      <c r="H120">
        <v>125.7</v>
      </c>
      <c r="I120">
        <v>145.69999999999999</v>
      </c>
      <c r="J120">
        <v>217</v>
      </c>
      <c r="K120">
        <v>138.30000000000001</v>
      </c>
      <c r="L120">
        <v>114</v>
      </c>
      <c r="M120">
        <v>148.69999999999999</v>
      </c>
      <c r="N120">
        <v>135.80000000000001</v>
      </c>
      <c r="O120">
        <v>158</v>
      </c>
      <c r="P120">
        <v>155</v>
      </c>
      <c r="Q120">
        <v>168.5</v>
      </c>
      <c r="R120">
        <v>150.30000000000001</v>
      </c>
      <c r="S120">
        <v>141.30000000000001</v>
      </c>
      <c r="T120">
        <v>149</v>
      </c>
      <c r="U120">
        <v>152.80000000000001</v>
      </c>
      <c r="V120">
        <v>143.69999999999999</v>
      </c>
      <c r="W120">
        <v>145.80000000000001</v>
      </c>
      <c r="X120">
        <v>150.4</v>
      </c>
      <c r="Y120">
        <v>129.80000000000001</v>
      </c>
      <c r="Z120">
        <v>142.30000000000001</v>
      </c>
      <c r="AA120">
        <v>155.69999999999999</v>
      </c>
      <c r="AB120">
        <v>140.4</v>
      </c>
      <c r="AC120">
        <v>142.5</v>
      </c>
      <c r="AD120">
        <v>150.4</v>
      </c>
      <c r="AE120">
        <v>151.04285714285717</v>
      </c>
      <c r="AF120">
        <v>146.86666666666667</v>
      </c>
      <c r="AG120">
        <v>149.30000000000001</v>
      </c>
      <c r="AH120" s="2">
        <f>All_India_Index_Upto_April23__1[[#This Row],[House]]/All_India_Index_Upto_April23__1[[#This Row],[TOTAL BROADER CATEGORIES]]</f>
        <v>0.1028230170338644</v>
      </c>
      <c r="AI120" s="2">
        <f>All_India_Index_Upto_April23__1[[#This Row],[Cloth]]/All_India_Index_Upto_April23__1[[#This Row],[TOTAL BROADER CATEGORIES]]</f>
        <v>0.10114717862272975</v>
      </c>
      <c r="AJ120" s="2">
        <f>All_India_Index_Upto_April23__1[[#This Row],[Food]]/All_India_Index_Upto_April23__1[[#This Row],[TOTAL BROADER CATEGORIES]]</f>
        <v>0.10402332399761252</v>
      </c>
      <c r="AK120" s="2">
        <f>All_India_Index_Upto_April23__1[[#This Row],[Miscellaneous]]/All_India_Index_Upto_April23__1[[#This Row],[TOTAL BROADER CATEGORIES]]</f>
        <v>9.8139852158912771E-2</v>
      </c>
      <c r="AL120" s="2">
        <f>All_India_Index_Upto_April23__1[[#This Row],[Personal care and effects]]/All_India_Index_Upto_April23__1[[#This Row],[TOTAL BROADER CATEGORIES]]</f>
        <v>9.6693580653413005E-2</v>
      </c>
      <c r="AM120" s="2">
        <f>All_India_Index_Upto_April23__1[[#This Row],[Education]]/All_India_Index_Upto_April23__1[[#This Row],[TOTAL BROADER CATEGORIES]]</f>
        <v>0.10723070162205416</v>
      </c>
      <c r="AN120" s="2">
        <f>All_India_Index_Upto_April23__1[[#This Row],[Recreation and amusement]]/All_India_Index_Upto_April23__1[[#This Row],[TOTAL BROADER CATEGORIES]]</f>
        <v>9.8002112015531842E-2</v>
      </c>
      <c r="AO120" s="2">
        <f>All_India_Index_Upto_April23__1[[#This Row],[Transport and communication]]/All_India_Index_Upto_April23__1[[#This Row],[TOTAL BROADER CATEGORIES]]</f>
        <v>8.9393353054223704E-2</v>
      </c>
      <c r="AP120" s="2">
        <f>All_India_Index_Upto_April23__1[[#This Row],[Health]]/All_India_Index_Upto_April23__1[[#This Row],[TOTAL BROADER CATEGORIES]]</f>
        <v>0.10358058782245951</v>
      </c>
      <c r="AQ120" s="2">
        <f>All_India_Index_Upto_April23__1[[#This Row],[Fuel and light]]/All_India_Index_Upto_April23__1[[#This Row],[TOTAL BROADER CATEGORIES]]</f>
        <v>9.8966293019198334E-2</v>
      </c>
      <c r="AR120">
        <f>MONTH(1 &amp; All_India_Index_Upto_April23__1[[#This Row],[Month]])</f>
        <v>12</v>
      </c>
      <c r="AS120" s="19" t="str">
        <f>All_India_Index_Upto_April23__1[[#This Row],[MONTH IN NUM]]&amp;"/"&amp;All_India_Index_Upto_April23__1[[#This Row],[Year]]</f>
        <v>12/2019</v>
      </c>
      <c r="AT12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148.37142857142857</v>
      </c>
      <c r="AU12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1452.0095238095239</v>
      </c>
    </row>
    <row r="121" spans="1:47" x14ac:dyDescent="0.3">
      <c r="A121" t="s">
        <v>30</v>
      </c>
      <c r="B121">
        <v>2019</v>
      </c>
      <c r="C121" t="s">
        <v>44</v>
      </c>
      <c r="D121">
        <v>142.80000000000001</v>
      </c>
      <c r="E121">
        <v>165.3</v>
      </c>
      <c r="F121">
        <v>149.5</v>
      </c>
      <c r="G121">
        <v>148.69999999999999</v>
      </c>
      <c r="H121">
        <v>127.5</v>
      </c>
      <c r="I121">
        <v>144.30000000000001</v>
      </c>
      <c r="J121">
        <v>209.5</v>
      </c>
      <c r="K121">
        <v>138.80000000000001</v>
      </c>
      <c r="L121">
        <v>113.6</v>
      </c>
      <c r="M121">
        <v>149.1</v>
      </c>
      <c r="N121">
        <v>139.30000000000001</v>
      </c>
      <c r="O121">
        <v>158.30000000000001</v>
      </c>
      <c r="P121">
        <v>154.30000000000001</v>
      </c>
      <c r="Q121">
        <v>167.8</v>
      </c>
      <c r="R121">
        <v>152.6</v>
      </c>
      <c r="S121">
        <v>147.30000000000001</v>
      </c>
      <c r="T121">
        <v>151.9</v>
      </c>
      <c r="U121">
        <v>140.85</v>
      </c>
      <c r="V121">
        <v>149.9</v>
      </c>
      <c r="W121">
        <v>151.19999999999999</v>
      </c>
      <c r="X121">
        <v>154.80000000000001</v>
      </c>
      <c r="Y121">
        <v>135</v>
      </c>
      <c r="Z121">
        <v>149.5</v>
      </c>
      <c r="AA121">
        <v>161.1</v>
      </c>
      <c r="AB121">
        <v>140.6</v>
      </c>
      <c r="AC121">
        <v>147.1</v>
      </c>
      <c r="AD121">
        <v>152.30000000000001</v>
      </c>
      <c r="AE121">
        <v>150.62857142857141</v>
      </c>
      <c r="AF121">
        <v>150.6</v>
      </c>
      <c r="AG121">
        <v>146.02499999999998</v>
      </c>
      <c r="AH121" s="2">
        <f>All_India_Index_Upto_April23__1[[#This Row],[House]]/All_India_Index_Upto_April23__1[[#This Row],[TOTAL BROADER CATEGORIES]]</f>
        <v>9.8316545274856837E-2</v>
      </c>
      <c r="AI121" s="2">
        <f>All_India_Index_Upto_April23__1[[#This Row],[Cloth]]/All_India_Index_Upto_April23__1[[#This Row],[TOTAL BROADER CATEGORIES]]</f>
        <v>0.10139682738156783</v>
      </c>
      <c r="AJ121" s="2">
        <f>All_India_Index_Upto_April23__1[[#This Row],[Food]]/All_India_Index_Upto_April23__1[[#This Row],[TOTAL BROADER CATEGORIES]]</f>
        <v>0.10141606411603596</v>
      </c>
      <c r="AK121" s="2">
        <f>All_India_Index_Upto_April23__1[[#This Row],[Miscellaneous]]/All_India_Index_Upto_April23__1[[#This Row],[TOTAL BROADER CATEGORIES]]</f>
        <v>9.9040327409220627E-2</v>
      </c>
      <c r="AL121" s="2">
        <f>All_India_Index_Upto_April23__1[[#This Row],[Personal care and effects]]/All_India_Index_Upto_April23__1[[#This Row],[TOTAL BROADER CATEGORIES]]</f>
        <v>9.4663970317718699E-2</v>
      </c>
      <c r="AM121" s="2">
        <f>All_India_Index_Upto_April23__1[[#This Row],[Education]]/All_India_Index_Upto_April23__1[[#This Row],[TOTAL BROADER CATEGORIES]]</f>
        <v>0.1084663272986094</v>
      </c>
      <c r="AN121" s="2">
        <f>All_India_Index_Upto_April23__1[[#This Row],[Recreation and amusement]]/All_India_Index_Upto_April23__1[[#This Row],[TOTAL BROADER CATEGORIES]]</f>
        <v>0.10065621310454442</v>
      </c>
      <c r="AO121" s="2">
        <f>All_India_Index_Upto_April23__1[[#This Row],[Transport and communication]]/All_India_Index_Upto_April23__1[[#This Row],[TOTAL BROADER CATEGORIES]]</f>
        <v>9.0893570361963189E-2</v>
      </c>
      <c r="AP121" s="2">
        <f>All_India_Index_Upto_April23__1[[#This Row],[Health]]/All_India_Index_Upto_April23__1[[#This Row],[TOTAL BROADER CATEGORIES]]</f>
        <v>0.10422462734838447</v>
      </c>
      <c r="AQ121" s="2">
        <f>All_India_Index_Upto_April23__1[[#This Row],[Fuel and light]]/All_India_Index_Upto_April23__1[[#This Row],[TOTAL BROADER CATEGORIES]]</f>
        <v>0.1009255273870984</v>
      </c>
      <c r="AR121">
        <f>MONTH(1 &amp; All_India_Index_Upto_April23__1[[#This Row],[Month]])</f>
        <v>12</v>
      </c>
      <c r="AS121" s="19" t="str">
        <f>All_India_Index_Upto_April23__1[[#This Row],[MONTH IN NUM]]&amp;"/"&amp;All_India_Index_Upto_April23__1[[#This Row],[Year]]</f>
        <v>12/2019</v>
      </c>
      <c r="AT12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150.69285714285712</v>
      </c>
      <c r="AU12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1485.2535714285716</v>
      </c>
    </row>
    <row r="122" spans="1:47" x14ac:dyDescent="0.3">
      <c r="A122" t="s">
        <v>30</v>
      </c>
      <c r="B122">
        <v>2019</v>
      </c>
      <c r="C122" t="s">
        <v>43</v>
      </c>
      <c r="D122">
        <v>141.80000000000001</v>
      </c>
      <c r="E122">
        <v>163.69999999999999</v>
      </c>
      <c r="F122">
        <v>143.80000000000001</v>
      </c>
      <c r="G122">
        <v>147.1</v>
      </c>
      <c r="H122">
        <v>126</v>
      </c>
      <c r="I122">
        <v>146.19999999999999</v>
      </c>
      <c r="J122">
        <v>191.4</v>
      </c>
      <c r="K122">
        <v>136.19999999999999</v>
      </c>
      <c r="L122">
        <v>113.8</v>
      </c>
      <c r="M122">
        <v>147.30000000000001</v>
      </c>
      <c r="N122">
        <v>138.69999999999999</v>
      </c>
      <c r="O122">
        <v>157.69999999999999</v>
      </c>
      <c r="P122">
        <v>150.9</v>
      </c>
      <c r="Q122">
        <v>167.2</v>
      </c>
      <c r="R122">
        <v>152.30000000000001</v>
      </c>
      <c r="S122">
        <v>147</v>
      </c>
      <c r="T122">
        <v>151.5</v>
      </c>
      <c r="U122">
        <v>140.85</v>
      </c>
      <c r="V122">
        <v>148.4</v>
      </c>
      <c r="W122">
        <v>150.9</v>
      </c>
      <c r="X122">
        <v>154.30000000000001</v>
      </c>
      <c r="Y122">
        <v>132.1</v>
      </c>
      <c r="Z122">
        <v>149.1</v>
      </c>
      <c r="AA122">
        <v>160.80000000000001</v>
      </c>
      <c r="AB122">
        <v>140.6</v>
      </c>
      <c r="AC122">
        <v>146.1</v>
      </c>
      <c r="AD122">
        <v>149.9</v>
      </c>
      <c r="AE122">
        <v>147.98571428571429</v>
      </c>
      <c r="AF122">
        <v>150.26666666666668</v>
      </c>
      <c r="AG122">
        <v>145.875</v>
      </c>
      <c r="AH122" s="2">
        <f>All_India_Index_Upto_April23__1[[#This Row],[House]]/All_India_Index_Upto_April23__1[[#This Row],[TOTAL BROADER CATEGORIES]]</f>
        <v>9.8862956989550957E-2</v>
      </c>
      <c r="AI122" s="2">
        <f>All_India_Index_Upto_April23__1[[#This Row],[Cloth]]/All_India_Index_Upto_April23__1[[#This Row],[TOTAL BROADER CATEGORIES]]</f>
        <v>0.10183929394090735</v>
      </c>
      <c r="AJ122" s="2">
        <f>All_India_Index_Upto_April23__1[[#This Row],[Food]]/All_India_Index_Upto_April23__1[[#This Row],[TOTAL BROADER CATEGORIES]]</f>
        <v>0.10029343826218715</v>
      </c>
      <c r="AK122" s="2">
        <f>All_India_Index_Upto_April23__1[[#This Row],[Miscellaneous]]/All_India_Index_Upto_April23__1[[#This Row],[TOTAL BROADER CATEGORIES]]</f>
        <v>9.9015444840948721E-2</v>
      </c>
      <c r="AL122" s="2">
        <f>All_India_Index_Upto_April23__1[[#This Row],[Personal care and effects]]/All_India_Index_Upto_April23__1[[#This Row],[TOTAL BROADER CATEGORIES]]</f>
        <v>9.5287964029003358E-2</v>
      </c>
      <c r="AM122" s="2">
        <f>All_India_Index_Upto_April23__1[[#This Row],[Education]]/All_India_Index_Upto_April23__1[[#This Row],[TOTAL BROADER CATEGORIES]]</f>
        <v>0.10897798446560271</v>
      </c>
      <c r="AN122" s="2">
        <f>All_India_Index_Upto_April23__1[[#This Row],[Recreation and amusement]]/All_India_Index_Upto_April23__1[[#This Row],[TOTAL BROADER CATEGORIES]]</f>
        <v>0.10104861619291892</v>
      </c>
      <c r="AO122" s="2">
        <f>All_India_Index_Upto_April23__1[[#This Row],[Transport and communication]]/All_India_Index_Upto_April23__1[[#This Row],[TOTAL BROADER CATEGORIES]]</f>
        <v>8.9527311865087791E-2</v>
      </c>
      <c r="AP122" s="2">
        <f>All_India_Index_Upto_April23__1[[#This Row],[Health]]/All_India_Index_Upto_April23__1[[#This Row],[TOTAL BROADER CATEGORIES]]</f>
        <v>0.10457277986966729</v>
      </c>
      <c r="AQ122" s="2">
        <f>All_India_Index_Upto_April23__1[[#This Row],[Fuel and light]]/All_India_Index_Upto_April23__1[[#This Row],[TOTAL BROADER CATEGORIES]]</f>
        <v>0.10057420954412588</v>
      </c>
      <c r="AR122">
        <f>MONTH(1 &amp; All_India_Index_Upto_April23__1[[#This Row],[Month]])</f>
        <v>11</v>
      </c>
      <c r="AS122" s="19" t="str">
        <f>All_India_Index_Upto_April23__1[[#This Row],[MONTH IN NUM]]&amp;"/"&amp;All_India_Index_Upto_April23__1[[#This Row],[Year]]</f>
        <v>11/2019</v>
      </c>
      <c r="AT12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150.25</v>
      </c>
      <c r="AU12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1475.5273809523808</v>
      </c>
    </row>
    <row r="123" spans="1:47" x14ac:dyDescent="0.3">
      <c r="A123" t="s">
        <v>32</v>
      </c>
      <c r="B123">
        <v>2019</v>
      </c>
      <c r="C123" t="s">
        <v>43</v>
      </c>
      <c r="D123">
        <v>144.1</v>
      </c>
      <c r="E123">
        <v>162.4</v>
      </c>
      <c r="F123">
        <v>148.4</v>
      </c>
      <c r="G123">
        <v>145.9</v>
      </c>
      <c r="H123">
        <v>121.5</v>
      </c>
      <c r="I123">
        <v>148.80000000000001</v>
      </c>
      <c r="J123">
        <v>215.7</v>
      </c>
      <c r="K123">
        <v>134.6</v>
      </c>
      <c r="L123">
        <v>115</v>
      </c>
      <c r="M123">
        <v>146.30000000000001</v>
      </c>
      <c r="N123">
        <v>130.5</v>
      </c>
      <c r="O123">
        <v>157.19999999999999</v>
      </c>
      <c r="P123">
        <v>153.6</v>
      </c>
      <c r="Q123">
        <v>169.9</v>
      </c>
      <c r="R123">
        <v>146.30000000000001</v>
      </c>
      <c r="S123">
        <v>132.6</v>
      </c>
      <c r="T123">
        <v>144.19999999999999</v>
      </c>
      <c r="U123">
        <v>153.5</v>
      </c>
      <c r="V123">
        <v>132.19999999999999</v>
      </c>
      <c r="W123">
        <v>139.1</v>
      </c>
      <c r="X123">
        <v>142.80000000000001</v>
      </c>
      <c r="Y123">
        <v>121.7</v>
      </c>
      <c r="Z123">
        <v>136.69999999999999</v>
      </c>
      <c r="AA123">
        <v>151.80000000000001</v>
      </c>
      <c r="AB123">
        <v>139.80000000000001</v>
      </c>
      <c r="AC123">
        <v>136.30000000000001</v>
      </c>
      <c r="AD123">
        <v>147</v>
      </c>
      <c r="AE123">
        <v>149.56428571428569</v>
      </c>
      <c r="AF123">
        <v>141.03333333333333</v>
      </c>
      <c r="AG123">
        <v>146.30000000000001</v>
      </c>
      <c r="AH123" s="2">
        <f>All_India_Index_Upto_April23__1[[#This Row],[House]]/All_India_Index_Upto_April23__1[[#This Row],[TOTAL BROADER CATEGORIES]]</f>
        <v>0.10463470828941342</v>
      </c>
      <c r="AI123" s="2">
        <f>All_India_Index_Upto_April23__1[[#This Row],[Cloth]]/All_India_Index_Upto_April23__1[[#This Row],[TOTAL BROADER CATEGORIES]]</f>
        <v>0.10086795415185876</v>
      </c>
      <c r="AJ123" s="2">
        <f>All_India_Index_Upto_April23__1[[#This Row],[Food]]/All_India_Index_Upto_April23__1[[#This Row],[TOTAL BROADER CATEGORIES]]</f>
        <v>0.10696934659076393</v>
      </c>
      <c r="AK123" s="2">
        <f>All_India_Index_Upto_April23__1[[#This Row],[Miscellaneous]]/All_India_Index_Upto_April23__1[[#This Row],[TOTAL BROADER CATEGORIES]]</f>
        <v>9.7482643471271696E-2</v>
      </c>
      <c r="AL123" s="2">
        <f>All_India_Index_Upto_April23__1[[#This Row],[Personal care and effects]]/All_India_Index_Upto_April23__1[[#This Row],[TOTAL BROADER CATEGORIES]]</f>
        <v>9.9985866157621298E-2</v>
      </c>
      <c r="AM123" s="2">
        <f>All_India_Index_Upto_April23__1[[#This Row],[Education]]/All_India_Index_Upto_April23__1[[#This Row],[TOTAL BROADER CATEGORIES]]</f>
        <v>0.10856834393939137</v>
      </c>
      <c r="AN123" s="2">
        <f>All_India_Index_Upto_April23__1[[#This Row],[Recreation and amusement]]/All_India_Index_Upto_April23__1[[#This Row],[TOTAL BROADER CATEGORIES]]</f>
        <v>9.7768726063997349E-2</v>
      </c>
      <c r="AO123" s="2">
        <f>All_India_Index_Upto_April23__1[[#This Row],[Transport and communication]]/All_India_Index_Upto_April23__1[[#This Row],[TOTAL BROADER CATEGORIES]]</f>
        <v>8.7040628836784775E-2</v>
      </c>
      <c r="AP123" s="2">
        <f>All_India_Index_Upto_April23__1[[#This Row],[Health]]/All_India_Index_Upto_April23__1[[#This Row],[TOTAL BROADER CATEGORIES]]</f>
        <v>0.10213148560306382</v>
      </c>
      <c r="AQ123" s="2">
        <f>All_India_Index_Upto_April23__1[[#This Row],[Fuel and light]]/All_India_Index_Upto_April23__1[[#This Row],[TOTAL BROADER CATEGORIES]]</f>
        <v>9.4550296895833566E-2</v>
      </c>
      <c r="AR123">
        <f>MONTH(1 &amp; All_India_Index_Upto_April23__1[[#This Row],[Month]])</f>
        <v>11</v>
      </c>
      <c r="AS123" s="19" t="str">
        <f>All_India_Index_Upto_April23__1[[#This Row],[MONTH IN NUM]]&amp;"/"&amp;All_India_Index_Upto_April23__1[[#This Row],[Year]]</f>
        <v>11/2019</v>
      </c>
      <c r="AT12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142.81428571428572</v>
      </c>
      <c r="AU12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1398.1976190476191</v>
      </c>
    </row>
    <row r="124" spans="1:47" x14ac:dyDescent="0.3">
      <c r="A124" t="s">
        <v>33</v>
      </c>
      <c r="B124">
        <v>2019</v>
      </c>
      <c r="C124" t="s">
        <v>43</v>
      </c>
      <c r="D124">
        <v>142.5</v>
      </c>
      <c r="E124">
        <v>163.19999999999999</v>
      </c>
      <c r="F124">
        <v>145.6</v>
      </c>
      <c r="G124">
        <v>146.69999999999999</v>
      </c>
      <c r="H124">
        <v>124.3</v>
      </c>
      <c r="I124">
        <v>147.4</v>
      </c>
      <c r="J124">
        <v>199.6</v>
      </c>
      <c r="K124">
        <v>135.69999999999999</v>
      </c>
      <c r="L124">
        <v>114.2</v>
      </c>
      <c r="M124">
        <v>147</v>
      </c>
      <c r="N124">
        <v>135.30000000000001</v>
      </c>
      <c r="O124">
        <v>157.5</v>
      </c>
      <c r="P124">
        <v>151.9</v>
      </c>
      <c r="Q124">
        <v>167.9</v>
      </c>
      <c r="R124">
        <v>149.9</v>
      </c>
      <c r="S124">
        <v>141</v>
      </c>
      <c r="T124">
        <v>148.6</v>
      </c>
      <c r="U124">
        <v>153.5</v>
      </c>
      <c r="V124">
        <v>142.30000000000001</v>
      </c>
      <c r="W124">
        <v>145.30000000000001</v>
      </c>
      <c r="X124">
        <v>149.9</v>
      </c>
      <c r="Y124">
        <v>126.6</v>
      </c>
      <c r="Z124">
        <v>142.1</v>
      </c>
      <c r="AA124">
        <v>155.5</v>
      </c>
      <c r="AB124">
        <v>140.30000000000001</v>
      </c>
      <c r="AC124">
        <v>141.30000000000001</v>
      </c>
      <c r="AD124">
        <v>148.6</v>
      </c>
      <c r="AE124">
        <v>148.48571428571429</v>
      </c>
      <c r="AF124">
        <v>146.5</v>
      </c>
      <c r="AG124">
        <v>149.4</v>
      </c>
      <c r="AH124" s="2">
        <f>All_India_Index_Upto_April23__1[[#This Row],[House]]/All_India_Index_Upto_April23__1[[#This Row],[TOTAL BROADER CATEGORIES]]</f>
        <v>0.10357839690195807</v>
      </c>
      <c r="AI124" s="2">
        <f>All_India_Index_Upto_April23__1[[#This Row],[Cloth]]/All_India_Index_Upto_April23__1[[#This Row],[TOTAL BROADER CATEGORIES]]</f>
        <v>0.10156783899689997</v>
      </c>
      <c r="AJ124" s="2">
        <f>All_India_Index_Upto_April23__1[[#This Row],[Food]]/All_India_Index_Upto_April23__1[[#This Row],[TOTAL BROADER CATEGORIES]]</f>
        <v>0.10294452642942743</v>
      </c>
      <c r="AK124" s="2">
        <f>All_India_Index_Upto_April23__1[[#This Row],[Miscellaneous]]/All_India_Index_Upto_April23__1[[#This Row],[TOTAL BROADER CATEGORIES]]</f>
        <v>9.7962700684382023E-2</v>
      </c>
      <c r="AL124" s="2">
        <f>All_India_Index_Upto_April23__1[[#This Row],[Personal care and effects]]/All_India_Index_Upto_April23__1[[#This Row],[TOTAL BROADER CATEGORIES]]</f>
        <v>9.7269404855051658E-2</v>
      </c>
      <c r="AM124" s="2">
        <f>All_India_Index_Upto_April23__1[[#This Row],[Education]]/All_India_Index_Upto_April23__1[[#This Row],[TOTAL BROADER CATEGORIES]]</f>
        <v>0.10780750146087335</v>
      </c>
      <c r="AN124" s="2">
        <f>All_India_Index_Upto_April23__1[[#This Row],[Recreation and amusement]]/All_India_Index_Upto_April23__1[[#This Row],[TOTAL BROADER CATEGORIES]]</f>
        <v>9.8517337347846318E-2</v>
      </c>
      <c r="AO124" s="2">
        <f>All_India_Index_Upto_April23__1[[#This Row],[Transport and communication]]/All_India_Index_Upto_April23__1[[#This Row],[TOTAL BROADER CATEGORIES]]</f>
        <v>8.7771251993225496E-2</v>
      </c>
      <c r="AP124" s="2">
        <f>All_India_Index_Upto_April23__1[[#This Row],[Health]]/All_India_Index_Upto_April23__1[[#This Row],[TOTAL BROADER CATEGORIES]]</f>
        <v>0.10392504481662325</v>
      </c>
      <c r="AQ124" s="2">
        <f>All_India_Index_Upto_April23__1[[#This Row],[Fuel and light]]/All_India_Index_Upto_April23__1[[#This Row],[TOTAL BROADER CATEGORIES]]</f>
        <v>9.8655996513712402E-2</v>
      </c>
      <c r="AR124">
        <f>MONTH(1 &amp; All_India_Index_Upto_April23__1[[#This Row],[Month]])</f>
        <v>11</v>
      </c>
      <c r="AS124" s="19" t="str">
        <f>All_India_Index_Upto_April23__1[[#This Row],[MONTH IN NUM]]&amp;"/"&amp;All_India_Index_Upto_April23__1[[#This Row],[Year]]</f>
        <v>11/2019</v>
      </c>
      <c r="AT12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148.01428571428573</v>
      </c>
      <c r="AU12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1442.3857142857144</v>
      </c>
    </row>
    <row r="125" spans="1:47" x14ac:dyDescent="0.3">
      <c r="A125" t="s">
        <v>32</v>
      </c>
      <c r="B125">
        <v>2019</v>
      </c>
      <c r="C125" t="s">
        <v>42</v>
      </c>
      <c r="D125">
        <v>143.5</v>
      </c>
      <c r="E125">
        <v>159.80000000000001</v>
      </c>
      <c r="F125">
        <v>144.69999999999999</v>
      </c>
      <c r="G125">
        <v>145.6</v>
      </c>
      <c r="H125">
        <v>121.1</v>
      </c>
      <c r="I125">
        <v>150.6</v>
      </c>
      <c r="J125">
        <v>207.2</v>
      </c>
      <c r="K125">
        <v>131.19999999999999</v>
      </c>
      <c r="L125">
        <v>114.8</v>
      </c>
      <c r="M125">
        <v>145.19999999999999</v>
      </c>
      <c r="N125">
        <v>130.19999999999999</v>
      </c>
      <c r="O125">
        <v>156.80000000000001</v>
      </c>
      <c r="P125">
        <v>151.9</v>
      </c>
      <c r="Q125">
        <v>169.3</v>
      </c>
      <c r="R125">
        <v>145.9</v>
      </c>
      <c r="S125">
        <v>132.4</v>
      </c>
      <c r="T125">
        <v>143.9</v>
      </c>
      <c r="U125">
        <v>153</v>
      </c>
      <c r="V125">
        <v>128.9</v>
      </c>
      <c r="W125">
        <v>138.69999999999999</v>
      </c>
      <c r="X125">
        <v>142.4</v>
      </c>
      <c r="Y125">
        <v>121.5</v>
      </c>
      <c r="Z125">
        <v>136.19999999999999</v>
      </c>
      <c r="AA125">
        <v>151.69999999999999</v>
      </c>
      <c r="AB125">
        <v>139.5</v>
      </c>
      <c r="AC125">
        <v>136</v>
      </c>
      <c r="AD125">
        <v>146</v>
      </c>
      <c r="AE125">
        <v>147.99285714285716</v>
      </c>
      <c r="AF125">
        <v>140.73333333333335</v>
      </c>
      <c r="AG125">
        <v>145.85</v>
      </c>
      <c r="AH125" s="2">
        <f>All_India_Index_Upto_April23__1[[#This Row],[House]]/All_India_Index_Upto_April23__1[[#This Row],[TOTAL BROADER CATEGORIES]]</f>
        <v>0.10486949733447917</v>
      </c>
      <c r="AI125" s="2">
        <f>All_India_Index_Upto_April23__1[[#This Row],[Cloth]]/All_India_Index_Upto_April23__1[[#This Row],[TOTAL BROADER CATEGORIES]]</f>
        <v>0.1011904965709453</v>
      </c>
      <c r="AJ125" s="2">
        <f>All_India_Index_Upto_April23__1[[#This Row],[Food]]/All_India_Index_Upto_April23__1[[#This Row],[TOTAL BROADER CATEGORIES]]</f>
        <v>0.10641026079989591</v>
      </c>
      <c r="AK125" s="2">
        <f>All_India_Index_Upto_April23__1[[#This Row],[Miscellaneous]]/All_India_Index_Upto_April23__1[[#This Row],[TOTAL BROADER CATEGORIES]]</f>
        <v>9.7787121271780381E-2</v>
      </c>
      <c r="AL125" s="2">
        <f>All_India_Index_Upto_April23__1[[#This Row],[Personal care and effects]]/All_India_Index_Upto_April23__1[[#This Row],[TOTAL BROADER CATEGORIES]]</f>
        <v>0.10030370159862767</v>
      </c>
      <c r="AM125" s="2">
        <f>All_India_Index_Upto_April23__1[[#This Row],[Education]]/All_India_Index_Upto_April23__1[[#This Row],[TOTAL BROADER CATEGORIES]]</f>
        <v>0.10907578159506678</v>
      </c>
      <c r="AN125" s="2">
        <f>All_India_Index_Upto_April23__1[[#This Row],[Recreation and amusement]]/All_India_Index_Upto_April23__1[[#This Row],[TOTAL BROADER CATEGORIES]]</f>
        <v>9.793092586188594E-2</v>
      </c>
      <c r="AO125" s="2">
        <f>All_India_Index_Upto_April23__1[[#This Row],[Transport and communication]]/All_India_Index_Upto_April23__1[[#This Row],[TOTAL BROADER CATEGORIES]]</f>
        <v>8.7361288489127331E-2</v>
      </c>
      <c r="AP125" s="2">
        <f>All_India_Index_Upto_April23__1[[#This Row],[Health]]/All_India_Index_Upto_April23__1[[#This Row],[TOTAL BROADER CATEGORIES]]</f>
        <v>0.10238886815515828</v>
      </c>
      <c r="AQ125" s="2">
        <f>All_India_Index_Upto_April23__1[[#This Row],[Fuel and light]]/All_India_Index_Upto_April23__1[[#This Row],[TOTAL BROADER CATEGORIES]]</f>
        <v>9.2682058323033029E-2</v>
      </c>
      <c r="AR125">
        <f>MONTH(1 &amp; All_India_Index_Upto_April23__1[[#This Row],[Month]])</f>
        <v>10</v>
      </c>
      <c r="AS125" s="19" t="str">
        <f>All_India_Index_Upto_April23__1[[#This Row],[MONTH IN NUM]]&amp;"/"&amp;All_India_Index_Upto_April23__1[[#This Row],[Year]]</f>
        <v>10/2019</v>
      </c>
      <c r="AT12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142.07142857142856</v>
      </c>
      <c r="AU12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1390.7761904761908</v>
      </c>
    </row>
    <row r="126" spans="1:47" x14ac:dyDescent="0.3">
      <c r="A126" t="s">
        <v>33</v>
      </c>
      <c r="B126">
        <v>2019</v>
      </c>
      <c r="C126" t="s">
        <v>42</v>
      </c>
      <c r="D126">
        <v>141.80000000000001</v>
      </c>
      <c r="E126">
        <v>161</v>
      </c>
      <c r="F126">
        <v>142.6</v>
      </c>
      <c r="G126">
        <v>146.19999999999999</v>
      </c>
      <c r="H126">
        <v>123.9</v>
      </c>
      <c r="I126">
        <v>148</v>
      </c>
      <c r="J126">
        <v>188.4</v>
      </c>
      <c r="K126">
        <v>132.5</v>
      </c>
      <c r="L126">
        <v>114</v>
      </c>
      <c r="M126">
        <v>145.4</v>
      </c>
      <c r="N126">
        <v>135.1</v>
      </c>
      <c r="O126">
        <v>157.1</v>
      </c>
      <c r="P126">
        <v>149.6</v>
      </c>
      <c r="Q126">
        <v>167.1</v>
      </c>
      <c r="R126">
        <v>149.4</v>
      </c>
      <c r="S126">
        <v>140.80000000000001</v>
      </c>
      <c r="T126">
        <v>148.19999999999999</v>
      </c>
      <c r="U126">
        <v>153</v>
      </c>
      <c r="V126">
        <v>140.6</v>
      </c>
      <c r="W126">
        <v>145</v>
      </c>
      <c r="X126">
        <v>149.4</v>
      </c>
      <c r="Y126">
        <v>126.3</v>
      </c>
      <c r="Z126">
        <v>141.69999999999999</v>
      </c>
      <c r="AA126">
        <v>155.4</v>
      </c>
      <c r="AB126">
        <v>140</v>
      </c>
      <c r="AC126">
        <v>141</v>
      </c>
      <c r="AD126">
        <v>147.19999999999999</v>
      </c>
      <c r="AE126">
        <v>146.62142857142857</v>
      </c>
      <c r="AF126">
        <v>146.13333333333335</v>
      </c>
      <c r="AG126">
        <v>149</v>
      </c>
      <c r="AH126" s="2">
        <f>All_India_Index_Upto_April23__1[[#This Row],[House]]/All_India_Index_Upto_April23__1[[#This Row],[TOTAL BROADER CATEGORIES]]</f>
        <v>0.10374926432189131</v>
      </c>
      <c r="AI126" s="2">
        <f>All_India_Index_Upto_April23__1[[#This Row],[Cloth]]/All_India_Index_Upto_April23__1[[#This Row],[TOTAL BROADER CATEGORIES]]</f>
        <v>0.10175319346469162</v>
      </c>
      <c r="AJ126" s="2">
        <f>All_India_Index_Upto_April23__1[[#This Row],[Food]]/All_India_Index_Upto_April23__1[[#This Row],[TOTAL BROADER CATEGORIES]]</f>
        <v>0.10209305602758691</v>
      </c>
      <c r="AK126" s="2">
        <f>All_India_Index_Upto_April23__1[[#This Row],[Miscellaneous]]/All_India_Index_Upto_April23__1[[#This Row],[TOTAL BROADER CATEGORIES]]</f>
        <v>9.8178834022729353E-2</v>
      </c>
      <c r="AL126" s="2">
        <f>All_India_Index_Upto_April23__1[[#This Row],[Personal care and effects]]/All_India_Index_Upto_April23__1[[#This Row],[TOTAL BROADER CATEGORIES]]</f>
        <v>9.7482530235334111E-2</v>
      </c>
      <c r="AM126" s="2">
        <f>All_India_Index_Upto_April23__1[[#This Row],[Education]]/All_India_Index_Upto_April23__1[[#This Row],[TOTAL BROADER CATEGORIES]]</f>
        <v>0.10820560856122087</v>
      </c>
      <c r="AN126" s="2">
        <f>All_India_Index_Upto_April23__1[[#This Row],[Recreation and amusement]]/All_India_Index_Upto_April23__1[[#This Row],[TOTAL BROADER CATEGORIES]]</f>
        <v>9.8666246673906027E-2</v>
      </c>
      <c r="AO126" s="2">
        <f>All_India_Index_Upto_April23__1[[#This Row],[Transport and communication]]/All_India_Index_Upto_April23__1[[#This Row],[TOTAL BROADER CATEGORIES]]</f>
        <v>8.7943168348019268E-2</v>
      </c>
      <c r="AP126" s="2">
        <f>All_India_Index_Upto_April23__1[[#This Row],[Health]]/All_India_Index_Upto_April23__1[[#This Row],[TOTAL BROADER CATEGORIES]]</f>
        <v>0.10402778583684941</v>
      </c>
      <c r="AQ126" s="2">
        <f>All_India_Index_Upto_April23__1[[#This Row],[Fuel and light]]/All_India_Index_Upto_April23__1[[#This Row],[TOTAL BROADER CATEGORIES]]</f>
        <v>9.7900312507771259E-2</v>
      </c>
      <c r="AR126">
        <f>MONTH(1 &amp; All_India_Index_Upto_April23__1[[#This Row],[Month]])</f>
        <v>10</v>
      </c>
      <c r="AS126" s="19" t="str">
        <f>All_India_Index_Upto_April23__1[[#This Row],[MONTH IN NUM]]&amp;"/"&amp;All_India_Index_Upto_April23__1[[#This Row],[Year]]</f>
        <v>10/2019</v>
      </c>
      <c r="AT12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147.48571428571429</v>
      </c>
      <c r="AU12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1436.1547619047617</v>
      </c>
    </row>
    <row r="127" spans="1:47" x14ac:dyDescent="0.3">
      <c r="A127" t="s">
        <v>30</v>
      </c>
      <c r="B127">
        <v>2019</v>
      </c>
      <c r="C127" t="s">
        <v>42</v>
      </c>
      <c r="D127">
        <v>141</v>
      </c>
      <c r="E127">
        <v>161.6</v>
      </c>
      <c r="F127">
        <v>141.19999999999999</v>
      </c>
      <c r="G127">
        <v>146.5</v>
      </c>
      <c r="H127">
        <v>125.6</v>
      </c>
      <c r="I127">
        <v>145.69999999999999</v>
      </c>
      <c r="J127">
        <v>178.8</v>
      </c>
      <c r="K127">
        <v>133.1</v>
      </c>
      <c r="L127">
        <v>113.6</v>
      </c>
      <c r="M127">
        <v>145.5</v>
      </c>
      <c r="N127">
        <v>138.6</v>
      </c>
      <c r="O127">
        <v>157.4</v>
      </c>
      <c r="P127">
        <v>148.30000000000001</v>
      </c>
      <c r="Q127">
        <v>166.3</v>
      </c>
      <c r="R127">
        <v>151.69999999999999</v>
      </c>
      <c r="S127">
        <v>146.69999999999999</v>
      </c>
      <c r="T127">
        <v>151</v>
      </c>
      <c r="U127">
        <v>140.85</v>
      </c>
      <c r="V127">
        <v>147.69999999999999</v>
      </c>
      <c r="W127">
        <v>150.6</v>
      </c>
      <c r="X127">
        <v>153.69999999999999</v>
      </c>
      <c r="Y127">
        <v>131.69999999999999</v>
      </c>
      <c r="Z127">
        <v>148.69999999999999</v>
      </c>
      <c r="AA127">
        <v>160.69999999999999</v>
      </c>
      <c r="AB127">
        <v>140.30000000000001</v>
      </c>
      <c r="AC127">
        <v>145.69999999999999</v>
      </c>
      <c r="AD127">
        <v>148.30000000000001</v>
      </c>
      <c r="AE127">
        <v>145.94285714285712</v>
      </c>
      <c r="AF127">
        <v>149.79999999999998</v>
      </c>
      <c r="AG127">
        <v>145.72499999999999</v>
      </c>
      <c r="AH127" s="2">
        <f>All_India_Index_Upto_April23__1[[#This Row],[House]]/All_India_Index_Upto_April23__1[[#This Row],[TOTAL BROADER CATEGORIES]]</f>
        <v>9.9134820732231732E-2</v>
      </c>
      <c r="AI127" s="2">
        <f>All_India_Index_Upto_April23__1[[#This Row],[Cloth]]/All_India_Index_Upto_April23__1[[#This Row],[TOTAL BROADER CATEGORIES]]</f>
        <v>0.10190699019171942</v>
      </c>
      <c r="AJ127" s="2">
        <f>All_India_Index_Upto_April23__1[[#This Row],[Food]]/All_India_Index_Upto_April23__1[[#This Row],[TOTAL BROADER CATEGORIES]]</f>
        <v>9.9283026110872169E-2</v>
      </c>
      <c r="AK127" s="2">
        <f>All_India_Index_Upto_April23__1[[#This Row],[Miscellaneous]]/All_India_Index_Upto_April23__1[[#This Row],[TOTAL BROADER CATEGORIES]]</f>
        <v>9.9117813557633647E-2</v>
      </c>
      <c r="AL127" s="2">
        <f>All_India_Index_Upto_April23__1[[#This Row],[Personal care and effects]]/All_India_Index_Upto_April23__1[[#This Row],[TOTAL BROADER CATEGORIES]]</f>
        <v>9.5444263844447513E-2</v>
      </c>
      <c r="AM127" s="2">
        <f>All_India_Index_Upto_April23__1[[#This Row],[Education]]/All_India_Index_Upto_April23__1[[#This Row],[TOTAL BROADER CATEGORIES]]</f>
        <v>0.10932211831648406</v>
      </c>
      <c r="AN127" s="2">
        <f>All_India_Index_Upto_April23__1[[#This Row],[Recreation and amusement]]/All_India_Index_Upto_April23__1[[#This Row],[TOTAL BROADER CATEGORIES]]</f>
        <v>0.10115867450940373</v>
      </c>
      <c r="AO127" s="2">
        <f>All_India_Index_Upto_April23__1[[#This Row],[Transport and communication]]/All_India_Index_Upto_April23__1[[#This Row],[TOTAL BROADER CATEGORIES]]</f>
        <v>8.9593795782706598E-2</v>
      </c>
      <c r="AP127" s="2">
        <f>All_India_Index_Upto_April23__1[[#This Row],[Health]]/All_India_Index_Upto_April23__1[[#This Row],[TOTAL BROADER CATEGORIES]]</f>
        <v>0.10456010942902053</v>
      </c>
      <c r="AQ127" s="2">
        <f>All_India_Index_Upto_April23__1[[#This Row],[Fuel and light]]/All_India_Index_Upto_April23__1[[#This Row],[TOTAL BROADER CATEGORIES]]</f>
        <v>0.10047838752548037</v>
      </c>
      <c r="AR127">
        <f>MONTH(1 &amp; All_India_Index_Upto_April23__1[[#This Row],[Month]])</f>
        <v>10</v>
      </c>
      <c r="AS127" s="19" t="str">
        <f>All_India_Index_Upto_April23__1[[#This Row],[MONTH IN NUM]]&amp;"/"&amp;All_India_Index_Upto_April23__1[[#This Row],[Year]]</f>
        <v>10/2019</v>
      </c>
      <c r="AT12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149.89285714285714</v>
      </c>
      <c r="AU12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1469.9678571428574</v>
      </c>
    </row>
    <row r="128" spans="1:47" x14ac:dyDescent="0.3">
      <c r="A128" t="s">
        <v>33</v>
      </c>
      <c r="B128">
        <v>2019</v>
      </c>
      <c r="C128" t="s">
        <v>41</v>
      </c>
      <c r="D128">
        <v>140.9</v>
      </c>
      <c r="E128">
        <v>160.80000000000001</v>
      </c>
      <c r="F128">
        <v>139.6</v>
      </c>
      <c r="G128">
        <v>145.4</v>
      </c>
      <c r="H128">
        <v>123.5</v>
      </c>
      <c r="I128">
        <v>146.6</v>
      </c>
      <c r="J128">
        <v>173.2</v>
      </c>
      <c r="K128">
        <v>131.6</v>
      </c>
      <c r="L128">
        <v>113.2</v>
      </c>
      <c r="M128">
        <v>144.1</v>
      </c>
      <c r="N128">
        <v>135</v>
      </c>
      <c r="O128">
        <v>156.80000000000001</v>
      </c>
      <c r="P128">
        <v>147</v>
      </c>
      <c r="Q128">
        <v>166.5</v>
      </c>
      <c r="R128">
        <v>149.19999999999999</v>
      </c>
      <c r="S128">
        <v>140.6</v>
      </c>
      <c r="T128">
        <v>147.9</v>
      </c>
      <c r="U128">
        <v>152.19999999999999</v>
      </c>
      <c r="V128">
        <v>139.19999999999999</v>
      </c>
      <c r="W128">
        <v>144.6</v>
      </c>
      <c r="X128">
        <v>149</v>
      </c>
      <c r="Y128">
        <v>126.1</v>
      </c>
      <c r="Z128">
        <v>141.30000000000001</v>
      </c>
      <c r="AA128">
        <v>155.19999999999999</v>
      </c>
      <c r="AB128">
        <v>139.69999999999999</v>
      </c>
      <c r="AC128">
        <v>140.69999999999999</v>
      </c>
      <c r="AD128">
        <v>145.80000000000001</v>
      </c>
      <c r="AE128">
        <v>144.58571428571426</v>
      </c>
      <c r="AF128">
        <v>145.89999999999998</v>
      </c>
      <c r="AG128">
        <v>148.39999999999998</v>
      </c>
      <c r="AH128" s="2">
        <f>All_India_Index_Upto_April23__1[[#This Row],[House]]/All_India_Index_Upto_April23__1[[#This Row],[TOTAL BROADER CATEGORIES]]</f>
        <v>0.10377000379597626</v>
      </c>
      <c r="AI128" s="2">
        <f>All_India_Index_Upto_April23__1[[#This Row],[Cloth]]/All_India_Index_Upto_April23__1[[#This Row],[TOTAL BROADER CATEGORIES]]</f>
        <v>0.10202185683175832</v>
      </c>
      <c r="AJ128" s="2">
        <f>All_India_Index_Upto_April23__1[[#This Row],[Food]]/All_India_Index_Upto_April23__1[[#This Row],[TOTAL BROADER CATEGORIES]]</f>
        <v>0.1011028309991409</v>
      </c>
      <c r="AK128" s="2">
        <f>All_India_Index_Upto_April23__1[[#This Row],[Miscellaneous]]/All_India_Index_Upto_April23__1[[#This Row],[TOTAL BROADER CATEGORIES]]</f>
        <v>9.8385711146185037E-2</v>
      </c>
      <c r="AL128" s="2">
        <f>All_India_Index_Upto_April23__1[[#This Row],[Personal care and effects]]/All_India_Index_Upto_April23__1[[#This Row],[TOTAL BROADER CATEGORIES]]</f>
        <v>9.7686452360497875E-2</v>
      </c>
      <c r="AM128" s="2">
        <f>All_India_Index_Upto_April23__1[[#This Row],[Education]]/All_India_Index_Upto_April23__1[[#This Row],[TOTAL BROADER CATEGORIES]]</f>
        <v>0.10852496353864903</v>
      </c>
      <c r="AN128" s="2">
        <f>All_India_Index_Upto_April23__1[[#This Row],[Recreation and amusement]]/All_India_Index_Upto_April23__1[[#This Row],[TOTAL BROADER CATEGORIES]]</f>
        <v>9.8805266417597362E-2</v>
      </c>
      <c r="AO128" s="2">
        <f>All_India_Index_Upto_April23__1[[#This Row],[Transport and communication]]/All_India_Index_Upto_April23__1[[#This Row],[TOTAL BROADER CATEGORIES]]</f>
        <v>8.8176532875152341E-2</v>
      </c>
      <c r="AP128" s="2">
        <f>All_India_Index_Upto_April23__1[[#This Row],[Health]]/All_India_Index_Upto_April23__1[[#This Row],[TOTAL BROADER CATEGORIES]]</f>
        <v>0.10418955906738858</v>
      </c>
      <c r="AQ128" s="2">
        <f>All_India_Index_Upto_April23__1[[#This Row],[Fuel and light]]/All_India_Index_Upto_April23__1[[#This Row],[TOTAL BROADER CATEGORIES]]</f>
        <v>9.733682296765428E-2</v>
      </c>
      <c r="AR128">
        <f>MONTH(1 &amp; All_India_Index_Upto_April23__1[[#This Row],[Month]])</f>
        <v>9</v>
      </c>
      <c r="AS128" s="19" t="str">
        <f>All_India_Index_Upto_April23__1[[#This Row],[MONTH IN NUM]]&amp;"/"&amp;All_India_Index_Upto_April23__1[[#This Row],[Year]]</f>
        <v>9/2019</v>
      </c>
      <c r="AT12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146.98571428571427</v>
      </c>
      <c r="AU12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1430.0857142857142</v>
      </c>
    </row>
    <row r="129" spans="1:47" x14ac:dyDescent="0.3">
      <c r="A129" t="s">
        <v>30</v>
      </c>
      <c r="B129">
        <v>2019</v>
      </c>
      <c r="C129" t="s">
        <v>41</v>
      </c>
      <c r="D129">
        <v>140.1</v>
      </c>
      <c r="E129">
        <v>161.9</v>
      </c>
      <c r="F129">
        <v>138.30000000000001</v>
      </c>
      <c r="G129">
        <v>145.69999999999999</v>
      </c>
      <c r="H129">
        <v>125.1</v>
      </c>
      <c r="I129">
        <v>143.80000000000001</v>
      </c>
      <c r="J129">
        <v>163.4</v>
      </c>
      <c r="K129">
        <v>132.19999999999999</v>
      </c>
      <c r="L129">
        <v>112.8</v>
      </c>
      <c r="M129">
        <v>144.19999999999999</v>
      </c>
      <c r="N129">
        <v>138.5</v>
      </c>
      <c r="O129">
        <v>157.19999999999999</v>
      </c>
      <c r="P129">
        <v>145.5</v>
      </c>
      <c r="Q129">
        <v>165.7</v>
      </c>
      <c r="R129">
        <v>151.69999999999999</v>
      </c>
      <c r="S129">
        <v>146.6</v>
      </c>
      <c r="T129">
        <v>151</v>
      </c>
      <c r="U129">
        <v>140.85</v>
      </c>
      <c r="V129">
        <v>146.9</v>
      </c>
      <c r="W129">
        <v>150.30000000000001</v>
      </c>
      <c r="X129">
        <v>153.4</v>
      </c>
      <c r="Y129">
        <v>131.6</v>
      </c>
      <c r="Z129">
        <v>148.30000000000001</v>
      </c>
      <c r="AA129">
        <v>160.19999999999999</v>
      </c>
      <c r="AB129">
        <v>140.19999999999999</v>
      </c>
      <c r="AC129">
        <v>145.4</v>
      </c>
      <c r="AD129">
        <v>146.69999999999999</v>
      </c>
      <c r="AE129">
        <v>143.8857142857143</v>
      </c>
      <c r="AF129">
        <v>149.76666666666665</v>
      </c>
      <c r="AG129">
        <v>145.57499999999999</v>
      </c>
      <c r="AH129" s="2">
        <f>All_India_Index_Upto_April23__1[[#This Row],[House]]/All_India_Index_Upto_April23__1[[#This Row],[TOTAL BROADER CATEGORIES]]</f>
        <v>9.9353180190625362E-2</v>
      </c>
      <c r="AI129" s="2">
        <f>All_India_Index_Upto_April23__1[[#This Row],[Cloth]]/All_India_Index_Upto_April23__1[[#This Row],[TOTAL BROADER CATEGORIES]]</f>
        <v>0.10221394209089925</v>
      </c>
      <c r="AJ129" s="2">
        <f>All_India_Index_Upto_April23__1[[#This Row],[Food]]/All_India_Index_Upto_April23__1[[#This Row],[TOTAL BROADER CATEGORIES]]</f>
        <v>9.8200263082846725E-2</v>
      </c>
      <c r="AK129" s="2">
        <f>All_India_Index_Upto_April23__1[[#This Row],[Miscellaneous]]/All_India_Index_Upto_April23__1[[#This Row],[TOTAL BROADER CATEGORIES]]</f>
        <v>9.923374480313879E-2</v>
      </c>
      <c r="AL129" s="2">
        <f>All_India_Index_Upto_April23__1[[#This Row],[Personal care and effects]]/All_India_Index_Upto_April23__1[[#This Row],[TOTAL BROADER CATEGORIES]]</f>
        <v>9.5684807574966002E-2</v>
      </c>
      <c r="AM129" s="2">
        <f>All_India_Index_Upto_April23__1[[#This Row],[Education]]/All_India_Index_Upto_April23__1[[#This Row],[TOTAL BROADER CATEGORIES]]</f>
        <v>0.1093345661448613</v>
      </c>
      <c r="AN129" s="2">
        <f>All_India_Index_Upto_April23__1[[#This Row],[Recreation and amusement]]/All_India_Index_Upto_April23__1[[#This Row],[TOTAL BROADER CATEGORIES]]</f>
        <v>0.10121295979577362</v>
      </c>
      <c r="AO129" s="2">
        <f>All_India_Index_Upto_April23__1[[#This Row],[Transport and communication]]/All_India_Index_Upto_April23__1[[#This Row],[TOTAL BROADER CATEGORIES]]</f>
        <v>8.9815411389911032E-2</v>
      </c>
      <c r="AP129" s="2">
        <f>All_India_Index_Upto_April23__1[[#This Row],[Health]]/All_India_Index_Upto_April23__1[[#This Row],[TOTAL BROADER CATEGORIES]]</f>
        <v>0.10469364823109691</v>
      </c>
      <c r="AQ129" s="2">
        <f>All_India_Index_Upto_April23__1[[#This Row],[Fuel and light]]/All_India_Index_Upto_April23__1[[#This Row],[TOTAL BROADER CATEGORIES]]</f>
        <v>0.10025747669588093</v>
      </c>
      <c r="AR129">
        <f>MONTH(1 &amp; All_India_Index_Upto_April23__1[[#This Row],[Month]])</f>
        <v>9</v>
      </c>
      <c r="AS129" s="19" t="str">
        <f>All_India_Index_Upto_April23__1[[#This Row],[MONTH IN NUM]]&amp;"/"&amp;All_India_Index_Upto_April23__1[[#This Row],[Year]]</f>
        <v>9/2019</v>
      </c>
      <c r="AT12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149.65</v>
      </c>
      <c r="AU12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1465.2273809523811</v>
      </c>
    </row>
    <row r="130" spans="1:47" x14ac:dyDescent="0.3">
      <c r="A130" t="s">
        <v>32</v>
      </c>
      <c r="B130">
        <v>2019</v>
      </c>
      <c r="C130" t="s">
        <v>41</v>
      </c>
      <c r="D130">
        <v>142.69999999999999</v>
      </c>
      <c r="E130">
        <v>158.69999999999999</v>
      </c>
      <c r="F130">
        <v>141.6</v>
      </c>
      <c r="G130">
        <v>144.9</v>
      </c>
      <c r="H130">
        <v>120.8</v>
      </c>
      <c r="I130">
        <v>149.80000000000001</v>
      </c>
      <c r="J130">
        <v>192.4</v>
      </c>
      <c r="K130">
        <v>130.30000000000001</v>
      </c>
      <c r="L130">
        <v>114</v>
      </c>
      <c r="M130">
        <v>143.80000000000001</v>
      </c>
      <c r="N130">
        <v>130</v>
      </c>
      <c r="O130">
        <v>156.4</v>
      </c>
      <c r="P130">
        <v>149.5</v>
      </c>
      <c r="Q130">
        <v>168.6</v>
      </c>
      <c r="R130">
        <v>145.30000000000001</v>
      </c>
      <c r="S130">
        <v>132.19999999999999</v>
      </c>
      <c r="T130">
        <v>143.30000000000001</v>
      </c>
      <c r="U130">
        <v>152.19999999999999</v>
      </c>
      <c r="V130">
        <v>126.6</v>
      </c>
      <c r="W130">
        <v>138.30000000000001</v>
      </c>
      <c r="X130">
        <v>141.9</v>
      </c>
      <c r="Y130">
        <v>121.2</v>
      </c>
      <c r="Z130">
        <v>135.9</v>
      </c>
      <c r="AA130">
        <v>151.6</v>
      </c>
      <c r="AB130">
        <v>139</v>
      </c>
      <c r="AC130">
        <v>135.69999999999999</v>
      </c>
      <c r="AD130">
        <v>144.69999999999999</v>
      </c>
      <c r="AE130">
        <v>145.96428571428572</v>
      </c>
      <c r="AF130">
        <v>140.26666666666668</v>
      </c>
      <c r="AG130">
        <v>145.25</v>
      </c>
      <c r="AH130" s="2">
        <f>All_India_Index_Upto_April23__1[[#This Row],[House]]/All_India_Index_Upto_April23__1[[#This Row],[TOTAL BROADER CATEGORIES]]</f>
        <v>0.10499638566658635</v>
      </c>
      <c r="AI130" s="2">
        <f>All_India_Index_Upto_April23__1[[#This Row],[Cloth]]/All_India_Index_Upto_April23__1[[#This Row],[TOTAL BROADER CATEGORIES]]</f>
        <v>0.10139410003098001</v>
      </c>
      <c r="AJ130" s="2">
        <f>All_India_Index_Upto_April23__1[[#This Row],[Food]]/All_India_Index_Upto_April23__1[[#This Row],[TOTAL BROADER CATEGORIES]]</f>
        <v>0.10551271901139377</v>
      </c>
      <c r="AK130" s="2">
        <f>All_India_Index_Upto_April23__1[[#This Row],[Miscellaneous]]/All_India_Index_Upto_April23__1[[#This Row],[TOTAL BROADER CATEGORIES]]</f>
        <v>9.8093008846511301E-2</v>
      </c>
      <c r="AL130" s="2">
        <f>All_India_Index_Upto_April23__1[[#This Row],[Personal care and effects]]/All_India_Index_Upto_April23__1[[#This Row],[TOTAL BROADER CATEGORIES]]</f>
        <v>0.10047846889952154</v>
      </c>
      <c r="AM130" s="2">
        <f>All_India_Index_Upto_April23__1[[#This Row],[Education]]/All_India_Index_Upto_April23__1[[#This Row],[TOTAL BROADER CATEGORIES]]</f>
        <v>0.1095865891019242</v>
      </c>
      <c r="AN130" s="2">
        <f>All_India_Index_Upto_April23__1[[#This Row],[Recreation and amusement]]/All_India_Index_Upto_April23__1[[#This Row],[TOTAL BROADER CATEGORIES]]</f>
        <v>9.8237582183057393E-2</v>
      </c>
      <c r="AO130" s="2">
        <f>All_India_Index_Upto_April23__1[[#This Row],[Transport and communication]]/All_India_Index_Upto_April23__1[[#This Row],[TOTAL BROADER CATEGORIES]]</f>
        <v>8.7611441946920943E-2</v>
      </c>
      <c r="AP130" s="2">
        <f>All_India_Index_Upto_April23__1[[#This Row],[Health]]/All_India_Index_Upto_April23__1[[#This Row],[TOTAL BROADER CATEGORIES]]</f>
        <v>0.10257478227943961</v>
      </c>
      <c r="AQ130" s="2">
        <f>All_India_Index_Upto_April23__1[[#This Row],[Fuel and light]]/All_India_Index_Upto_April23__1[[#This Row],[TOTAL BROADER CATEGORIES]]</f>
        <v>9.1514922033664931E-2</v>
      </c>
      <c r="AR130">
        <f>MONTH(1 &amp; All_India_Index_Upto_April23__1[[#This Row],[Month]])</f>
        <v>9</v>
      </c>
      <c r="AS130" s="19" t="str">
        <f>All_India_Index_Upto_April23__1[[#This Row],[MONTH IN NUM]]&amp;"/"&amp;All_India_Index_Upto_April23__1[[#This Row],[Year]]</f>
        <v>9/2019</v>
      </c>
      <c r="AT13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141.35714285714286</v>
      </c>
      <c r="AU13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1383.3809523809523</v>
      </c>
    </row>
    <row r="131" spans="1:47" x14ac:dyDescent="0.3">
      <c r="A131" t="s">
        <v>32</v>
      </c>
      <c r="B131">
        <v>2019</v>
      </c>
      <c r="C131" t="s">
        <v>40</v>
      </c>
      <c r="D131">
        <v>142.1</v>
      </c>
      <c r="E131">
        <v>158.30000000000001</v>
      </c>
      <c r="F131">
        <v>140.80000000000001</v>
      </c>
      <c r="G131">
        <v>144.9</v>
      </c>
      <c r="H131">
        <v>119.9</v>
      </c>
      <c r="I131">
        <v>153.9</v>
      </c>
      <c r="J131">
        <v>189.1</v>
      </c>
      <c r="K131">
        <v>129.80000000000001</v>
      </c>
      <c r="L131">
        <v>112.7</v>
      </c>
      <c r="M131">
        <v>142.5</v>
      </c>
      <c r="N131">
        <v>129.80000000000001</v>
      </c>
      <c r="O131">
        <v>156.19999999999999</v>
      </c>
      <c r="P131">
        <v>149.1</v>
      </c>
      <c r="Q131">
        <v>167.9</v>
      </c>
      <c r="R131">
        <v>145</v>
      </c>
      <c r="S131">
        <v>132.19999999999999</v>
      </c>
      <c r="T131">
        <v>143</v>
      </c>
      <c r="U131">
        <v>151.6</v>
      </c>
      <c r="V131">
        <v>125.5</v>
      </c>
      <c r="W131">
        <v>138.1</v>
      </c>
      <c r="X131">
        <v>141.5</v>
      </c>
      <c r="Y131">
        <v>120.8</v>
      </c>
      <c r="Z131">
        <v>135.4</v>
      </c>
      <c r="AA131">
        <v>151.5</v>
      </c>
      <c r="AB131">
        <v>137.80000000000001</v>
      </c>
      <c r="AC131">
        <v>135.30000000000001</v>
      </c>
      <c r="AD131">
        <v>144.19999999999999</v>
      </c>
      <c r="AE131">
        <v>145.5</v>
      </c>
      <c r="AF131">
        <v>140.06666666666666</v>
      </c>
      <c r="AG131">
        <v>144.85</v>
      </c>
      <c r="AH131" s="2">
        <f>All_India_Index_Upto_April23__1[[#This Row],[House]]/All_India_Index_Upto_April23__1[[#This Row],[TOTAL BROADER CATEGORIES]]</f>
        <v>0.10509958521277496</v>
      </c>
      <c r="AI131" s="2">
        <f>All_India_Index_Upto_April23__1[[#This Row],[Cloth]]/All_India_Index_Upto_April23__1[[#This Row],[TOTAL BROADER CATEGORIES]]</f>
        <v>0.10162891659511687</v>
      </c>
      <c r="AJ131" s="2">
        <f>All_India_Index_Upto_April23__1[[#This Row],[Food]]/All_India_Index_Upto_April23__1[[#This Row],[TOTAL BROADER CATEGORIES]]</f>
        <v>0.10557120917127205</v>
      </c>
      <c r="AK131" s="2">
        <f>All_India_Index_Upto_April23__1[[#This Row],[Miscellaneous]]/All_India_Index_Upto_April23__1[[#This Row],[TOTAL BROADER CATEGORIES]]</f>
        <v>9.8170340899471548E-2</v>
      </c>
      <c r="AL131" s="2">
        <f>All_India_Index_Upto_April23__1[[#This Row],[Personal care and effects]]/All_India_Index_Upto_April23__1[[#This Row],[TOTAL BROADER CATEGORIES]]</f>
        <v>9.9984279201383433E-2</v>
      </c>
      <c r="AM131" s="2">
        <f>All_India_Index_Upto_April23__1[[#This Row],[Education]]/All_India_Index_Upto_April23__1[[#This Row],[TOTAL BROADER CATEGORIES]]</f>
        <v>0.10992466109586059</v>
      </c>
      <c r="AN131" s="2">
        <f>All_India_Index_Upto_April23__1[[#This Row],[Recreation and amusement]]/All_India_Index_Upto_April23__1[[#This Row],[TOTAL BROADER CATEGORIES]]</f>
        <v>9.8242898431548015E-2</v>
      </c>
      <c r="AO131" s="2">
        <f>All_India_Index_Upto_April23__1[[#This Row],[Transport and communication]]/All_India_Index_Upto_April23__1[[#This Row],[TOTAL BROADER CATEGORIES]]</f>
        <v>8.764949874838257E-2</v>
      </c>
      <c r="AP131" s="2">
        <f>All_India_Index_Upto_April23__1[[#This Row],[Health]]/All_India_Index_Upto_April23__1[[#This Row],[TOTAL BROADER CATEGORIES]]</f>
        <v>0.10266890788821302</v>
      </c>
      <c r="AQ131" s="2">
        <f>All_India_Index_Upto_April23__1[[#This Row],[Fuel and light]]/All_India_Index_Upto_April23__1[[#This Row],[TOTAL BROADER CATEGORIES]]</f>
        <v>9.1059702755976926E-2</v>
      </c>
      <c r="AR131">
        <f>MONTH(1 &amp; All_India_Index_Upto_April23__1[[#This Row],[Month]])</f>
        <v>8</v>
      </c>
      <c r="AS131" s="19" t="str">
        <f>All_India_Index_Upto_April23__1[[#This Row],[MONTH IN NUM]]&amp;"/"&amp;All_India_Index_Upto_April23__1[[#This Row],[Year]]</f>
        <v>8/2019</v>
      </c>
      <c r="AT13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140.98571428571429</v>
      </c>
      <c r="AU13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1378.2166666666667</v>
      </c>
    </row>
    <row r="132" spans="1:47" x14ac:dyDescent="0.3">
      <c r="A132" t="s">
        <v>33</v>
      </c>
      <c r="B132">
        <v>2019</v>
      </c>
      <c r="C132" t="s">
        <v>40</v>
      </c>
      <c r="D132">
        <v>140.1</v>
      </c>
      <c r="E132">
        <v>160.6</v>
      </c>
      <c r="F132">
        <v>138.5</v>
      </c>
      <c r="G132">
        <v>144.69999999999999</v>
      </c>
      <c r="H132">
        <v>122.9</v>
      </c>
      <c r="I132">
        <v>149.4</v>
      </c>
      <c r="J132">
        <v>167.4</v>
      </c>
      <c r="K132">
        <v>130.9</v>
      </c>
      <c r="L132">
        <v>112</v>
      </c>
      <c r="M132">
        <v>142.6</v>
      </c>
      <c r="N132">
        <v>134.9</v>
      </c>
      <c r="O132">
        <v>156.6</v>
      </c>
      <c r="P132">
        <v>145.9</v>
      </c>
      <c r="Q132">
        <v>165.8</v>
      </c>
      <c r="R132">
        <v>149.1</v>
      </c>
      <c r="S132">
        <v>140.6</v>
      </c>
      <c r="T132">
        <v>147.9</v>
      </c>
      <c r="U132">
        <v>151.6</v>
      </c>
      <c r="V132">
        <v>138.5</v>
      </c>
      <c r="W132">
        <v>144.5</v>
      </c>
      <c r="X132">
        <v>148.5</v>
      </c>
      <c r="Y132">
        <v>125.8</v>
      </c>
      <c r="Z132">
        <v>140.9</v>
      </c>
      <c r="AA132">
        <v>154.9</v>
      </c>
      <c r="AB132">
        <v>138.4</v>
      </c>
      <c r="AC132">
        <v>140.19999999999999</v>
      </c>
      <c r="AD132">
        <v>145</v>
      </c>
      <c r="AE132">
        <v>143.73571428571429</v>
      </c>
      <c r="AF132">
        <v>145.86666666666667</v>
      </c>
      <c r="AG132">
        <v>148.05000000000001</v>
      </c>
      <c r="AH132" s="2">
        <f>All_India_Index_Upto_April23__1[[#This Row],[House]]/All_India_Index_Upto_April23__1[[#This Row],[TOTAL BROADER CATEGORIES]]</f>
        <v>0.10390550065336759</v>
      </c>
      <c r="AI132" s="2">
        <f>All_India_Index_Upto_April23__1[[#This Row],[Cloth]]/All_India_Index_Upto_April23__1[[#This Row],[TOTAL BROADER CATEGORIES]]</f>
        <v>0.10237317817384591</v>
      </c>
      <c r="AJ132" s="2">
        <f>All_India_Index_Upto_April23__1[[#This Row],[Food]]/All_India_Index_Upto_April23__1[[#This Row],[TOTAL BROADER CATEGORIES]]</f>
        <v>0.1008776180656977</v>
      </c>
      <c r="AK132" s="2">
        <f>All_India_Index_Upto_April23__1[[#This Row],[Miscellaneous]]/All_India_Index_Upto_April23__1[[#This Row],[TOTAL BROADER CATEGORIES]]</f>
        <v>9.8396157997988079E-2</v>
      </c>
      <c r="AL132" s="2">
        <f>All_India_Index_Upto_April23__1[[#This Row],[Personal care and effects]]/All_India_Index_Upto_April23__1[[#This Row],[TOTAL BROADER CATEGORIES]]</f>
        <v>9.713286923624502E-2</v>
      </c>
      <c r="AM132" s="2">
        <f>All_India_Index_Upto_April23__1[[#This Row],[Education]]/All_India_Index_Upto_April23__1[[#This Row],[TOTAL BROADER CATEGORIES]]</f>
        <v>0.10871301621888985</v>
      </c>
      <c r="AN132" s="2">
        <f>All_India_Index_Upto_April23__1[[#This Row],[Recreation and amusement]]/All_India_Index_Upto_April23__1[[#This Row],[TOTAL BROADER CATEGORIES]]</f>
        <v>9.888743696088817E-2</v>
      </c>
      <c r="AO132" s="2">
        <f>All_India_Index_Upto_April23__1[[#This Row],[Transport and communication]]/All_India_Index_Upto_April23__1[[#This Row],[TOTAL BROADER CATEGORIES]]</f>
        <v>8.8289847904043525E-2</v>
      </c>
      <c r="AP132" s="2">
        <f>All_India_Index_Upto_April23__1[[#This Row],[Health]]/All_India_Index_Upto_April23__1[[#This Row],[TOTAL BROADER CATEGORIES]]</f>
        <v>0.10422132284380337</v>
      </c>
      <c r="AQ132" s="2">
        <f>All_India_Index_Upto_April23__1[[#This Row],[Fuel and light]]/All_India_Index_Upto_April23__1[[#This Row],[TOTAL BROADER CATEGORIES]]</f>
        <v>9.720305194523074E-2</v>
      </c>
      <c r="AR132">
        <f>MONTH(1 &amp; All_India_Index_Upto_April23__1[[#This Row],[Month]])</f>
        <v>8</v>
      </c>
      <c r="AS132" s="19" t="str">
        <f>All_India_Index_Upto_April23__1[[#This Row],[MONTH IN NUM]]&amp;"/"&amp;All_India_Index_Upto_April23__1[[#This Row],[Year]]</f>
        <v>8/2019</v>
      </c>
      <c r="AT13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146.72857142857143</v>
      </c>
      <c r="AU13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1424.8523809523811</v>
      </c>
    </row>
    <row r="133" spans="1:47" x14ac:dyDescent="0.3">
      <c r="A133" t="s">
        <v>30</v>
      </c>
      <c r="B133">
        <v>2019</v>
      </c>
      <c r="C133" t="s">
        <v>40</v>
      </c>
      <c r="D133">
        <v>139.19999999999999</v>
      </c>
      <c r="E133">
        <v>161.9</v>
      </c>
      <c r="F133">
        <v>137.1</v>
      </c>
      <c r="G133">
        <v>144.6</v>
      </c>
      <c r="H133">
        <v>124.7</v>
      </c>
      <c r="I133">
        <v>145.5</v>
      </c>
      <c r="J133">
        <v>156.19999999999999</v>
      </c>
      <c r="K133">
        <v>131.5</v>
      </c>
      <c r="L133">
        <v>111.7</v>
      </c>
      <c r="M133">
        <v>142.69999999999999</v>
      </c>
      <c r="N133">
        <v>138.5</v>
      </c>
      <c r="O133">
        <v>156.9</v>
      </c>
      <c r="P133">
        <v>144</v>
      </c>
      <c r="Q133">
        <v>165.1</v>
      </c>
      <c r="R133">
        <v>151.80000000000001</v>
      </c>
      <c r="S133">
        <v>146.6</v>
      </c>
      <c r="T133">
        <v>151.1</v>
      </c>
      <c r="U133">
        <v>140.85</v>
      </c>
      <c r="V133">
        <v>146.4</v>
      </c>
      <c r="W133">
        <v>150.19999999999999</v>
      </c>
      <c r="X133">
        <v>152.69999999999999</v>
      </c>
      <c r="Y133">
        <v>131.4</v>
      </c>
      <c r="Z133">
        <v>148</v>
      </c>
      <c r="AA133">
        <v>159.69999999999999</v>
      </c>
      <c r="AB133">
        <v>138.80000000000001</v>
      </c>
      <c r="AC133">
        <v>144.9</v>
      </c>
      <c r="AD133">
        <v>145.69999999999999</v>
      </c>
      <c r="AE133">
        <v>142.82857142857145</v>
      </c>
      <c r="AF133">
        <v>149.83333333333334</v>
      </c>
      <c r="AG133">
        <v>145.52499999999998</v>
      </c>
      <c r="AH133" s="2">
        <f>All_India_Index_Upto_April23__1[[#This Row],[House]]/All_India_Index_Upto_April23__1[[#This Row],[TOTAL BROADER CATEGORIES]]</f>
        <v>9.9668724872051778E-2</v>
      </c>
      <c r="AI133" s="2">
        <f>All_India_Index_Upto_April23__1[[#This Row],[Cloth]]/All_India_Index_Upto_April23__1[[#This Row],[TOTAL BROADER CATEGORIES]]</f>
        <v>0.10261946247491791</v>
      </c>
      <c r="AJ133" s="2">
        <f>All_India_Index_Upto_April23__1[[#This Row],[Food]]/All_India_Index_Upto_April23__1[[#This Row],[TOTAL BROADER CATEGORIES]]</f>
        <v>9.782196591364016E-2</v>
      </c>
      <c r="AK133" s="2">
        <f>All_India_Index_Upto_April23__1[[#This Row],[Miscellaneous]]/All_India_Index_Upto_April23__1[[#This Row],[TOTAL BROADER CATEGORIES]]</f>
        <v>9.9240668159837175E-2</v>
      </c>
      <c r="AL133" s="2">
        <f>All_India_Index_Upto_April23__1[[#This Row],[Personal care and effects]]/All_India_Index_Upto_April23__1[[#This Row],[TOTAL BROADER CATEGORIES]]</f>
        <v>9.5062834648622502E-2</v>
      </c>
      <c r="AM133" s="2">
        <f>All_India_Index_Upto_April23__1[[#This Row],[Education]]/All_India_Index_Upto_April23__1[[#This Row],[TOTAL BROADER CATEGORIES]]</f>
        <v>0.10937705110507932</v>
      </c>
      <c r="AN133" s="2">
        <f>All_India_Index_Upto_April23__1[[#This Row],[Recreation and amusement]]/All_India_Index_Upto_April23__1[[#This Row],[TOTAL BROADER CATEGORIES]]</f>
        <v>0.10136382945242167</v>
      </c>
      <c r="AO133" s="2">
        <f>All_India_Index_Upto_April23__1[[#This Row],[Transport and communication]]/All_India_Index_Upto_April23__1[[#This Row],[TOTAL BROADER CATEGORIES]]</f>
        <v>8.9994643176001407E-2</v>
      </c>
      <c r="AP133" s="2">
        <f>All_India_Index_Upto_April23__1[[#This Row],[Health]]/All_India_Index_Upto_April23__1[[#This Row],[TOTAL BROADER CATEGORIES]]</f>
        <v>0.1045828159282756</v>
      </c>
      <c r="AQ133" s="2">
        <f>All_India_Index_Upto_April23__1[[#This Row],[Fuel and light]]/All_India_Index_Upto_April23__1[[#This Row],[TOTAL BROADER CATEGORIES]]</f>
        <v>0.10026800426915226</v>
      </c>
      <c r="AR133">
        <f>MONTH(1 &amp; All_India_Index_Upto_April23__1[[#This Row],[Month]])</f>
        <v>8</v>
      </c>
      <c r="AS133" s="19" t="str">
        <f>All_India_Index_Upto_April23__1[[#This Row],[MONTH IN NUM]]&amp;"/"&amp;All_India_Index_Upto_April23__1[[#This Row],[Year]]</f>
        <v>8/2019</v>
      </c>
      <c r="AT13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149.52142857142857</v>
      </c>
      <c r="AU13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1460.0869047619051</v>
      </c>
    </row>
    <row r="134" spans="1:47" x14ac:dyDescent="0.3">
      <c r="A134" t="s">
        <v>30</v>
      </c>
      <c r="B134">
        <v>2019</v>
      </c>
      <c r="C134" t="s">
        <v>39</v>
      </c>
      <c r="D134">
        <v>138.4</v>
      </c>
      <c r="E134">
        <v>164</v>
      </c>
      <c r="F134">
        <v>138.4</v>
      </c>
      <c r="G134">
        <v>143.9</v>
      </c>
      <c r="H134">
        <v>124.4</v>
      </c>
      <c r="I134">
        <v>146.4</v>
      </c>
      <c r="J134">
        <v>150.1</v>
      </c>
      <c r="K134">
        <v>130.6</v>
      </c>
      <c r="L134">
        <v>110.8</v>
      </c>
      <c r="M134">
        <v>141.69999999999999</v>
      </c>
      <c r="N134">
        <v>138.5</v>
      </c>
      <c r="O134">
        <v>156.69999999999999</v>
      </c>
      <c r="P134">
        <v>143</v>
      </c>
      <c r="Q134">
        <v>164.5</v>
      </c>
      <c r="R134">
        <v>151.6</v>
      </c>
      <c r="S134">
        <v>146.6</v>
      </c>
      <c r="T134">
        <v>150.9</v>
      </c>
      <c r="U134">
        <v>140.85</v>
      </c>
      <c r="V134">
        <v>146.80000000000001</v>
      </c>
      <c r="W134">
        <v>150</v>
      </c>
      <c r="X134">
        <v>152.19999999999999</v>
      </c>
      <c r="Y134">
        <v>131.19999999999999</v>
      </c>
      <c r="Z134">
        <v>147.5</v>
      </c>
      <c r="AA134">
        <v>159.1</v>
      </c>
      <c r="AB134">
        <v>136.1</v>
      </c>
      <c r="AC134">
        <v>144.19999999999999</v>
      </c>
      <c r="AD134">
        <v>144.9</v>
      </c>
      <c r="AE134">
        <v>142.24285714285713</v>
      </c>
      <c r="AF134">
        <v>149.70000000000002</v>
      </c>
      <c r="AG134">
        <v>145.42500000000001</v>
      </c>
      <c r="AH134" s="2">
        <f>All_India_Index_Upto_April23__1[[#This Row],[House]]/All_India_Index_Upto_April23__1[[#This Row],[TOTAL BROADER CATEGORIES]]</f>
        <v>9.9985021522353543E-2</v>
      </c>
      <c r="AI134" s="2">
        <f>All_India_Index_Upto_April23__1[[#This Row],[Cloth]]/All_India_Index_Upto_April23__1[[#This Row],[TOTAL BROADER CATEGORIES]]</f>
        <v>0.10292424082445471</v>
      </c>
      <c r="AJ134" s="2">
        <f>All_India_Index_Upto_April23__1[[#This Row],[Food]]/All_India_Index_Upto_April23__1[[#This Row],[TOTAL BROADER CATEGORIES]]</f>
        <v>9.7797181590714322E-2</v>
      </c>
      <c r="AK134" s="2">
        <f>All_India_Index_Upto_April23__1[[#This Row],[Miscellaneous]]/All_India_Index_Upto_April23__1[[#This Row],[TOTAL BROADER CATEGORIES]]</f>
        <v>9.9142789090757286E-2</v>
      </c>
      <c r="AL134" s="2">
        <f>All_India_Index_Upto_April23__1[[#This Row],[Personal care and effects]]/All_India_Index_Upto_April23__1[[#This Row],[TOTAL BROADER CATEGORIES]]</f>
        <v>9.35737419920393E-2</v>
      </c>
      <c r="AM134" s="2">
        <f>All_India_Index_Upto_April23__1[[#This Row],[Education]]/All_India_Index_Upto_April23__1[[#This Row],[TOTAL BROADER CATEGORIES]]</f>
        <v>0.10938708560568297</v>
      </c>
      <c r="AN134" s="2">
        <f>All_India_Index_Upto_April23__1[[#This Row],[Recreation and amusement]]/All_India_Index_Upto_April23__1[[#This Row],[TOTAL BROADER CATEGORIES]]</f>
        <v>0.10141166013097573</v>
      </c>
      <c r="AO134" s="2">
        <f>All_India_Index_Upto_April23__1[[#This Row],[Transport and communication]]/All_India_Index_Upto_April23__1[[#This Row],[TOTAL BROADER CATEGORIES]]</f>
        <v>9.0204812265654341E-2</v>
      </c>
      <c r="AP134" s="2">
        <f>All_India_Index_Upto_April23__1[[#This Row],[Health]]/All_India_Index_Upto_April23__1[[#This Row],[TOTAL BROADER CATEGORIES]]</f>
        <v>0.10464308252158987</v>
      </c>
      <c r="AQ134" s="2">
        <f>All_India_Index_Upto_April23__1[[#This Row],[Fuel and light]]/All_India_Index_Upto_April23__1[[#This Row],[TOTAL BROADER CATEGORIES]]</f>
        <v>0.1009303844557779</v>
      </c>
      <c r="AR134">
        <f>MONTH(1 &amp; All_India_Index_Upto_April23__1[[#This Row],[Month]])</f>
        <v>7</v>
      </c>
      <c r="AS134" s="19" t="str">
        <f>All_India_Index_Upto_April23__1[[#This Row],[MONTH IN NUM]]&amp;"/"&amp;All_India_Index_Upto_April23__1[[#This Row],[Year]]</f>
        <v>7/2019</v>
      </c>
      <c r="AT13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149.40714285714284</v>
      </c>
      <c r="AU13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1454.4678571428572</v>
      </c>
    </row>
    <row r="135" spans="1:47" x14ac:dyDescent="0.3">
      <c r="A135" t="s">
        <v>32</v>
      </c>
      <c r="B135">
        <v>2019</v>
      </c>
      <c r="C135" t="s">
        <v>39</v>
      </c>
      <c r="D135">
        <v>141.4</v>
      </c>
      <c r="E135">
        <v>160.19999999999999</v>
      </c>
      <c r="F135">
        <v>142.5</v>
      </c>
      <c r="G135">
        <v>144.1</v>
      </c>
      <c r="H135">
        <v>119.3</v>
      </c>
      <c r="I135">
        <v>154.69999999999999</v>
      </c>
      <c r="J135">
        <v>180.1</v>
      </c>
      <c r="K135">
        <v>128.9</v>
      </c>
      <c r="L135">
        <v>111.8</v>
      </c>
      <c r="M135">
        <v>141.6</v>
      </c>
      <c r="N135">
        <v>129.5</v>
      </c>
      <c r="O135">
        <v>155.6</v>
      </c>
      <c r="P135">
        <v>147.69999999999999</v>
      </c>
      <c r="Q135">
        <v>167.2</v>
      </c>
      <c r="R135">
        <v>144.69999999999999</v>
      </c>
      <c r="S135">
        <v>131.9</v>
      </c>
      <c r="T135">
        <v>142.69999999999999</v>
      </c>
      <c r="U135">
        <v>150.6</v>
      </c>
      <c r="V135">
        <v>127</v>
      </c>
      <c r="W135">
        <v>137.69999999999999</v>
      </c>
      <c r="X135">
        <v>140.80000000000001</v>
      </c>
      <c r="Y135">
        <v>120.6</v>
      </c>
      <c r="Z135">
        <v>135</v>
      </c>
      <c r="AA135">
        <v>150.4</v>
      </c>
      <c r="AB135">
        <v>135.1</v>
      </c>
      <c r="AC135">
        <v>134.5</v>
      </c>
      <c r="AD135">
        <v>143.30000000000001</v>
      </c>
      <c r="AE135">
        <v>144.6142857142857</v>
      </c>
      <c r="AF135">
        <v>139.76666666666668</v>
      </c>
      <c r="AG135">
        <v>144.14999999999998</v>
      </c>
      <c r="AH135" s="2">
        <f>All_India_Index_Upto_April23__1[[#This Row],[House]]/All_India_Index_Upto_April23__1[[#This Row],[TOTAL BROADER CATEGORIES]]</f>
        <v>0.10507088549159943</v>
      </c>
      <c r="AI135" s="2">
        <f>All_India_Index_Upto_April23__1[[#This Row],[Cloth]]/All_India_Index_Upto_April23__1[[#This Row],[TOTAL BROADER CATEGORIES]]</f>
        <v>0.10187587533039115</v>
      </c>
      <c r="AJ135" s="2">
        <f>All_India_Index_Upto_April23__1[[#This Row],[Food]]/All_India_Index_Upto_April23__1[[#This Row],[TOTAL BROADER CATEGORIES]]</f>
        <v>0.10540930318928309</v>
      </c>
      <c r="AK135" s="2">
        <f>All_India_Index_Upto_April23__1[[#This Row],[Miscellaneous]]/All_India_Index_Upto_April23__1[[#This Row],[TOTAL BROADER CATEGORIES]]</f>
        <v>9.8037003805897499E-2</v>
      </c>
      <c r="AL135" s="2">
        <f>All_India_Index_Upto_April23__1[[#This Row],[Personal care and effects]]/All_India_Index_Upto_April23__1[[#This Row],[TOTAL BROADER CATEGORIES]]</f>
        <v>9.8474343599827152E-2</v>
      </c>
      <c r="AM135" s="2">
        <f>All_India_Index_Upto_April23__1[[#This Row],[Education]]/All_India_Index_Upto_April23__1[[#This Row],[TOTAL BROADER CATEGORIES]]</f>
        <v>0.10962650834503335</v>
      </c>
      <c r="AN135" s="2">
        <f>All_India_Index_Upto_April23__1[[#This Row],[Recreation and amusement]]/All_India_Index_Upto_April23__1[[#This Row],[TOTAL BROADER CATEGORIES]]</f>
        <v>9.8401453634172215E-2</v>
      </c>
      <c r="AO135" s="2">
        <f>All_India_Index_Upto_April23__1[[#This Row],[Transport and communication]]/All_India_Index_Upto_April23__1[[#This Row],[TOTAL BROADER CATEGORIES]]</f>
        <v>8.7905298579860514E-2</v>
      </c>
      <c r="AP135" s="2">
        <f>All_India_Index_Upto_April23__1[[#This Row],[Health]]/All_India_Index_Upto_April23__1[[#This Row],[TOTAL BROADER CATEGORIES]]</f>
        <v>0.10262907164215888</v>
      </c>
      <c r="AQ135" s="2">
        <f>All_India_Index_Upto_April23__1[[#This Row],[Fuel and light]]/All_India_Index_Upto_April23__1[[#This Row],[TOTAL BROADER CATEGORIES]]</f>
        <v>9.2570256381776822E-2</v>
      </c>
      <c r="AR135">
        <f>MONTH(1 &amp; All_India_Index_Upto_April23__1[[#This Row],[Month]])</f>
        <v>7</v>
      </c>
      <c r="AS135" s="19" t="str">
        <f>All_India_Index_Upto_April23__1[[#This Row],[MONTH IN NUM]]&amp;"/"&amp;All_India_Index_Upto_April23__1[[#This Row],[Year]]</f>
        <v>7/2019</v>
      </c>
      <c r="AT13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140.71428571428572</v>
      </c>
      <c r="AU13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1371.9309523809522</v>
      </c>
    </row>
    <row r="136" spans="1:47" x14ac:dyDescent="0.3">
      <c r="A136" t="s">
        <v>33</v>
      </c>
      <c r="B136">
        <v>2019</v>
      </c>
      <c r="C136" t="s">
        <v>39</v>
      </c>
      <c r="D136">
        <v>139.30000000000001</v>
      </c>
      <c r="E136">
        <v>162.69999999999999</v>
      </c>
      <c r="F136">
        <v>140</v>
      </c>
      <c r="G136">
        <v>144</v>
      </c>
      <c r="H136">
        <v>122.5</v>
      </c>
      <c r="I136">
        <v>150.30000000000001</v>
      </c>
      <c r="J136">
        <v>160.30000000000001</v>
      </c>
      <c r="K136">
        <v>130</v>
      </c>
      <c r="L136">
        <v>111.1</v>
      </c>
      <c r="M136">
        <v>141.69999999999999</v>
      </c>
      <c r="N136">
        <v>134.69999999999999</v>
      </c>
      <c r="O136">
        <v>156.19999999999999</v>
      </c>
      <c r="P136">
        <v>144.69999999999999</v>
      </c>
      <c r="Q136">
        <v>165.2</v>
      </c>
      <c r="R136">
        <v>148.9</v>
      </c>
      <c r="S136">
        <v>140.5</v>
      </c>
      <c r="T136">
        <v>147.6</v>
      </c>
      <c r="U136">
        <v>150.6</v>
      </c>
      <c r="V136">
        <v>139.30000000000001</v>
      </c>
      <c r="W136">
        <v>144.19999999999999</v>
      </c>
      <c r="X136">
        <v>147.9</v>
      </c>
      <c r="Y136">
        <v>125.6</v>
      </c>
      <c r="Z136">
        <v>140.5</v>
      </c>
      <c r="AA136">
        <v>154</v>
      </c>
      <c r="AB136">
        <v>135.69999999999999</v>
      </c>
      <c r="AC136">
        <v>139.5</v>
      </c>
      <c r="AD136">
        <v>144.19999999999999</v>
      </c>
      <c r="AE136">
        <v>143.05000000000001</v>
      </c>
      <c r="AF136">
        <v>145.66666666666666</v>
      </c>
      <c r="AG136">
        <v>147.39999999999998</v>
      </c>
      <c r="AH136" s="2">
        <f>All_India_Index_Upto_April23__1[[#This Row],[House]]/All_India_Index_Upto_April23__1[[#This Row],[TOTAL BROADER CATEGORIES]]</f>
        <v>0.10390403797126307</v>
      </c>
      <c r="AI136" s="2">
        <f>All_India_Index_Upto_April23__1[[#This Row],[Cloth]]/All_India_Index_Upto_April23__1[[#This Row],[TOTAL BROADER CATEGORIES]]</f>
        <v>0.102682190396748</v>
      </c>
      <c r="AJ136" s="2">
        <f>All_India_Index_Upto_April23__1[[#This Row],[Food]]/All_India_Index_Upto_April23__1[[#This Row],[TOTAL BROADER CATEGORIES]]</f>
        <v>0.10083767050060506</v>
      </c>
      <c r="AK136" s="2">
        <f>All_India_Index_Upto_April23__1[[#This Row],[Miscellaneous]]/All_India_Index_Upto_April23__1[[#This Row],[TOTAL BROADER CATEGORIES]]</f>
        <v>9.8335232679723217E-2</v>
      </c>
      <c r="AL136" s="2">
        <f>All_India_Index_Upto_April23__1[[#This Row],[Personal care and effects]]/All_India_Index_Upto_April23__1[[#This Row],[TOTAL BROADER CATEGORIES]]</f>
        <v>9.56565668432863E-2</v>
      </c>
      <c r="AM136" s="2">
        <f>All_India_Index_Upto_April23__1[[#This Row],[Education]]/All_India_Index_Upto_April23__1[[#This Row],[TOTAL BROADER CATEGORIES]]</f>
        <v>0.10855645758191666</v>
      </c>
      <c r="AN136" s="2">
        <f>All_India_Index_Upto_April23__1[[#This Row],[Recreation and amusement]]/All_India_Index_Upto_April23__1[[#This Row],[TOTAL BROADER CATEGORIES]]</f>
        <v>9.9040144741943448E-2</v>
      </c>
      <c r="AO136" s="2">
        <f>All_India_Index_Upto_April23__1[[#This Row],[Transport and communication]]/All_India_Index_Upto_April23__1[[#This Row],[TOTAL BROADER CATEGORIES]]</f>
        <v>8.8536955014861904E-2</v>
      </c>
      <c r="AP136" s="2">
        <f>All_India_Index_Upto_April23__1[[#This Row],[Health]]/All_India_Index_Upto_April23__1[[#This Row],[TOTAL BROADER CATEGORIES]]</f>
        <v>0.10425649400237322</v>
      </c>
      <c r="AQ136" s="2">
        <f>All_India_Index_Upto_April23__1[[#This Row],[Fuel and light]]/All_India_Index_Upto_April23__1[[#This Row],[TOTAL BROADER CATEGORIES]]</f>
        <v>9.8194250267279168E-2</v>
      </c>
      <c r="AR136">
        <f>MONTH(1 &amp; All_India_Index_Upto_April23__1[[#This Row],[Month]])</f>
        <v>7</v>
      </c>
      <c r="AS136" s="19" t="str">
        <f>All_India_Index_Upto_April23__1[[#This Row],[MONTH IN NUM]]&amp;"/"&amp;All_India_Index_Upto_April23__1[[#This Row],[Year]]</f>
        <v>7/2019</v>
      </c>
      <c r="AT13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146.44285714285715</v>
      </c>
      <c r="AU13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1418.6166666666666</v>
      </c>
    </row>
    <row r="137" spans="1:47" x14ac:dyDescent="0.3">
      <c r="A137" t="s">
        <v>33</v>
      </c>
      <c r="B137">
        <v>2019</v>
      </c>
      <c r="C137" t="s">
        <v>38</v>
      </c>
      <c r="D137">
        <v>138.69999999999999</v>
      </c>
      <c r="E137">
        <v>162.1</v>
      </c>
      <c r="F137">
        <v>137.80000000000001</v>
      </c>
      <c r="G137">
        <v>143.30000000000001</v>
      </c>
      <c r="H137">
        <v>122.2</v>
      </c>
      <c r="I137">
        <v>146.80000000000001</v>
      </c>
      <c r="J137">
        <v>150.5</v>
      </c>
      <c r="K137">
        <v>128.30000000000001</v>
      </c>
      <c r="L137">
        <v>111</v>
      </c>
      <c r="M137">
        <v>140.6</v>
      </c>
      <c r="N137">
        <v>134.19999999999999</v>
      </c>
      <c r="O137">
        <v>155.9</v>
      </c>
      <c r="P137">
        <v>142.69999999999999</v>
      </c>
      <c r="Q137">
        <v>164.9</v>
      </c>
      <c r="R137">
        <v>148.6</v>
      </c>
      <c r="S137">
        <v>140.4</v>
      </c>
      <c r="T137">
        <v>147.4</v>
      </c>
      <c r="U137">
        <v>149.4</v>
      </c>
      <c r="V137">
        <v>141.19999999999999</v>
      </c>
      <c r="W137">
        <v>143.80000000000001</v>
      </c>
      <c r="X137">
        <v>147.4</v>
      </c>
      <c r="Y137">
        <v>124.6</v>
      </c>
      <c r="Z137">
        <v>139.6</v>
      </c>
      <c r="AA137">
        <v>152.5</v>
      </c>
      <c r="AB137">
        <v>134.30000000000001</v>
      </c>
      <c r="AC137">
        <v>138.6</v>
      </c>
      <c r="AD137">
        <v>142.9</v>
      </c>
      <c r="AE137">
        <v>141.35714285714286</v>
      </c>
      <c r="AF137">
        <v>145.46666666666667</v>
      </c>
      <c r="AG137">
        <v>146.60000000000002</v>
      </c>
      <c r="AH137" s="2">
        <f>All_India_Index_Upto_April23__1[[#This Row],[House]]/All_India_Index_Upto_April23__1[[#This Row],[TOTAL BROADER CATEGORIES]]</f>
        <v>0.10385203126423133</v>
      </c>
      <c r="AI137" s="2">
        <f>All_India_Index_Upto_April23__1[[#This Row],[Cloth]]/All_India_Index_Upto_April23__1[[#This Row],[TOTAL BROADER CATEGORIES]]</f>
        <v>0.10304917335996032</v>
      </c>
      <c r="AJ137" s="2">
        <f>All_India_Index_Upto_April23__1[[#This Row],[Food]]/All_India_Index_Upto_April23__1[[#This Row],[TOTAL BROADER CATEGORIES]]</f>
        <v>0.10013797011884319</v>
      </c>
      <c r="AK137" s="2">
        <f>All_India_Index_Upto_April23__1[[#This Row],[Miscellaneous]]/All_India_Index_Upto_April23__1[[#This Row],[TOTAL BROADER CATEGORIES]]</f>
        <v>9.8184798998788944E-2</v>
      </c>
      <c r="AL137" s="2">
        <f>All_India_Index_Upto_April23__1[[#This Row],[Personal care and effects]]/All_India_Index_Upto_April23__1[[#This Row],[TOTAL BROADER CATEGORIES]]</f>
        <v>9.5138661656113691E-2</v>
      </c>
      <c r="AM137" s="2">
        <f>All_India_Index_Upto_April23__1[[#This Row],[Education]]/All_India_Index_Upto_April23__1[[#This Row],[TOTAL BROADER CATEGORIES]]</f>
        <v>0.10803161505999506</v>
      </c>
      <c r="AN137" s="2">
        <f>All_India_Index_Upto_April23__1[[#This Row],[Recreation and amusement]]/All_India_Index_Upto_April23__1[[#This Row],[TOTAL BROADER CATEGORIES]]</f>
        <v>9.8893203031969246E-2</v>
      </c>
      <c r="AO137" s="2">
        <f>All_India_Index_Upto_April23__1[[#This Row],[Transport and communication]]/All_India_Index_Upto_April23__1[[#This Row],[TOTAL BROADER CATEGORIES]]</f>
        <v>8.8267142534264806E-2</v>
      </c>
      <c r="AP137" s="2">
        <f>All_India_Index_Upto_April23__1[[#This Row],[Health]]/All_India_Index_Upto_April23__1[[#This Row],[TOTAL BROADER CATEGORIES]]</f>
        <v>0.10441875449077555</v>
      </c>
      <c r="AQ137" s="2">
        <f>All_India_Index_Upto_April23__1[[#This Row],[Fuel and light]]/All_India_Index_Upto_April23__1[[#This Row],[TOTAL BROADER CATEGORIES]]</f>
        <v>0.10002664948505771</v>
      </c>
      <c r="AR137">
        <f>MONTH(1 &amp; All_India_Index_Upto_April23__1[[#This Row],[Month]])</f>
        <v>6</v>
      </c>
      <c r="AS137" s="19" t="str">
        <f>All_India_Index_Upto_April23__1[[#This Row],[MONTH IN NUM]]&amp;"/"&amp;All_India_Index_Upto_April23__1[[#This Row],[Year]]</f>
        <v>6/2019</v>
      </c>
      <c r="AT13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146.18571428571428</v>
      </c>
      <c r="AU13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1411.6238095238098</v>
      </c>
    </row>
    <row r="138" spans="1:47" x14ac:dyDescent="0.3">
      <c r="A138" t="s">
        <v>30</v>
      </c>
      <c r="B138">
        <v>2019</v>
      </c>
      <c r="C138" t="s">
        <v>38</v>
      </c>
      <c r="D138">
        <v>137.80000000000001</v>
      </c>
      <c r="E138">
        <v>163.5</v>
      </c>
      <c r="F138">
        <v>136.19999999999999</v>
      </c>
      <c r="G138">
        <v>143.19999999999999</v>
      </c>
      <c r="H138">
        <v>124.3</v>
      </c>
      <c r="I138">
        <v>143.30000000000001</v>
      </c>
      <c r="J138">
        <v>140.6</v>
      </c>
      <c r="K138">
        <v>128.69999999999999</v>
      </c>
      <c r="L138">
        <v>110.6</v>
      </c>
      <c r="M138">
        <v>140.4</v>
      </c>
      <c r="N138">
        <v>138</v>
      </c>
      <c r="O138">
        <v>156.6</v>
      </c>
      <c r="P138">
        <v>141</v>
      </c>
      <c r="Q138">
        <v>164.2</v>
      </c>
      <c r="R138">
        <v>151.4</v>
      </c>
      <c r="S138">
        <v>146.5</v>
      </c>
      <c r="T138">
        <v>150.69999999999999</v>
      </c>
      <c r="U138">
        <v>140.85</v>
      </c>
      <c r="V138">
        <v>147.80000000000001</v>
      </c>
      <c r="W138">
        <v>149.6</v>
      </c>
      <c r="X138">
        <v>151.69999999999999</v>
      </c>
      <c r="Y138">
        <v>130.19999999999999</v>
      </c>
      <c r="Z138">
        <v>146.4</v>
      </c>
      <c r="AA138">
        <v>157.69999999999999</v>
      </c>
      <c r="AB138">
        <v>134.80000000000001</v>
      </c>
      <c r="AC138">
        <v>143.30000000000001</v>
      </c>
      <c r="AD138">
        <v>143.6</v>
      </c>
      <c r="AE138">
        <v>140.6</v>
      </c>
      <c r="AF138">
        <v>149.53333333333333</v>
      </c>
      <c r="AG138">
        <v>145.22499999999999</v>
      </c>
      <c r="AH138" s="2">
        <f>All_India_Index_Upto_April23__1[[#This Row],[House]]/All_India_Index_Upto_April23__1[[#This Row],[TOTAL BROADER CATEGORIES]]</f>
        <v>0.10034490502156376</v>
      </c>
      <c r="AI138" s="2">
        <f>All_India_Index_Upto_April23__1[[#This Row],[Cloth]]/All_India_Index_Upto_April23__1[[#This Row],[TOTAL BROADER CATEGORIES]]</f>
        <v>0.10332179811252311</v>
      </c>
      <c r="AJ138" s="2">
        <f>All_India_Index_Upto_April23__1[[#This Row],[Food]]/All_India_Index_Upto_April23__1[[#This Row],[TOTAL BROADER CATEGORIES]]</f>
        <v>9.7149207409412047E-2</v>
      </c>
      <c r="AK138" s="2">
        <f>All_India_Index_Upto_April23__1[[#This Row],[Miscellaneous]]/All_India_Index_Upto_April23__1[[#This Row],[TOTAL BROADER CATEGORIES]]</f>
        <v>9.9014803853262792E-2</v>
      </c>
      <c r="AL138" s="2">
        <f>All_India_Index_Upto_April23__1[[#This Row],[Personal care and effects]]/All_India_Index_Upto_April23__1[[#This Row],[TOTAL BROADER CATEGORIES]]</f>
        <v>9.3141629863362344E-2</v>
      </c>
      <c r="AM138" s="2">
        <f>All_India_Index_Upto_April23__1[[#This Row],[Education]]/All_India_Index_Upto_April23__1[[#This Row],[TOTAL BROADER CATEGORIES]]</f>
        <v>0.1089646515538</v>
      </c>
      <c r="AN138" s="2">
        <f>All_India_Index_Upto_April23__1[[#This Row],[Recreation and amusement]]/All_India_Index_Upto_April23__1[[#This Row],[TOTAL BROADER CATEGORIES]]</f>
        <v>0.10115678495546178</v>
      </c>
      <c r="AO138" s="2">
        <f>All_India_Index_Upto_April23__1[[#This Row],[Transport and communication]]/All_India_Index_Upto_April23__1[[#This Row],[TOTAL BROADER CATEGORIES]]</f>
        <v>8.9963206292357392E-2</v>
      </c>
      <c r="AP138" s="2">
        <f>All_India_Index_Upto_April23__1[[#This Row],[Health]]/All_India_Index_Upto_April23__1[[#This Row],[TOTAL BROADER CATEGORIES]]</f>
        <v>0.10481888167857616</v>
      </c>
      <c r="AQ138" s="2">
        <f>All_India_Index_Upto_April23__1[[#This Row],[Fuel and light]]/All_India_Index_Upto_April23__1[[#This Row],[TOTAL BROADER CATEGORIES]]</f>
        <v>0.10212413125968067</v>
      </c>
      <c r="AR138">
        <f>MONTH(1 &amp; All_India_Index_Upto_April23__1[[#This Row],[Month]])</f>
        <v>6</v>
      </c>
      <c r="AS138" s="19" t="str">
        <f>All_India_Index_Upto_April23__1[[#This Row],[MONTH IN NUM]]&amp;"/"&amp;All_India_Index_Upto_April23__1[[#This Row],[Year]]</f>
        <v>6/2019</v>
      </c>
      <c r="AT13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149.22142857142856</v>
      </c>
      <c r="AU13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1447.2583333333332</v>
      </c>
    </row>
    <row r="139" spans="1:47" x14ac:dyDescent="0.3">
      <c r="A139" t="s">
        <v>32</v>
      </c>
      <c r="B139">
        <v>2019</v>
      </c>
      <c r="C139" t="s">
        <v>38</v>
      </c>
      <c r="D139">
        <v>140.69999999999999</v>
      </c>
      <c r="E139">
        <v>159.6</v>
      </c>
      <c r="F139">
        <v>140.4</v>
      </c>
      <c r="G139">
        <v>143.4</v>
      </c>
      <c r="H139">
        <v>118.6</v>
      </c>
      <c r="I139">
        <v>150.9</v>
      </c>
      <c r="J139">
        <v>169.8</v>
      </c>
      <c r="K139">
        <v>127.4</v>
      </c>
      <c r="L139">
        <v>111.8</v>
      </c>
      <c r="M139">
        <v>141</v>
      </c>
      <c r="N139">
        <v>129</v>
      </c>
      <c r="O139">
        <v>155.1</v>
      </c>
      <c r="P139">
        <v>145.6</v>
      </c>
      <c r="Q139">
        <v>166.7</v>
      </c>
      <c r="R139">
        <v>144.30000000000001</v>
      </c>
      <c r="S139">
        <v>131.69999999999999</v>
      </c>
      <c r="T139">
        <v>142.4</v>
      </c>
      <c r="U139">
        <v>149.4</v>
      </c>
      <c r="V139">
        <v>130.5</v>
      </c>
      <c r="W139">
        <v>137.4</v>
      </c>
      <c r="X139">
        <v>140.30000000000001</v>
      </c>
      <c r="Y139">
        <v>119.6</v>
      </c>
      <c r="Z139">
        <v>134.30000000000001</v>
      </c>
      <c r="AA139">
        <v>148.9</v>
      </c>
      <c r="AB139">
        <v>133.69999999999999</v>
      </c>
      <c r="AC139">
        <v>133.6</v>
      </c>
      <c r="AD139">
        <v>142.1</v>
      </c>
      <c r="AE139">
        <v>142.85714285714283</v>
      </c>
      <c r="AF139">
        <v>139.46666666666667</v>
      </c>
      <c r="AG139">
        <v>143.4</v>
      </c>
      <c r="AH139" s="2">
        <f>All_India_Index_Upto_April23__1[[#This Row],[House]]/All_India_Index_Upto_April23__1[[#This Row],[TOTAL BROADER CATEGORIES]]</f>
        <v>0.10493011975985311</v>
      </c>
      <c r="AI139" s="2">
        <f>All_India_Index_Upto_April23__1[[#This Row],[Cloth]]/All_India_Index_Upto_April23__1[[#This Row],[TOTAL BROADER CATEGORIES]]</f>
        <v>0.10205198072413423</v>
      </c>
      <c r="AJ139" s="2">
        <f>All_India_Index_Upto_April23__1[[#This Row],[Food]]/All_India_Index_Upto_April23__1[[#This Row],[TOTAL BROADER CATEGORIES]]</f>
        <v>0.10453289475976599</v>
      </c>
      <c r="AK139" s="2">
        <f>All_India_Index_Upto_April23__1[[#This Row],[Miscellaneous]]/All_India_Index_Upto_April23__1[[#This Row],[TOTAL BROADER CATEGORIES]]</f>
        <v>9.7759163179333156E-2</v>
      </c>
      <c r="AL139" s="2">
        <f>All_India_Index_Upto_April23__1[[#This Row],[Personal care and effects]]/All_India_Index_Upto_April23__1[[#This Row],[TOTAL BROADER CATEGORIES]]</f>
        <v>9.7832336205664991E-2</v>
      </c>
      <c r="AM139" s="2">
        <f>All_India_Index_Upto_April23__1[[#This Row],[Education]]/All_India_Index_Upto_April23__1[[#This Row],[TOTAL BROADER CATEGORIES]]</f>
        <v>0.10895463620810411</v>
      </c>
      <c r="AN139" s="2">
        <f>All_India_Index_Upto_April23__1[[#This Row],[Recreation and amusement]]/All_India_Index_Upto_April23__1[[#This Row],[TOTAL BROADER CATEGORIES]]</f>
        <v>9.8271374363656031E-2</v>
      </c>
      <c r="AO139" s="2">
        <f>All_India_Index_Upto_April23__1[[#This Row],[Transport and communication]]/All_India_Index_Upto_April23__1[[#This Row],[TOTAL BROADER CATEGORIES]]</f>
        <v>8.7514939492876087E-2</v>
      </c>
      <c r="AP139" s="2">
        <f>All_India_Index_Upto_April23__1[[#This Row],[Health]]/All_India_Index_Upto_April23__1[[#This Row],[TOTAL BROADER CATEGORIES]]</f>
        <v>0.1026617559435662</v>
      </c>
      <c r="AQ139" s="2">
        <f>All_India_Index_Upto_April23__1[[#This Row],[Fuel and light]]/All_India_Index_Upto_April23__1[[#This Row],[TOTAL BROADER CATEGORIES]]</f>
        <v>9.5490799363046247E-2</v>
      </c>
      <c r="AR139">
        <f>MONTH(1 &amp; All_India_Index_Upto_April23__1[[#This Row],[Month]])</f>
        <v>6</v>
      </c>
      <c r="AS139" s="19" t="str">
        <f>All_India_Index_Upto_April23__1[[#This Row],[MONTH IN NUM]]&amp;"/"&amp;All_India_Index_Upto_April23__1[[#This Row],[Year]]</f>
        <v>6/2019</v>
      </c>
      <c r="AT13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140.65714285714284</v>
      </c>
      <c r="AU13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1366.6238095238093</v>
      </c>
    </row>
    <row r="140" spans="1:47" x14ac:dyDescent="0.3">
      <c r="A140" t="s">
        <v>32</v>
      </c>
      <c r="B140">
        <v>2019</v>
      </c>
      <c r="C140" t="s">
        <v>37</v>
      </c>
      <c r="D140">
        <v>140.4</v>
      </c>
      <c r="E140">
        <v>156.69999999999999</v>
      </c>
      <c r="F140">
        <v>138.30000000000001</v>
      </c>
      <c r="G140">
        <v>142.4</v>
      </c>
      <c r="H140">
        <v>118.6</v>
      </c>
      <c r="I140">
        <v>149.69999999999999</v>
      </c>
      <c r="J140">
        <v>161.6</v>
      </c>
      <c r="K140">
        <v>124.4</v>
      </c>
      <c r="L140">
        <v>111.2</v>
      </c>
      <c r="M140">
        <v>141</v>
      </c>
      <c r="N140">
        <v>128.9</v>
      </c>
      <c r="O140">
        <v>154.5</v>
      </c>
      <c r="P140">
        <v>143.80000000000001</v>
      </c>
      <c r="Q140">
        <v>166.2</v>
      </c>
      <c r="R140">
        <v>144</v>
      </c>
      <c r="S140">
        <v>131.69999999999999</v>
      </c>
      <c r="T140">
        <v>142.19999999999999</v>
      </c>
      <c r="U140">
        <v>150.1</v>
      </c>
      <c r="V140">
        <v>129.4</v>
      </c>
      <c r="W140">
        <v>137.19999999999999</v>
      </c>
      <c r="X140">
        <v>139.80000000000001</v>
      </c>
      <c r="Y140">
        <v>120.1</v>
      </c>
      <c r="Z140">
        <v>134</v>
      </c>
      <c r="AA140">
        <v>148</v>
      </c>
      <c r="AB140">
        <v>132.6</v>
      </c>
      <c r="AC140">
        <v>133.30000000000001</v>
      </c>
      <c r="AD140">
        <v>141.5</v>
      </c>
      <c r="AE140">
        <v>141.26428571428573</v>
      </c>
      <c r="AF140">
        <v>139.29999999999998</v>
      </c>
      <c r="AG140">
        <v>143.64999999999998</v>
      </c>
      <c r="AH140" s="2">
        <f>All_India_Index_Upto_April23__1[[#This Row],[House]]/All_India_Index_Upto_April23__1[[#This Row],[TOTAL BROADER CATEGORIES]]</f>
        <v>0.1055152729829274</v>
      </c>
      <c r="AI140" s="2">
        <f>All_India_Index_Upto_April23__1[[#This Row],[Cloth]]/All_India_Index_Upto_April23__1[[#This Row],[TOTAL BROADER CATEGORIES]]</f>
        <v>0.10232006631758989</v>
      </c>
      <c r="AJ140" s="2">
        <f>All_India_Index_Upto_April23__1[[#This Row],[Food]]/All_India_Index_Upto_April23__1[[#This Row],[TOTAL BROADER CATEGORIES]]</f>
        <v>0.10376289362952393</v>
      </c>
      <c r="AK140" s="2">
        <f>All_India_Index_Upto_April23__1[[#This Row],[Miscellaneous]]/All_India_Index_Upto_April23__1[[#This Row],[TOTAL BROADER CATEGORIES]]</f>
        <v>9.7912884710227813E-2</v>
      </c>
      <c r="AL140" s="2">
        <f>All_India_Index_Upto_April23__1[[#This Row],[Personal care and effects]]/All_India_Index_Upto_April23__1[[#This Row],[TOTAL BROADER CATEGORIES]]</f>
        <v>9.7398713522702227E-2</v>
      </c>
      <c r="AM140" s="2">
        <f>All_India_Index_Upto_April23__1[[#This Row],[Education]]/All_India_Index_Upto_April23__1[[#This Row],[TOTAL BROADER CATEGORIES]]</f>
        <v>0.10871047964826493</v>
      </c>
      <c r="AN140" s="2">
        <f>All_India_Index_Upto_April23__1[[#This Row],[Recreation and amusement]]/All_India_Index_Upto_April23__1[[#This Row],[TOTAL BROADER CATEGORIES]]</f>
        <v>9.8427055897753385E-2</v>
      </c>
      <c r="AO140" s="2">
        <f>All_India_Index_Upto_April23__1[[#This Row],[Transport and communication]]/All_India_Index_Upto_April23__1[[#This Row],[TOTAL BROADER CATEGORIES]]</f>
        <v>8.8217085174031193E-2</v>
      </c>
      <c r="AP140" s="2">
        <f>All_India_Index_Upto_April23__1[[#This Row],[Health]]/All_India_Index_Upto_April23__1[[#This Row],[TOTAL BROADER CATEGORIES]]</f>
        <v>0.10268733145153675</v>
      </c>
      <c r="AQ140" s="2">
        <f>All_India_Index_Upto_April23__1[[#This Row],[Fuel and light]]/All_India_Index_Upto_April23__1[[#This Row],[TOTAL BROADER CATEGORIES]]</f>
        <v>9.5048216665442442E-2</v>
      </c>
      <c r="AR140">
        <f>MONTH(1 &amp; All_India_Index_Upto_April23__1[[#This Row],[Month]])</f>
        <v>5</v>
      </c>
      <c r="AS140" s="19" t="str">
        <f>All_India_Index_Upto_April23__1[[#This Row],[MONTH IN NUM]]&amp;"/"&amp;All_India_Index_Upto_April23__1[[#This Row],[Year]]</f>
        <v>5/2019</v>
      </c>
      <c r="AT14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140.37142857142859</v>
      </c>
      <c r="AU14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1361.4142857142858</v>
      </c>
    </row>
    <row r="141" spans="1:47" x14ac:dyDescent="0.3">
      <c r="A141" t="s">
        <v>33</v>
      </c>
      <c r="B141">
        <v>2019</v>
      </c>
      <c r="C141" t="s">
        <v>37</v>
      </c>
      <c r="D141">
        <v>138.30000000000001</v>
      </c>
      <c r="E141">
        <v>158.5</v>
      </c>
      <c r="F141">
        <v>136</v>
      </c>
      <c r="G141">
        <v>142.5</v>
      </c>
      <c r="H141">
        <v>122</v>
      </c>
      <c r="I141">
        <v>146.5</v>
      </c>
      <c r="J141">
        <v>143</v>
      </c>
      <c r="K141">
        <v>124.9</v>
      </c>
      <c r="L141">
        <v>109.9</v>
      </c>
      <c r="M141">
        <v>139.9</v>
      </c>
      <c r="N141">
        <v>134</v>
      </c>
      <c r="O141">
        <v>155.5</v>
      </c>
      <c r="P141">
        <v>140.9</v>
      </c>
      <c r="Q141">
        <v>164.1</v>
      </c>
      <c r="R141">
        <v>148.4</v>
      </c>
      <c r="S141">
        <v>140.4</v>
      </c>
      <c r="T141">
        <v>147.30000000000001</v>
      </c>
      <c r="U141">
        <v>150.1</v>
      </c>
      <c r="V141">
        <v>140.30000000000001</v>
      </c>
      <c r="W141">
        <v>143.69999999999999</v>
      </c>
      <c r="X141">
        <v>146.9</v>
      </c>
      <c r="Y141">
        <v>124.9</v>
      </c>
      <c r="Z141">
        <v>139.19999999999999</v>
      </c>
      <c r="AA141">
        <v>151.6</v>
      </c>
      <c r="AB141">
        <v>133.4</v>
      </c>
      <c r="AC141">
        <v>138.19999999999999</v>
      </c>
      <c r="AD141">
        <v>142</v>
      </c>
      <c r="AE141">
        <v>139.71428571428572</v>
      </c>
      <c r="AF141">
        <v>145.36666666666667</v>
      </c>
      <c r="AG141">
        <v>146.89999999999998</v>
      </c>
      <c r="AH141" s="2">
        <f>All_India_Index_Upto_April23__1[[#This Row],[House]]/All_India_Index_Upto_April23__1[[#This Row],[TOTAL BROADER CATEGORIES]]</f>
        <v>0.10444506891566589</v>
      </c>
      <c r="AI141" s="2">
        <f>All_India_Index_Upto_April23__1[[#This Row],[Cloth]]/All_India_Index_Upto_April23__1[[#This Row],[TOTAL BROADER CATEGORIES]]</f>
        <v>0.10335487759047403</v>
      </c>
      <c r="AJ141" s="2">
        <f>All_India_Index_Upto_April23__1[[#This Row],[Food]]/All_India_Index_Upto_April23__1[[#This Row],[TOTAL BROADER CATEGORIES]]</f>
        <v>9.9336066711583459E-2</v>
      </c>
      <c r="AK141" s="2">
        <f>All_India_Index_Upto_April23__1[[#This Row],[Miscellaneous]]/All_India_Index_Upto_April23__1[[#This Row],[TOTAL BROADER CATEGORIES]]</f>
        <v>9.8259418135772825E-2</v>
      </c>
      <c r="AL141" s="2">
        <f>All_India_Index_Upto_April23__1[[#This Row],[Personal care and effects]]/All_India_Index_Upto_April23__1[[#This Row],[TOTAL BROADER CATEGORIES]]</f>
        <v>9.4846645291693898E-2</v>
      </c>
      <c r="AM141" s="2">
        <f>All_India_Index_Upto_April23__1[[#This Row],[Education]]/All_India_Index_Upto_April23__1[[#This Row],[TOTAL BROADER CATEGORIES]]</f>
        <v>0.10778674232549321</v>
      </c>
      <c r="AN141" s="2">
        <f>All_India_Index_Upto_April23__1[[#This Row],[Recreation and amusement]]/All_India_Index_Upto_April23__1[[#This Row],[TOTAL BROADER CATEGORIES]]</f>
        <v>9.8970412478289263E-2</v>
      </c>
      <c r="AO141" s="2">
        <f>All_India_Index_Upto_April23__1[[#This Row],[Transport and communication]]/All_India_Index_Upto_April23__1[[#This Row],[TOTAL BROADER CATEGORIES]]</f>
        <v>8.880319338030411E-2</v>
      </c>
      <c r="AP141" s="2">
        <f>All_India_Index_Upto_April23__1[[#This Row],[Health]]/All_India_Index_Upto_April23__1[[#This Row],[TOTAL BROADER CATEGORIES]]</f>
        <v>0.10444506891566592</v>
      </c>
      <c r="AQ141" s="2">
        <f>All_India_Index_Upto_April23__1[[#This Row],[Fuel and light]]/All_India_Index_Upto_April23__1[[#This Row],[TOTAL BROADER CATEGORIES]]</f>
        <v>9.9752506255057369E-2</v>
      </c>
      <c r="AR141">
        <f>MONTH(1 &amp; All_India_Index_Upto_April23__1[[#This Row],[Month]])</f>
        <v>5</v>
      </c>
      <c r="AS141" s="19" t="str">
        <f>All_India_Index_Upto_April23__1[[#This Row],[MONTH IN NUM]]&amp;"/"&amp;All_India_Index_Upto_April23__1[[#This Row],[Year]]</f>
        <v>5/2019</v>
      </c>
      <c r="AT14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145.97142857142856</v>
      </c>
      <c r="AU14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1406.4809523809524</v>
      </c>
    </row>
    <row r="142" spans="1:47" x14ac:dyDescent="0.3">
      <c r="A142" t="s">
        <v>30</v>
      </c>
      <c r="B142">
        <v>2019</v>
      </c>
      <c r="C142" t="s">
        <v>37</v>
      </c>
      <c r="D142">
        <v>137.4</v>
      </c>
      <c r="E142">
        <v>159.5</v>
      </c>
      <c r="F142">
        <v>134.5</v>
      </c>
      <c r="G142">
        <v>142.6</v>
      </c>
      <c r="H142">
        <v>124</v>
      </c>
      <c r="I142">
        <v>143.69999999999999</v>
      </c>
      <c r="J142">
        <v>133.4</v>
      </c>
      <c r="K142">
        <v>125.1</v>
      </c>
      <c r="L142">
        <v>109.3</v>
      </c>
      <c r="M142">
        <v>139.30000000000001</v>
      </c>
      <c r="N142">
        <v>137.69999999999999</v>
      </c>
      <c r="O142">
        <v>156.4</v>
      </c>
      <c r="P142">
        <v>139.19999999999999</v>
      </c>
      <c r="Q142">
        <v>163.30000000000001</v>
      </c>
      <c r="R142">
        <v>151.30000000000001</v>
      </c>
      <c r="S142">
        <v>146.6</v>
      </c>
      <c r="T142">
        <v>150.69999999999999</v>
      </c>
      <c r="U142">
        <v>140.85</v>
      </c>
      <c r="V142">
        <v>146.9</v>
      </c>
      <c r="W142">
        <v>149.5</v>
      </c>
      <c r="X142">
        <v>151.30000000000001</v>
      </c>
      <c r="Y142">
        <v>130.19999999999999</v>
      </c>
      <c r="Z142">
        <v>145.9</v>
      </c>
      <c r="AA142">
        <v>156.69999999999999</v>
      </c>
      <c r="AB142">
        <v>133.9</v>
      </c>
      <c r="AC142">
        <v>142.9</v>
      </c>
      <c r="AD142">
        <v>142.4</v>
      </c>
      <c r="AE142">
        <v>138.95714285714286</v>
      </c>
      <c r="AF142">
        <v>149.53333333333333</v>
      </c>
      <c r="AG142">
        <v>145.17500000000001</v>
      </c>
      <c r="AH142" s="2">
        <f>All_India_Index_Upto_April23__1[[#This Row],[House]]/All_India_Index_Upto_April23__1[[#This Row],[TOTAL BROADER CATEGORIES]]</f>
        <v>0.10071347694269474</v>
      </c>
      <c r="AI142" s="2">
        <f>All_India_Index_Upto_April23__1[[#This Row],[Cloth]]/All_India_Index_Upto_April23__1[[#This Row],[TOTAL BROADER CATEGORIES]]</f>
        <v>0.10373702027780921</v>
      </c>
      <c r="AJ142" s="2">
        <f>All_India_Index_Upto_April23__1[[#This Row],[Food]]/All_India_Index_Upto_April23__1[[#This Row],[TOTAL BROADER CATEGORIES]]</f>
        <v>9.6399910474707029E-2</v>
      </c>
      <c r="AK142" s="2">
        <f>All_India_Index_Upto_April23__1[[#This Row],[Miscellaneous]]/All_India_Index_Upto_April23__1[[#This Row],[TOTAL BROADER CATEGORIES]]</f>
        <v>9.9135222008686602E-2</v>
      </c>
      <c r="AL142" s="2">
        <f>All_India_Index_Upto_April23__1[[#This Row],[Personal care and effects]]/All_India_Index_Upto_April23__1[[#This Row],[TOTAL BROADER CATEGORIES]]</f>
        <v>9.2891576115907176E-2</v>
      </c>
      <c r="AM142" s="2">
        <f>All_India_Index_Upto_April23__1[[#This Row],[Education]]/All_India_Index_Upto_April23__1[[#This Row],[TOTAL BROADER CATEGORIES]]</f>
        <v>0.10870881237761504</v>
      </c>
      <c r="AN142" s="2">
        <f>All_India_Index_Upto_April23__1[[#This Row],[Recreation and amusement]]/All_India_Index_Upto_April23__1[[#This Row],[TOTAL BROADER CATEGORIES]]</f>
        <v>0.10121643730627974</v>
      </c>
      <c r="AO142" s="2">
        <f>All_India_Index_Upto_April23__1[[#This Row],[Transport and communication]]/All_India_Index_Upto_April23__1[[#This Row],[TOTAL BROADER CATEGORIES]]</f>
        <v>9.0324743915542294E-2</v>
      </c>
      <c r="AP142" s="2">
        <f>All_India_Index_Upto_April23__1[[#This Row],[Health]]/All_India_Index_Upto_April23__1[[#This Row],[TOTAL BROADER CATEGORIES]]</f>
        <v>0.10496262484194739</v>
      </c>
      <c r="AQ142" s="2">
        <f>All_India_Index_Upto_April23__1[[#This Row],[Fuel and light]]/All_India_Index_Upto_April23__1[[#This Row],[TOTAL BROADER CATEGORIES]]</f>
        <v>0.10191017573881078</v>
      </c>
      <c r="AR142">
        <f>MONTH(1 &amp; All_India_Index_Upto_April23__1[[#This Row],[Month]])</f>
        <v>5</v>
      </c>
      <c r="AS142" s="19" t="str">
        <f>All_India_Index_Upto_April23__1[[#This Row],[MONTH IN NUM]]&amp;"/"&amp;All_India_Index_Upto_April23__1[[#This Row],[Year]]</f>
        <v>5/2019</v>
      </c>
      <c r="AT14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148.93571428571431</v>
      </c>
      <c r="AU14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1441.4654761904762</v>
      </c>
    </row>
    <row r="143" spans="1:47" x14ac:dyDescent="0.3">
      <c r="A143" t="s">
        <v>33</v>
      </c>
      <c r="B143">
        <v>2019</v>
      </c>
      <c r="C143" t="s">
        <v>35</v>
      </c>
      <c r="D143">
        <v>137.80000000000001</v>
      </c>
      <c r="E143">
        <v>153</v>
      </c>
      <c r="F143">
        <v>140.30000000000001</v>
      </c>
      <c r="G143">
        <v>142.30000000000001</v>
      </c>
      <c r="H143">
        <v>122</v>
      </c>
      <c r="I143">
        <v>137.6</v>
      </c>
      <c r="J143">
        <v>132.6</v>
      </c>
      <c r="K143">
        <v>121.8</v>
      </c>
      <c r="L143">
        <v>109</v>
      </c>
      <c r="M143">
        <v>139.5</v>
      </c>
      <c r="N143">
        <v>133.69999999999999</v>
      </c>
      <c r="O143">
        <v>155.19999999999999</v>
      </c>
      <c r="P143">
        <v>138.1</v>
      </c>
      <c r="Q143">
        <v>163.5</v>
      </c>
      <c r="R143">
        <v>147.9</v>
      </c>
      <c r="S143">
        <v>139.9</v>
      </c>
      <c r="T143">
        <v>146.69999999999999</v>
      </c>
      <c r="U143">
        <v>149</v>
      </c>
      <c r="V143">
        <v>139.69999999999999</v>
      </c>
      <c r="W143">
        <v>143.80000000000001</v>
      </c>
      <c r="X143">
        <v>146.19999999999999</v>
      </c>
      <c r="Y143">
        <v>124.6</v>
      </c>
      <c r="Z143">
        <v>137.69999999999999</v>
      </c>
      <c r="AA143">
        <v>150.30000000000001</v>
      </c>
      <c r="AB143">
        <v>133.4</v>
      </c>
      <c r="AC143">
        <v>137.69999999999999</v>
      </c>
      <c r="AD143">
        <v>140.4</v>
      </c>
      <c r="AE143">
        <v>137.6</v>
      </c>
      <c r="AF143">
        <v>144.83333333333334</v>
      </c>
      <c r="AG143">
        <v>146.4</v>
      </c>
      <c r="AH143" s="2">
        <f>All_India_Index_Upto_April23__1[[#This Row],[House]]/All_India_Index_Upto_April23__1[[#This Row],[TOTAL BROADER CATEGORIES]]</f>
        <v>0.104688580077706</v>
      </c>
      <c r="AI143" s="2">
        <f>All_India_Index_Upto_April23__1[[#This Row],[Cloth]]/All_India_Index_Upto_April23__1[[#This Row],[TOTAL BROADER CATEGORIES]]</f>
        <v>0.10356827878816771</v>
      </c>
      <c r="AJ143" s="2">
        <f>All_India_Index_Upto_April23__1[[#This Row],[Food]]/All_India_Index_Upto_April23__1[[#This Row],[TOTAL BROADER CATEGORIES]]</f>
        <v>9.8395823898171753E-2</v>
      </c>
      <c r="AK143" s="2">
        <f>All_India_Index_Upto_April23__1[[#This Row],[Miscellaneous]]/All_India_Index_Upto_April23__1[[#This Row],[TOTAL BROADER CATEGORIES]]</f>
        <v>9.846733249112101E-2</v>
      </c>
      <c r="AL143" s="2">
        <f>All_India_Index_Upto_April23__1[[#This Row],[Personal care and effects]]/All_India_Index_Upto_April23__1[[#This Row],[TOTAL BROADER CATEGORIES]]</f>
        <v>9.5392462994303151E-2</v>
      </c>
      <c r="AM143" s="2">
        <f>All_India_Index_Upto_April23__1[[#This Row],[Education]]/All_India_Index_Upto_April23__1[[#This Row],[TOTAL BROADER CATEGORIES]]</f>
        <v>0.10747741520272687</v>
      </c>
      <c r="AN143" s="2">
        <f>All_India_Index_Upto_April23__1[[#This Row],[Recreation and amusement]]/All_India_Index_Upto_April23__1[[#This Row],[TOTAL BROADER CATEGORIES]]</f>
        <v>9.846733249112101E-2</v>
      </c>
      <c r="AO143" s="2">
        <f>All_India_Index_Upto_April23__1[[#This Row],[Transport and communication]]/All_India_Index_Upto_April23__1[[#This Row],[TOTAL BROADER CATEGORIES]]</f>
        <v>8.9099706814768906E-2</v>
      </c>
      <c r="AP143" s="2">
        <f>All_India_Index_Upto_April23__1[[#This Row],[Health]]/All_India_Index_Upto_April23__1[[#This Row],[TOTAL BROADER CATEGORIES]]</f>
        <v>0.10454556289180748</v>
      </c>
      <c r="AQ143" s="2">
        <f>All_India_Index_Upto_April23__1[[#This Row],[Fuel and light]]/All_India_Index_Upto_April23__1[[#This Row],[TOTAL BROADER CATEGORIES]]</f>
        <v>9.9897504350106053E-2</v>
      </c>
      <c r="AR143">
        <f>MONTH(1 &amp; All_India_Index_Upto_April23__1[[#This Row],[Month]])</f>
        <v>3</v>
      </c>
      <c r="AS143" s="19" t="str">
        <f>All_India_Index_Upto_April23__1[[#This Row],[MONTH IN NUM]]&amp;"/"&amp;All_India_Index_Upto_April23__1[[#This Row],[Year]]</f>
        <v>3/2019</v>
      </c>
      <c r="AT14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145.32857142857142</v>
      </c>
      <c r="AU14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1398.4333333333334</v>
      </c>
    </row>
    <row r="144" spans="1:47" x14ac:dyDescent="0.3">
      <c r="A144" t="s">
        <v>30</v>
      </c>
      <c r="B144">
        <v>2019</v>
      </c>
      <c r="C144" t="s">
        <v>35</v>
      </c>
      <c r="D144">
        <v>136.9</v>
      </c>
      <c r="E144">
        <v>154.1</v>
      </c>
      <c r="F144">
        <v>138.69999999999999</v>
      </c>
      <c r="G144">
        <v>142.5</v>
      </c>
      <c r="H144">
        <v>124.1</v>
      </c>
      <c r="I144">
        <v>136.1</v>
      </c>
      <c r="J144">
        <v>128.19999999999999</v>
      </c>
      <c r="K144">
        <v>122.3</v>
      </c>
      <c r="L144">
        <v>108.3</v>
      </c>
      <c r="M144">
        <v>138.9</v>
      </c>
      <c r="N144">
        <v>137.4</v>
      </c>
      <c r="O144">
        <v>156.4</v>
      </c>
      <c r="P144">
        <v>137.30000000000001</v>
      </c>
      <c r="Q144">
        <v>162.9</v>
      </c>
      <c r="R144">
        <v>150.80000000000001</v>
      </c>
      <c r="S144">
        <v>146.1</v>
      </c>
      <c r="T144">
        <v>150.1</v>
      </c>
      <c r="U144">
        <v>140.85</v>
      </c>
      <c r="V144">
        <v>146.4</v>
      </c>
      <c r="W144">
        <v>150</v>
      </c>
      <c r="X144">
        <v>150.4</v>
      </c>
      <c r="Y144">
        <v>129.9</v>
      </c>
      <c r="Z144">
        <v>143.80000000000001</v>
      </c>
      <c r="AA144">
        <v>155.5</v>
      </c>
      <c r="AB144">
        <v>134</v>
      </c>
      <c r="AC144">
        <v>142.4</v>
      </c>
      <c r="AD144">
        <v>141.19999999999999</v>
      </c>
      <c r="AE144">
        <v>137.43571428571431</v>
      </c>
      <c r="AF144">
        <v>149</v>
      </c>
      <c r="AG144">
        <v>145.42500000000001</v>
      </c>
      <c r="AH144" s="2">
        <f>All_India_Index_Upto_April23__1[[#This Row],[House]]/All_India_Index_Upto_April23__1[[#This Row],[TOTAL BROADER CATEGORIES]]</f>
        <v>0.10139369959137733</v>
      </c>
      <c r="AI144" s="2">
        <f>All_India_Index_Upto_April23__1[[#This Row],[Cloth]]/All_India_Index_Upto_April23__1[[#This Row],[TOTAL BROADER CATEGORIES]]</f>
        <v>0.10388627291810364</v>
      </c>
      <c r="AJ144" s="2">
        <f>All_India_Index_Upto_April23__1[[#This Row],[Food]]/All_India_Index_Upto_April23__1[[#This Row],[TOTAL BROADER CATEGORIES]]</f>
        <v>9.5823383375706242E-2</v>
      </c>
      <c r="AK144" s="2">
        <f>All_India_Index_Upto_April23__1[[#This Row],[Miscellaneous]]/All_India_Index_Upto_April23__1[[#This Row],[TOTAL BROADER CATEGORIES]]</f>
        <v>9.9284599084147371E-2</v>
      </c>
      <c r="AL144" s="2">
        <f>All_India_Index_Upto_April23__1[[#This Row],[Personal care and effects]]/All_India_Index_Upto_April23__1[[#This Row],[TOTAL BROADER CATEGORIES]]</f>
        <v>9.3427923295475751E-2</v>
      </c>
      <c r="AM144" s="2">
        <f>All_India_Index_Upto_April23__1[[#This Row],[Education]]/All_India_Index_Upto_April23__1[[#This Row],[TOTAL BROADER CATEGORIES]]</f>
        <v>0.10841822442124238</v>
      </c>
      <c r="AN144" s="2">
        <f>All_India_Index_Upto_April23__1[[#This Row],[Recreation and amusement]]/All_India_Index_Upto_April23__1[[#This Row],[TOTAL BROADER CATEGORIES]]</f>
        <v>0.10026071171559264</v>
      </c>
      <c r="AO144" s="2">
        <f>All_India_Index_Upto_April23__1[[#This Row],[Transport and communication]]/All_India_Index_Upto_April23__1[[#This Row],[TOTAL BROADER CATEGORIES]]</f>
        <v>9.0569307731957469E-2</v>
      </c>
      <c r="AP144" s="2">
        <f>All_India_Index_Upto_April23__1[[#This Row],[Health]]/All_India_Index_Upto_April23__1[[#This Row],[TOTAL BROADER CATEGORIES]]</f>
        <v>0.10486238554954891</v>
      </c>
      <c r="AQ144" s="2">
        <f>All_India_Index_Upto_April23__1[[#This Row],[Fuel and light]]/All_India_Index_Upto_April23__1[[#This Row],[TOTAL BROADER CATEGORIES]]</f>
        <v>0.10207349231684813</v>
      </c>
      <c r="AR144">
        <f>MONTH(1 &amp; All_India_Index_Upto_April23__1[[#This Row],[Month]])</f>
        <v>3</v>
      </c>
      <c r="AS144" s="19" t="str">
        <f>All_India_Index_Upto_April23__1[[#This Row],[MONTH IN NUM]]&amp;"/"&amp;All_India_Index_Upto_April23__1[[#This Row],[Year]]</f>
        <v>3/2019</v>
      </c>
      <c r="AT14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148.53571428571428</v>
      </c>
      <c r="AU14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1434.2607142857146</v>
      </c>
    </row>
    <row r="145" spans="1:47" x14ac:dyDescent="0.3">
      <c r="A145" t="s">
        <v>32</v>
      </c>
      <c r="B145">
        <v>2019</v>
      </c>
      <c r="C145" t="s">
        <v>35</v>
      </c>
      <c r="D145">
        <v>139.69999999999999</v>
      </c>
      <c r="E145">
        <v>151.1</v>
      </c>
      <c r="F145">
        <v>142.9</v>
      </c>
      <c r="G145">
        <v>141.9</v>
      </c>
      <c r="H145">
        <v>118.4</v>
      </c>
      <c r="I145">
        <v>139.4</v>
      </c>
      <c r="J145">
        <v>141.19999999999999</v>
      </c>
      <c r="K145">
        <v>120.7</v>
      </c>
      <c r="L145">
        <v>110.4</v>
      </c>
      <c r="M145">
        <v>140.69999999999999</v>
      </c>
      <c r="N145">
        <v>128.5</v>
      </c>
      <c r="O145">
        <v>153.9</v>
      </c>
      <c r="P145">
        <v>139.6</v>
      </c>
      <c r="Q145">
        <v>165.3</v>
      </c>
      <c r="R145">
        <v>143.5</v>
      </c>
      <c r="S145">
        <v>131.19999999999999</v>
      </c>
      <c r="T145">
        <v>141.6</v>
      </c>
      <c r="U145">
        <v>149</v>
      </c>
      <c r="V145">
        <v>128.80000000000001</v>
      </c>
      <c r="W145">
        <v>136.80000000000001</v>
      </c>
      <c r="X145">
        <v>139.19999999999999</v>
      </c>
      <c r="Y145">
        <v>119.9</v>
      </c>
      <c r="Z145">
        <v>133</v>
      </c>
      <c r="AA145">
        <v>146.69999999999999</v>
      </c>
      <c r="AB145">
        <v>132.5</v>
      </c>
      <c r="AC145">
        <v>132.80000000000001</v>
      </c>
      <c r="AD145">
        <v>139.5</v>
      </c>
      <c r="AE145">
        <v>138.12142857142857</v>
      </c>
      <c r="AF145">
        <v>138.76666666666665</v>
      </c>
      <c r="AG145">
        <v>142.9</v>
      </c>
      <c r="AH145" s="2">
        <f>All_India_Index_Upto_April23__1[[#This Row],[House]]/All_India_Index_Upto_April23__1[[#This Row],[TOTAL BROADER CATEGORIES]]</f>
        <v>0.10564150043388033</v>
      </c>
      <c r="AI145" s="2">
        <f>All_India_Index_Upto_April23__1[[#This Row],[Cloth]]/All_India_Index_Upto_April23__1[[#This Row],[TOTAL BROADER CATEGORIES]]</f>
        <v>0.10258585638120919</v>
      </c>
      <c r="AJ145" s="2">
        <f>All_India_Index_Upto_April23__1[[#This Row],[Food]]/All_India_Index_Upto_April23__1[[#This Row],[TOTAL BROADER CATEGORIES]]</f>
        <v>0.10210885203888553</v>
      </c>
      <c r="AK145" s="2">
        <f>All_India_Index_Upto_April23__1[[#This Row],[Miscellaneous]]/All_India_Index_Upto_April23__1[[#This Row],[TOTAL BROADER CATEGORIES]]</f>
        <v>9.8174886337433931E-2</v>
      </c>
      <c r="AL145" s="2">
        <f>All_India_Index_Upto_April23__1[[#This Row],[Personal care and effects]]/All_India_Index_Upto_April23__1[[#This Row],[TOTAL BROADER CATEGORIES]]</f>
        <v>9.7953105720707798E-2</v>
      </c>
      <c r="AM145" s="2">
        <f>All_India_Index_Upto_April23__1[[#This Row],[Education]]/All_India_Index_Upto_April23__1[[#This Row],[TOTAL BROADER CATEGORIES]]</f>
        <v>0.10845072157907798</v>
      </c>
      <c r="AN145" s="2">
        <f>All_India_Index_Upto_April23__1[[#This Row],[Recreation and amusement]]/All_India_Index_Upto_April23__1[[#This Row],[TOTAL BROADER CATEGORIES]]</f>
        <v>9.832274008191802E-2</v>
      </c>
      <c r="AO145" s="2">
        <f>All_India_Index_Upto_April23__1[[#This Row],[Transport and communication]]/All_India_Index_Upto_April23__1[[#This Row],[TOTAL BROADER CATEGORIES]]</f>
        <v>8.8638319818210312E-2</v>
      </c>
      <c r="AP145" s="2">
        <f>All_India_Index_Upto_April23__1[[#This Row],[Health]]/All_India_Index_Upto_April23__1[[#This Row],[TOTAL BROADER CATEGORIES]]</f>
        <v>0.10290620616092472</v>
      </c>
      <c r="AQ145" s="2">
        <f>All_India_Index_Upto_April23__1[[#This Row],[Fuel and light]]/All_India_Index_Upto_April23__1[[#This Row],[TOTAL BROADER CATEGORIES]]</f>
        <v>9.5217811447752196E-2</v>
      </c>
      <c r="AR145">
        <f>MONTH(1 &amp; All_India_Index_Upto_April23__1[[#This Row],[Month]])</f>
        <v>3</v>
      </c>
      <c r="AS145" s="19" t="str">
        <f>All_India_Index_Upto_April23__1[[#This Row],[MONTH IN NUM]]&amp;"/"&amp;All_India_Index_Upto_April23__1[[#This Row],[Year]]</f>
        <v>3/2019</v>
      </c>
      <c r="AT14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139.65714285714284</v>
      </c>
      <c r="AU14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1352.6880952380952</v>
      </c>
    </row>
    <row r="146" spans="1:47" x14ac:dyDescent="0.3">
      <c r="A146" t="s">
        <v>30</v>
      </c>
      <c r="B146">
        <v>2019</v>
      </c>
      <c r="C146" t="s">
        <v>34</v>
      </c>
      <c r="D146">
        <v>136.80000000000001</v>
      </c>
      <c r="E146">
        <v>153</v>
      </c>
      <c r="F146">
        <v>139.1</v>
      </c>
      <c r="G146">
        <v>142.5</v>
      </c>
      <c r="H146">
        <v>124.1</v>
      </c>
      <c r="I146">
        <v>135.80000000000001</v>
      </c>
      <c r="J146">
        <v>128.69999999999999</v>
      </c>
      <c r="K146">
        <v>121.5</v>
      </c>
      <c r="L146">
        <v>108.3</v>
      </c>
      <c r="M146">
        <v>139.19999999999999</v>
      </c>
      <c r="N146">
        <v>137.4</v>
      </c>
      <c r="O146">
        <v>156.19999999999999</v>
      </c>
      <c r="P146">
        <v>137.19999999999999</v>
      </c>
      <c r="Q146">
        <v>162.80000000000001</v>
      </c>
      <c r="R146">
        <v>150.5</v>
      </c>
      <c r="S146">
        <v>146.1</v>
      </c>
      <c r="T146">
        <v>149.9</v>
      </c>
      <c r="U146">
        <v>140.85</v>
      </c>
      <c r="V146">
        <v>145.30000000000001</v>
      </c>
      <c r="W146">
        <v>150.1</v>
      </c>
      <c r="X146">
        <v>149.9</v>
      </c>
      <c r="Y146">
        <v>129.19999999999999</v>
      </c>
      <c r="Z146">
        <v>143.4</v>
      </c>
      <c r="AA146">
        <v>155.5</v>
      </c>
      <c r="AB146">
        <v>134.9</v>
      </c>
      <c r="AC146">
        <v>142.19999999999999</v>
      </c>
      <c r="AD146">
        <v>141</v>
      </c>
      <c r="AE146">
        <v>137.32857142857145</v>
      </c>
      <c r="AF146">
        <v>148.83333333333334</v>
      </c>
      <c r="AG146">
        <v>145.47499999999999</v>
      </c>
      <c r="AH146" s="2">
        <f>All_India_Index_Upto_April23__1[[#This Row],[House]]/All_India_Index_Upto_April23__1[[#This Row],[TOTAL BROADER CATEGORIES]]</f>
        <v>0.10158606912730865</v>
      </c>
      <c r="AI146" s="2">
        <f>All_India_Index_Upto_April23__1[[#This Row],[Cloth]]/All_India_Index_Upto_April23__1[[#This Row],[TOTAL BROADER CATEGORIES]]</f>
        <v>0.10393121353117563</v>
      </c>
      <c r="AJ146" s="2">
        <f>All_India_Index_Upto_April23__1[[#This Row],[Food]]/All_India_Index_Upto_April23__1[[#This Row],[TOTAL BROADER CATEGORIES]]</f>
        <v>9.5897368965783839E-2</v>
      </c>
      <c r="AK146" s="2">
        <f>All_India_Index_Upto_April23__1[[#This Row],[Miscellaneous]]/All_India_Index_Upto_April23__1[[#This Row],[TOTAL BROADER CATEGORIES]]</f>
        <v>9.9299116892272152E-2</v>
      </c>
      <c r="AL146" s="2">
        <f>All_India_Index_Upto_April23__1[[#This Row],[Personal care and effects]]/All_India_Index_Upto_April23__1[[#This Row],[TOTAL BROADER CATEGORIES]]</f>
        <v>9.4201482902725134E-2</v>
      </c>
      <c r="AM146" s="2">
        <f>All_India_Index_Upto_April23__1[[#This Row],[Education]]/All_India_Index_Upto_April23__1[[#This Row],[TOTAL BROADER CATEGORIES]]</f>
        <v>0.10858658703761125</v>
      </c>
      <c r="AN146" s="2">
        <f>All_India_Index_Upto_April23__1[[#This Row],[Recreation and amusement]]/All_India_Index_Upto_April23__1[[#This Row],[TOTAL BROADER CATEGORIES]]</f>
        <v>0.10013708412343057</v>
      </c>
      <c r="AO146" s="2">
        <f>All_India_Index_Upto_April23__1[[#This Row],[Transport and communication]]/All_India_Index_Upto_April23__1[[#This Row],[TOTAL BROADER CATEGORIES]]</f>
        <v>9.0221138554722649E-2</v>
      </c>
      <c r="AP146" s="2">
        <f>All_India_Index_Upto_April23__1[[#This Row],[Health]]/All_India_Index_Upto_April23__1[[#This Row],[TOTAL BROADER CATEGORIES]]</f>
        <v>0.10467607329220532</v>
      </c>
      <c r="AQ146" s="2">
        <f>All_India_Index_Upto_April23__1[[#This Row],[Fuel and light]]/All_India_Index_Upto_April23__1[[#This Row],[TOTAL BROADER CATEGORIES]]</f>
        <v>0.10146386557276474</v>
      </c>
      <c r="AR146">
        <f>MONTH(1 &amp; All_India_Index_Upto_April23__1[[#This Row],[Month]])</f>
        <v>2</v>
      </c>
      <c r="AS146" s="19" t="str">
        <f>All_India_Index_Upto_April23__1[[#This Row],[MONTH IN NUM]]&amp;"/"&amp;All_India_Index_Upto_April23__1[[#This Row],[Year]]</f>
        <v>2/2019</v>
      </c>
      <c r="AT14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148.32142857142858</v>
      </c>
      <c r="AU14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1432.0369047619049</v>
      </c>
    </row>
    <row r="147" spans="1:47" x14ac:dyDescent="0.3">
      <c r="A147" t="s">
        <v>32</v>
      </c>
      <c r="B147">
        <v>2019</v>
      </c>
      <c r="C147" t="s">
        <v>34</v>
      </c>
      <c r="D147">
        <v>139.4</v>
      </c>
      <c r="E147">
        <v>150.1</v>
      </c>
      <c r="F147">
        <v>145.30000000000001</v>
      </c>
      <c r="G147">
        <v>141.69999999999999</v>
      </c>
      <c r="H147">
        <v>118.4</v>
      </c>
      <c r="I147">
        <v>137</v>
      </c>
      <c r="J147">
        <v>131.6</v>
      </c>
      <c r="K147">
        <v>119.9</v>
      </c>
      <c r="L147">
        <v>110.4</v>
      </c>
      <c r="M147">
        <v>140.80000000000001</v>
      </c>
      <c r="N147">
        <v>128.30000000000001</v>
      </c>
      <c r="O147">
        <v>153.5</v>
      </c>
      <c r="P147">
        <v>138</v>
      </c>
      <c r="Q147">
        <v>164.9</v>
      </c>
      <c r="R147">
        <v>143.30000000000001</v>
      </c>
      <c r="S147">
        <v>130.80000000000001</v>
      </c>
      <c r="T147">
        <v>141.4</v>
      </c>
      <c r="U147">
        <v>148.5</v>
      </c>
      <c r="V147">
        <v>127.1</v>
      </c>
      <c r="W147">
        <v>136.6</v>
      </c>
      <c r="X147">
        <v>138.5</v>
      </c>
      <c r="Y147">
        <v>119.2</v>
      </c>
      <c r="Z147">
        <v>132.19999999999999</v>
      </c>
      <c r="AA147">
        <v>146.6</v>
      </c>
      <c r="AB147">
        <v>133</v>
      </c>
      <c r="AC147">
        <v>132.4</v>
      </c>
      <c r="AD147">
        <v>138.6</v>
      </c>
      <c r="AE147">
        <v>137.09285714285716</v>
      </c>
      <c r="AF147">
        <v>138.5</v>
      </c>
      <c r="AG147">
        <v>142.55000000000001</v>
      </c>
      <c r="AH147" s="2">
        <f>All_India_Index_Upto_April23__1[[#This Row],[House]]/All_India_Index_Upto_April23__1[[#This Row],[TOTAL BROADER CATEGORIES]]</f>
        <v>0.10581654294803819</v>
      </c>
      <c r="AI147" s="2">
        <f>All_India_Index_Upto_April23__1[[#This Row],[Cloth]]/All_India_Index_Upto_April23__1[[#This Row],[TOTAL BROADER CATEGORIES]]</f>
        <v>0.1028101802757158</v>
      </c>
      <c r="AJ147" s="2">
        <f>All_India_Index_Upto_April23__1[[#This Row],[Food]]/All_India_Index_Upto_April23__1[[#This Row],[TOTAL BROADER CATEGORIES]]</f>
        <v>0.10176564156945918</v>
      </c>
      <c r="AK147" s="2">
        <f>All_India_Index_Upto_April23__1[[#This Row],[Miscellaneous]]/All_India_Index_Upto_April23__1[[#This Row],[TOTAL BROADER CATEGORIES]]</f>
        <v>9.8282078472958653E-2</v>
      </c>
      <c r="AL147" s="2">
        <f>All_India_Index_Upto_April23__1[[#This Row],[Personal care and effects]]/All_India_Index_Upto_April23__1[[#This Row],[TOTAL BROADER CATEGORIES]]</f>
        <v>9.8727465535524916E-2</v>
      </c>
      <c r="AM147" s="2">
        <f>All_India_Index_Upto_April23__1[[#This Row],[Education]]/All_India_Index_Upto_April23__1[[#This Row],[TOTAL BROADER CATEGORIES]]</f>
        <v>0.10882290562036055</v>
      </c>
      <c r="AN147" s="2">
        <f>All_India_Index_Upto_April23__1[[#This Row],[Recreation and amusement]]/All_India_Index_Upto_April23__1[[#This Row],[TOTAL BROADER CATEGORIES]]</f>
        <v>9.8133616118769876E-2</v>
      </c>
      <c r="AO147" s="2">
        <f>All_India_Index_Upto_April23__1[[#This Row],[Transport and communication]]/All_India_Index_Upto_April23__1[[#This Row],[TOTAL BROADER CATEGORIES]]</f>
        <v>8.8483563096500531E-2</v>
      </c>
      <c r="AP147" s="2">
        <f>All_India_Index_Upto_April23__1[[#This Row],[Health]]/All_India_Index_Upto_April23__1[[#This Row],[TOTAL BROADER CATEGORIES]]</f>
        <v>0.1028101802757158</v>
      </c>
      <c r="AQ147" s="2">
        <f>All_India_Index_Upto_April23__1[[#This Row],[Fuel and light]]/All_India_Index_Upto_April23__1[[#This Row],[TOTAL BROADER CATEGORIES]]</f>
        <v>9.4347826086956521E-2</v>
      </c>
      <c r="AR147">
        <f>MONTH(1 &amp; All_India_Index_Upto_April23__1[[#This Row],[Month]])</f>
        <v>2</v>
      </c>
      <c r="AS147" s="19" t="str">
        <f>All_India_Index_Upto_April23__1[[#This Row],[MONTH IN NUM]]&amp;"/"&amp;All_India_Index_Upto_April23__1[[#This Row],[Year]]</f>
        <v>2/2019</v>
      </c>
      <c r="AT14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139.18571428571428</v>
      </c>
      <c r="AU14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1347.1428571428571</v>
      </c>
    </row>
    <row r="148" spans="1:47" x14ac:dyDescent="0.3">
      <c r="A148" t="s">
        <v>33</v>
      </c>
      <c r="B148">
        <v>2019</v>
      </c>
      <c r="C148" t="s">
        <v>34</v>
      </c>
      <c r="D148">
        <v>137.6</v>
      </c>
      <c r="E148">
        <v>152</v>
      </c>
      <c r="F148">
        <v>141.5</v>
      </c>
      <c r="G148">
        <v>142.19999999999999</v>
      </c>
      <c r="H148">
        <v>122</v>
      </c>
      <c r="I148">
        <v>136.4</v>
      </c>
      <c r="J148">
        <v>129.69999999999999</v>
      </c>
      <c r="K148">
        <v>121</v>
      </c>
      <c r="L148">
        <v>109</v>
      </c>
      <c r="M148">
        <v>139.69999999999999</v>
      </c>
      <c r="N148">
        <v>133.6</v>
      </c>
      <c r="O148">
        <v>154.9</v>
      </c>
      <c r="P148">
        <v>137.5</v>
      </c>
      <c r="Q148">
        <v>163.4</v>
      </c>
      <c r="R148">
        <v>147.69999999999999</v>
      </c>
      <c r="S148">
        <v>139.69999999999999</v>
      </c>
      <c r="T148">
        <v>146.5</v>
      </c>
      <c r="U148">
        <v>148.5</v>
      </c>
      <c r="V148">
        <v>138.4</v>
      </c>
      <c r="W148">
        <v>143.69999999999999</v>
      </c>
      <c r="X148">
        <v>145.6</v>
      </c>
      <c r="Y148">
        <v>123.9</v>
      </c>
      <c r="Z148">
        <v>137.1</v>
      </c>
      <c r="AA148">
        <v>150.30000000000001</v>
      </c>
      <c r="AB148">
        <v>134.1</v>
      </c>
      <c r="AC148">
        <v>137.4</v>
      </c>
      <c r="AD148">
        <v>139.9</v>
      </c>
      <c r="AE148">
        <v>137.17857142857142</v>
      </c>
      <c r="AF148">
        <v>144.63333333333333</v>
      </c>
      <c r="AG148">
        <v>146.1</v>
      </c>
      <c r="AH148" s="2">
        <f>All_India_Index_Upto_April23__1[[#This Row],[House]]/All_India_Index_Upto_April23__1[[#This Row],[TOTAL BROADER CATEGORIES]]</f>
        <v>0.10475281633517076</v>
      </c>
      <c r="AI148" s="2">
        <f>All_India_Index_Upto_April23__1[[#This Row],[Cloth]]/All_India_Index_Upto_April23__1[[#This Row],[TOTAL BROADER CATEGORIES]]</f>
        <v>0.10370122520609307</v>
      </c>
      <c r="AJ148" s="2">
        <f>All_India_Index_Upto_April23__1[[#This Row],[Food]]/All_India_Index_Upto_April23__1[[#This Row],[TOTAL BROADER CATEGORIES]]</f>
        <v>9.835620600943358E-2</v>
      </c>
      <c r="AK148" s="2">
        <f>All_India_Index_Upto_April23__1[[#This Row],[Miscellaneous]]/All_India_Index_Upto_April23__1[[#This Row],[TOTAL BROADER CATEGORIES]]</f>
        <v>9.8514968955869017E-2</v>
      </c>
      <c r="AL148" s="2">
        <f>All_India_Index_Upto_April23__1[[#This Row],[Personal care and effects]]/All_India_Index_Upto_April23__1[[#This Row],[TOTAL BROADER CATEGORIES]]</f>
        <v>9.6148888915444208E-2</v>
      </c>
      <c r="AM148" s="2">
        <f>All_India_Index_Upto_April23__1[[#This Row],[Education]]/All_India_Index_Upto_April23__1[[#This Row],[TOTAL BROADER CATEGORIES]]</f>
        <v>0.10776419093207507</v>
      </c>
      <c r="AN148" s="2">
        <f>All_India_Index_Upto_April23__1[[#This Row],[Recreation and amusement]]/All_India_Index_Upto_April23__1[[#This Row],[TOTAL BROADER CATEGORIES]]</f>
        <v>9.8299870770375844E-2</v>
      </c>
      <c r="AO148" s="2">
        <f>All_India_Index_Upto_April23__1[[#This Row],[Transport and communication]]/All_India_Index_Upto_April23__1[[#This Row],[TOTAL BROADER CATEGORIES]]</f>
        <v>8.883555060867665E-2</v>
      </c>
      <c r="AP148" s="2">
        <f>All_India_Index_Upto_April23__1[[#This Row],[Health]]/All_India_Index_Upto_April23__1[[#This Row],[TOTAL BROADER CATEGORIES]]</f>
        <v>0.10439431935934883</v>
      </c>
      <c r="AQ148" s="2">
        <f>All_India_Index_Upto_April23__1[[#This Row],[Fuel and light]]/All_India_Index_Upto_April23__1[[#This Row],[TOTAL BROADER CATEGORIES]]</f>
        <v>9.9231962907512905E-2</v>
      </c>
      <c r="AR148">
        <f>MONTH(1 &amp; All_India_Index_Upto_April23__1[[#This Row],[Month]])</f>
        <v>2</v>
      </c>
      <c r="AS148" s="19" t="str">
        <f>All_India_Index_Upto_April23__1[[#This Row],[MONTH IN NUM]]&amp;"/"&amp;All_India_Index_Upto_April23__1[[#This Row],[Year]]</f>
        <v>2/2019</v>
      </c>
      <c r="AT14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144.97142857142856</v>
      </c>
      <c r="AU14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1394.7119047619049</v>
      </c>
    </row>
    <row r="149" spans="1:47" x14ac:dyDescent="0.3">
      <c r="A149" t="s">
        <v>33</v>
      </c>
      <c r="B149">
        <v>2019</v>
      </c>
      <c r="C149" t="s">
        <v>31</v>
      </c>
      <c r="D149">
        <v>137.1</v>
      </c>
      <c r="E149">
        <v>151.4</v>
      </c>
      <c r="F149">
        <v>140.19999999999999</v>
      </c>
      <c r="G149">
        <v>142.1</v>
      </c>
      <c r="H149">
        <v>121.8</v>
      </c>
      <c r="I149">
        <v>135.4</v>
      </c>
      <c r="J149">
        <v>131.30000000000001</v>
      </c>
      <c r="K149">
        <v>120.3</v>
      </c>
      <c r="L149">
        <v>109.1</v>
      </c>
      <c r="M149">
        <v>139.4</v>
      </c>
      <c r="N149">
        <v>133.30000000000001</v>
      </c>
      <c r="O149">
        <v>154.6</v>
      </c>
      <c r="P149">
        <v>137.4</v>
      </c>
      <c r="Q149">
        <v>163.19999999999999</v>
      </c>
      <c r="R149">
        <v>147.6</v>
      </c>
      <c r="S149">
        <v>139</v>
      </c>
      <c r="T149">
        <v>146.4</v>
      </c>
      <c r="U149">
        <v>147.69999999999999</v>
      </c>
      <c r="V149">
        <v>139.5</v>
      </c>
      <c r="W149">
        <v>143.6</v>
      </c>
      <c r="X149">
        <v>145.1</v>
      </c>
      <c r="Y149">
        <v>123.3</v>
      </c>
      <c r="Z149">
        <v>136.69999999999999</v>
      </c>
      <c r="AA149">
        <v>150.19999999999999</v>
      </c>
      <c r="AB149">
        <v>132.80000000000001</v>
      </c>
      <c r="AC149">
        <v>136.9</v>
      </c>
      <c r="AD149">
        <v>139.6</v>
      </c>
      <c r="AE149">
        <v>136.9</v>
      </c>
      <c r="AF149">
        <v>144.33333333333334</v>
      </c>
      <c r="AG149">
        <v>145.64999999999998</v>
      </c>
      <c r="AH149" s="2">
        <f>All_India_Index_Upto_April23__1[[#This Row],[House]]/All_India_Index_Upto_April23__1[[#This Row],[TOTAL BROADER CATEGORIES]]</f>
        <v>0.10467999472946588</v>
      </c>
      <c r="AI149" s="2">
        <f>All_India_Index_Upto_April23__1[[#This Row],[Cloth]]/All_India_Index_Upto_April23__1[[#This Row],[TOTAL BROADER CATEGORIES]]</f>
        <v>0.10373369428506404</v>
      </c>
      <c r="AJ149" s="2">
        <f>All_India_Index_Upto_April23__1[[#This Row],[Food]]/All_India_Index_Upto_April23__1[[#This Row],[TOTAL BROADER CATEGORIES]]</f>
        <v>9.8391289244516858E-2</v>
      </c>
      <c r="AK149" s="2">
        <f>All_India_Index_Upto_April23__1[[#This Row],[Miscellaneous]]/All_India_Index_Upto_April23__1[[#This Row],[TOTAL BROADER CATEGORIES]]</f>
        <v>9.8391289244516858E-2</v>
      </c>
      <c r="AL149" s="2">
        <f>All_India_Index_Upto_April23__1[[#This Row],[Personal care and effects]]/All_India_Index_Upto_April23__1[[#This Row],[TOTAL BROADER CATEGORIES]]</f>
        <v>9.5444581531569317E-2</v>
      </c>
      <c r="AM149" s="2">
        <f>All_India_Index_Upto_April23__1[[#This Row],[Education]]/All_India_Index_Upto_April23__1[[#This Row],[TOTAL BROADER CATEGORIES]]</f>
        <v>0.10795012158163937</v>
      </c>
      <c r="AN149" s="2">
        <f>All_India_Index_Upto_April23__1[[#This Row],[Recreation and amusement]]/All_India_Index_Upto_April23__1[[#This Row],[TOTAL BROADER CATEGORIES]]</f>
        <v>9.8247547404860872E-2</v>
      </c>
      <c r="AO149" s="2">
        <f>All_India_Index_Upto_April23__1[[#This Row],[Transport and communication]]/All_India_Index_Upto_April23__1[[#This Row],[TOTAL BROADER CATEGORIES]]</f>
        <v>8.8616844147910365E-2</v>
      </c>
      <c r="AP149" s="2">
        <f>All_India_Index_Upto_April23__1[[#This Row],[Health]]/All_India_Index_Upto_April23__1[[#This Row],[TOTAL BROADER CATEGORIES]]</f>
        <v>0.10428470467041194</v>
      </c>
      <c r="AQ149" s="2">
        <f>All_India_Index_Upto_April23__1[[#This Row],[Fuel and light]]/All_India_Index_Upto_April23__1[[#This Row],[TOTAL BROADER CATEGORIES]]</f>
        <v>0.10025993316004457</v>
      </c>
      <c r="AR149">
        <f>MONTH(1 &amp; All_India_Index_Upto_April23__1[[#This Row],[Month]])</f>
        <v>1</v>
      </c>
      <c r="AS149" s="19" t="str">
        <f>All_India_Index_Upto_April23__1[[#This Row],[MONTH IN NUM]]&amp;"/"&amp;All_India_Index_Upto_April23__1[[#This Row],[Year]]</f>
        <v>1/2019</v>
      </c>
      <c r="AT14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144.85714285714286</v>
      </c>
      <c r="AU14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1391.3833333333332</v>
      </c>
    </row>
    <row r="150" spans="1:47" x14ac:dyDescent="0.3">
      <c r="A150" t="s">
        <v>30</v>
      </c>
      <c r="B150">
        <v>2019</v>
      </c>
      <c r="C150" t="s">
        <v>31</v>
      </c>
      <c r="D150">
        <v>136.6</v>
      </c>
      <c r="E150">
        <v>152.5</v>
      </c>
      <c r="F150">
        <v>138.19999999999999</v>
      </c>
      <c r="G150">
        <v>142.4</v>
      </c>
      <c r="H150">
        <v>123.9</v>
      </c>
      <c r="I150">
        <v>135.5</v>
      </c>
      <c r="J150">
        <v>131.69999999999999</v>
      </c>
      <c r="K150">
        <v>121.3</v>
      </c>
      <c r="L150">
        <v>108.4</v>
      </c>
      <c r="M150">
        <v>138.9</v>
      </c>
      <c r="N150">
        <v>137</v>
      </c>
      <c r="O150">
        <v>155.80000000000001</v>
      </c>
      <c r="P150">
        <v>137.4</v>
      </c>
      <c r="Q150">
        <v>162.69999999999999</v>
      </c>
      <c r="R150">
        <v>150.6</v>
      </c>
      <c r="S150">
        <v>145.1</v>
      </c>
      <c r="T150">
        <v>149.9</v>
      </c>
      <c r="U150">
        <v>140.85</v>
      </c>
      <c r="V150">
        <v>146.19999999999999</v>
      </c>
      <c r="W150">
        <v>150.1</v>
      </c>
      <c r="X150">
        <v>149.6</v>
      </c>
      <c r="Y150">
        <v>128.6</v>
      </c>
      <c r="Z150">
        <v>142.9</v>
      </c>
      <c r="AA150">
        <v>155.19999999999999</v>
      </c>
      <c r="AB150">
        <v>133.5</v>
      </c>
      <c r="AC150">
        <v>141.69999999999999</v>
      </c>
      <c r="AD150">
        <v>141</v>
      </c>
      <c r="AE150">
        <v>137.30714285714288</v>
      </c>
      <c r="AF150">
        <v>148.53333333333333</v>
      </c>
      <c r="AG150">
        <v>145.47499999999999</v>
      </c>
      <c r="AH150" s="2">
        <f>All_India_Index_Upto_April23__1[[#This Row],[House]]/All_India_Index_Upto_April23__1[[#This Row],[TOTAL BROADER CATEGORIES]]</f>
        <v>0.10180085690031349</v>
      </c>
      <c r="AI150" s="2">
        <f>All_India_Index_Upto_April23__1[[#This Row],[Cloth]]/All_India_Index_Upto_April23__1[[#This Row],[TOTAL BROADER CATEGORIES]]</f>
        <v>0.1039410249980631</v>
      </c>
      <c r="AJ150" s="2">
        <f>All_India_Index_Upto_April23__1[[#This Row],[Food]]/All_India_Index_Upto_April23__1[[#This Row],[TOTAL BROADER CATEGORIES]]</f>
        <v>9.6085133537658726E-2</v>
      </c>
      <c r="AK150" s="2">
        <f>All_India_Index_Upto_April23__1[[#This Row],[Miscellaneous]]/All_India_Index_Upto_April23__1[[#This Row],[TOTAL BROADER CATEGORIES]]</f>
        <v>9.9159178022164771E-2</v>
      </c>
      <c r="AL150" s="2">
        <f>All_India_Index_Upto_April23__1[[#This Row],[Personal care and effects]]/All_India_Index_Upto_April23__1[[#This Row],[TOTAL BROADER CATEGORIES]]</f>
        <v>9.3420961651086792E-2</v>
      </c>
      <c r="AM150" s="2">
        <f>All_India_Index_Upto_April23__1[[#This Row],[Education]]/All_India_Index_Upto_April23__1[[#This Row],[TOTAL BROADER CATEGORIES]]</f>
        <v>0.10860624155991512</v>
      </c>
      <c r="AN150" s="2">
        <f>All_India_Index_Upto_April23__1[[#This Row],[Recreation and amusement]]/All_India_Index_Upto_April23__1[[#This Row],[TOTAL BROADER CATEGORIES]]</f>
        <v>9.9998917003298146E-2</v>
      </c>
      <c r="AO150" s="2">
        <f>All_India_Index_Upto_April23__1[[#This Row],[Transport and communication]]/All_India_Index_Upto_April23__1[[#This Row],[TOTAL BROADER CATEGORIES]]</f>
        <v>8.9992027478125541E-2</v>
      </c>
      <c r="AP150" s="2">
        <f>All_India_Index_Upto_April23__1[[#This Row],[Health]]/All_India_Index_Upto_April23__1[[#This Row],[TOTAL BROADER CATEGORIES]]</f>
        <v>0.10468745964795942</v>
      </c>
      <c r="AQ150" s="2">
        <f>All_India_Index_Upto_April23__1[[#This Row],[Fuel and light]]/All_India_Index_Upto_April23__1[[#This Row],[TOTAL BROADER CATEGORIES]]</f>
        <v>0.10230819920141489</v>
      </c>
      <c r="AR150">
        <f>MONTH(1 &amp; All_India_Index_Upto_April23__1[[#This Row],[Month]])</f>
        <v>1</v>
      </c>
      <c r="AS150" s="19" t="str">
        <f>All_India_Index_Upto_April23__1[[#This Row],[MONTH IN NUM]]&amp;"/"&amp;All_India_Index_Upto_April23__1[[#This Row],[Year]]</f>
        <v>1/2019</v>
      </c>
      <c r="AT15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148.27857142857141</v>
      </c>
      <c r="AU15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1429.0154761904762</v>
      </c>
    </row>
    <row r="151" spans="1:47" x14ac:dyDescent="0.3">
      <c r="A151" t="s">
        <v>32</v>
      </c>
      <c r="B151">
        <v>2019</v>
      </c>
      <c r="C151" t="s">
        <v>31</v>
      </c>
      <c r="D151">
        <v>138.30000000000001</v>
      </c>
      <c r="E151">
        <v>149.4</v>
      </c>
      <c r="F151">
        <v>143.5</v>
      </c>
      <c r="G151">
        <v>141.69999999999999</v>
      </c>
      <c r="H151">
        <v>118.1</v>
      </c>
      <c r="I151">
        <v>135.19999999999999</v>
      </c>
      <c r="J151">
        <v>130.5</v>
      </c>
      <c r="K151">
        <v>118.2</v>
      </c>
      <c r="L151">
        <v>110.4</v>
      </c>
      <c r="M151">
        <v>140.4</v>
      </c>
      <c r="N151">
        <v>128.1</v>
      </c>
      <c r="O151">
        <v>153.19999999999999</v>
      </c>
      <c r="P151">
        <v>137.30000000000001</v>
      </c>
      <c r="Q151">
        <v>164.7</v>
      </c>
      <c r="R151">
        <v>143</v>
      </c>
      <c r="S151">
        <v>130.4</v>
      </c>
      <c r="T151">
        <v>141.1</v>
      </c>
      <c r="U151">
        <v>147.69999999999999</v>
      </c>
      <c r="V151">
        <v>128.6</v>
      </c>
      <c r="W151">
        <v>136.30000000000001</v>
      </c>
      <c r="X151">
        <v>137.80000000000001</v>
      </c>
      <c r="Y151">
        <v>118.6</v>
      </c>
      <c r="Z151">
        <v>131.9</v>
      </c>
      <c r="AA151">
        <v>146.6</v>
      </c>
      <c r="AB151">
        <v>131.69999999999999</v>
      </c>
      <c r="AC151">
        <v>131.80000000000001</v>
      </c>
      <c r="AD151">
        <v>138</v>
      </c>
      <c r="AE151">
        <v>136.35714285714286</v>
      </c>
      <c r="AF151">
        <v>138.16666666666666</v>
      </c>
      <c r="AG151">
        <v>142</v>
      </c>
      <c r="AH151" s="2">
        <f>All_India_Index_Upto_April23__1[[#This Row],[House]]/All_India_Index_Upto_April23__1[[#This Row],[TOTAL BROADER CATEGORIES]]</f>
        <v>0.10569220954136245</v>
      </c>
      <c r="AI151" s="2">
        <f>All_India_Index_Upto_April23__1[[#This Row],[Cloth]]/All_India_Index_Upto_April23__1[[#This Row],[TOTAL BROADER CATEGORIES]]</f>
        <v>0.10283901609130219</v>
      </c>
      <c r="AJ151" s="2">
        <f>All_India_Index_Upto_April23__1[[#This Row],[Food]]/All_India_Index_Upto_April23__1[[#This Row],[TOTAL BROADER CATEGORIES]]</f>
        <v>0.10149216700928618</v>
      </c>
      <c r="AK151" s="2">
        <f>All_India_Index_Upto_April23__1[[#This Row],[Miscellaneous]]/All_India_Index_Upto_April23__1[[#This Row],[TOTAL BROADER CATEGORIES]]</f>
        <v>9.8100233926419519E-2</v>
      </c>
      <c r="AL151" s="2">
        <f>All_India_Index_Upto_April23__1[[#This Row],[Personal care and effects]]/All_India_Index_Upto_April23__1[[#This Row],[TOTAL BROADER CATEGORIES]]</f>
        <v>9.8025802792939681E-2</v>
      </c>
      <c r="AM151" s="2">
        <f>All_India_Index_Upto_April23__1[[#This Row],[Education]]/All_India_Index_Upto_April23__1[[#This Row],[TOTAL BROADER CATEGORIES]]</f>
        <v>0.10911604168143475</v>
      </c>
      <c r="AN151" s="2">
        <f>All_India_Index_Upto_April23__1[[#This Row],[Recreation and amusement]]/All_India_Index_Upto_April23__1[[#This Row],[TOTAL BROADER CATEGORIES]]</f>
        <v>9.8174665059899358E-2</v>
      </c>
      <c r="AO151" s="2">
        <f>All_India_Index_Upto_April23__1[[#This Row],[Transport and communication]]/All_India_Index_Upto_April23__1[[#This Row],[TOTAL BROADER CATEGORIES]]</f>
        <v>8.8275324307081598E-2</v>
      </c>
      <c r="AP151" s="2">
        <f>All_India_Index_Upto_April23__1[[#This Row],[Health]]/All_India_Index_Upto_April23__1[[#This Row],[TOTAL BROADER CATEGORIES]]</f>
        <v>0.10256610193520949</v>
      </c>
      <c r="AQ151" s="2">
        <f>All_India_Index_Upto_April23__1[[#This Row],[Fuel and light]]/All_India_Index_Upto_April23__1[[#This Row],[TOTAL BROADER CATEGORIES]]</f>
        <v>9.5718437655064867E-2</v>
      </c>
      <c r="AR151">
        <f>MONTH(1 &amp; All_India_Index_Upto_April23__1[[#This Row],[Month]])</f>
        <v>1</v>
      </c>
      <c r="AS151" s="19" t="str">
        <f>All_India_Index_Upto_April23__1[[#This Row],[MONTH IN NUM]]&amp;"/"&amp;All_India_Index_Upto_April23__1[[#This Row],[Year]]</f>
        <v>1/2019</v>
      </c>
      <c r="AT15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139.1</v>
      </c>
      <c r="AU15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1343.5238095238094</v>
      </c>
    </row>
    <row r="152" spans="1:47" x14ac:dyDescent="0.3">
      <c r="A152" t="s">
        <v>33</v>
      </c>
      <c r="B152">
        <v>2018</v>
      </c>
      <c r="C152" t="s">
        <v>44</v>
      </c>
      <c r="D152">
        <v>137.5</v>
      </c>
      <c r="E152">
        <v>150.5</v>
      </c>
      <c r="F152">
        <v>138.80000000000001</v>
      </c>
      <c r="G152">
        <v>142.1</v>
      </c>
      <c r="H152">
        <v>122</v>
      </c>
      <c r="I152">
        <v>139.4</v>
      </c>
      <c r="J152">
        <v>135.19999999999999</v>
      </c>
      <c r="K152">
        <v>119.8</v>
      </c>
      <c r="L152">
        <v>110.3</v>
      </c>
      <c r="M152">
        <v>140.6</v>
      </c>
      <c r="N152">
        <v>133.80000000000001</v>
      </c>
      <c r="O152">
        <v>154.6</v>
      </c>
      <c r="P152">
        <v>138.19999999999999</v>
      </c>
      <c r="Q152">
        <v>163</v>
      </c>
      <c r="R152">
        <v>148.1</v>
      </c>
      <c r="S152">
        <v>139.4</v>
      </c>
      <c r="T152">
        <v>146.80000000000001</v>
      </c>
      <c r="U152">
        <v>146.5</v>
      </c>
      <c r="V152">
        <v>142.69999999999999</v>
      </c>
      <c r="W152">
        <v>143.19999999999999</v>
      </c>
      <c r="X152">
        <v>144.9</v>
      </c>
      <c r="Y152">
        <v>123.6</v>
      </c>
      <c r="Z152">
        <v>136.80000000000001</v>
      </c>
      <c r="AA152">
        <v>150.1</v>
      </c>
      <c r="AB152">
        <v>132.19999999999999</v>
      </c>
      <c r="AC152">
        <v>136.80000000000001</v>
      </c>
      <c r="AD152">
        <v>140.1</v>
      </c>
      <c r="AE152">
        <v>137.55714285714285</v>
      </c>
      <c r="AF152">
        <v>144.76666666666668</v>
      </c>
      <c r="AG152">
        <v>144.85</v>
      </c>
      <c r="AH152" s="2">
        <f>All_India_Index_Upto_April23__1[[#This Row],[House]]/All_India_Index_Upto_April23__1[[#This Row],[TOTAL BROADER CATEGORIES]]</f>
        <v>0.10388920670429221</v>
      </c>
      <c r="AI152" s="2">
        <f>All_India_Index_Upto_April23__1[[#This Row],[Cloth]]/All_India_Index_Upto_April23__1[[#This Row],[TOTAL BROADER CATEGORIES]]</f>
        <v>0.10382943843441286</v>
      </c>
      <c r="AJ152" s="2">
        <f>All_India_Index_Upto_April23__1[[#This Row],[Food]]/All_India_Index_Upto_April23__1[[#This Row],[TOTAL BROADER CATEGORIES]]</f>
        <v>9.8658629257421929E-2</v>
      </c>
      <c r="AK152" s="2">
        <f>All_India_Index_Upto_April23__1[[#This Row],[Miscellaneous]]/All_India_Index_Upto_April23__1[[#This Row],[TOTAL BROADER CATEGORIES]]</f>
        <v>9.8115591833946664E-2</v>
      </c>
      <c r="AL152" s="2">
        <f>All_India_Index_Upto_April23__1[[#This Row],[Personal care and effects]]/All_India_Index_Upto_April23__1[[#This Row],[TOTAL BROADER CATEGORIES]]</f>
        <v>9.4816383336606344E-2</v>
      </c>
      <c r="AM152" s="2">
        <f>All_India_Index_Upto_April23__1[[#This Row],[Education]]/All_India_Index_Upto_April23__1[[#This Row],[TOTAL BROADER CATEGORIES]]</f>
        <v>0.10765460770669147</v>
      </c>
      <c r="AN152" s="2">
        <f>All_India_Index_Upto_April23__1[[#This Row],[Recreation and amusement]]/All_India_Index_Upto_April23__1[[#This Row],[TOTAL BROADER CATEGORIES]]</f>
        <v>9.8115591833946664E-2</v>
      </c>
      <c r="AO152" s="2">
        <f>All_India_Index_Upto_April23__1[[#This Row],[Transport and communication]]/All_India_Index_Upto_April23__1[[#This Row],[TOTAL BROADER CATEGORIES]]</f>
        <v>8.864829788505707E-2</v>
      </c>
      <c r="AP152" s="2">
        <f>All_India_Index_Upto_April23__1[[#This Row],[Health]]/All_India_Index_Upto_April23__1[[#This Row],[TOTAL BROADER CATEGORIES]]</f>
        <v>0.10392506766621983</v>
      </c>
      <c r="AQ152" s="2">
        <f>All_India_Index_Upto_April23__1[[#This Row],[Fuel and light]]/All_India_Index_Upto_April23__1[[#This Row],[TOTAL BROADER CATEGORIES]]</f>
        <v>0.10234718534140488</v>
      </c>
      <c r="AR152">
        <f>MONTH(1 &amp; All_India_Index_Upto_April23__1[[#This Row],[Month]])</f>
        <v>12</v>
      </c>
      <c r="AS152" s="19" t="str">
        <f>All_India_Index_Upto_April23__1[[#This Row],[MONTH IN NUM]]&amp;"/"&amp;All_India_Index_Upto_April23__1[[#This Row],[Year]]</f>
        <v>12/2018</v>
      </c>
      <c r="AT15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145.25714285714284</v>
      </c>
      <c r="AU15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1394.2738095238096</v>
      </c>
    </row>
    <row r="153" spans="1:47" x14ac:dyDescent="0.3">
      <c r="A153" t="s">
        <v>32</v>
      </c>
      <c r="B153">
        <v>2018</v>
      </c>
      <c r="C153" t="s">
        <v>44</v>
      </c>
      <c r="D153">
        <v>138.5</v>
      </c>
      <c r="E153">
        <v>147.80000000000001</v>
      </c>
      <c r="F153">
        <v>141.1</v>
      </c>
      <c r="G153">
        <v>141.6</v>
      </c>
      <c r="H153">
        <v>118.1</v>
      </c>
      <c r="I153">
        <v>138.5</v>
      </c>
      <c r="J153">
        <v>132.4</v>
      </c>
      <c r="K153">
        <v>117.5</v>
      </c>
      <c r="L153">
        <v>111</v>
      </c>
      <c r="M153">
        <v>141.5</v>
      </c>
      <c r="N153">
        <v>128.1</v>
      </c>
      <c r="O153">
        <v>152.9</v>
      </c>
      <c r="P153">
        <v>137.6</v>
      </c>
      <c r="Q153">
        <v>164.6</v>
      </c>
      <c r="R153">
        <v>142.69999999999999</v>
      </c>
      <c r="S153">
        <v>130.30000000000001</v>
      </c>
      <c r="T153">
        <v>140.80000000000001</v>
      </c>
      <c r="U153">
        <v>146.5</v>
      </c>
      <c r="V153">
        <v>132.4</v>
      </c>
      <c r="W153">
        <v>136.19999999999999</v>
      </c>
      <c r="X153">
        <v>137.30000000000001</v>
      </c>
      <c r="Y153">
        <v>118.8</v>
      </c>
      <c r="Z153">
        <v>131.69999999999999</v>
      </c>
      <c r="AA153">
        <v>146.5</v>
      </c>
      <c r="AB153">
        <v>130.80000000000001</v>
      </c>
      <c r="AC153">
        <v>131.69999999999999</v>
      </c>
      <c r="AD153">
        <v>138</v>
      </c>
      <c r="AE153">
        <v>136.51428571428571</v>
      </c>
      <c r="AF153">
        <v>137.93333333333334</v>
      </c>
      <c r="AG153">
        <v>141.35</v>
      </c>
      <c r="AH153" s="2">
        <f>All_India_Index_Upto_April23__1[[#This Row],[House]]/All_India_Index_Upto_April23__1[[#This Row],[TOTAL BROADER CATEGORIES]]</f>
        <v>0.10509312284142829</v>
      </c>
      <c r="AI153" s="2">
        <f>All_India_Index_Upto_April23__1[[#This Row],[Cloth]]/All_India_Index_Upto_April23__1[[#This Row],[TOTAL BROADER CATEGORIES]]</f>
        <v>0.10255284572994465</v>
      </c>
      <c r="AJ153" s="2">
        <f>All_India_Index_Upto_April23__1[[#This Row],[Food]]/All_India_Index_Upto_April23__1[[#This Row],[TOTAL BROADER CATEGORIES]]</f>
        <v>0.1014977898704016</v>
      </c>
      <c r="AK153" s="2">
        <f>All_India_Index_Upto_April23__1[[#This Row],[Miscellaneous]]/All_India_Index_Upto_April23__1[[#This Row],[TOTAL BROADER CATEGORIES]]</f>
        <v>9.7918388950945207E-2</v>
      </c>
      <c r="AL153" s="2">
        <f>All_India_Index_Upto_April23__1[[#This Row],[Personal care and effects]]/All_India_Index_Upto_April23__1[[#This Row],[TOTAL BROADER CATEGORIES]]</f>
        <v>9.7249242784993431E-2</v>
      </c>
      <c r="AM153" s="2">
        <f>All_India_Index_Upto_April23__1[[#This Row],[Education]]/All_India_Index_Upto_April23__1[[#This Row],[TOTAL BROADER CATEGORIES]]</f>
        <v>0.10892212590215242</v>
      </c>
      <c r="AN153" s="2">
        <f>All_India_Index_Upto_April23__1[[#This Row],[Recreation and amusement]]/All_India_Index_Upto_April23__1[[#This Row],[TOTAL BROADER CATEGORIES]]</f>
        <v>9.7918388950945207E-2</v>
      </c>
      <c r="AO153" s="2">
        <f>All_India_Index_Upto_April23__1[[#This Row],[Transport and communication]]/All_India_Index_Upto_April23__1[[#This Row],[TOTAL BROADER CATEGORIES]]</f>
        <v>8.832729390563622E-2</v>
      </c>
      <c r="AP153" s="2">
        <f>All_India_Index_Upto_April23__1[[#This Row],[Health]]/All_India_Index_Upto_April23__1[[#This Row],[TOTAL BROADER CATEGORIES]]</f>
        <v>0.10208196509464525</v>
      </c>
      <c r="AQ153" s="2">
        <f>All_India_Index_Upto_April23__1[[#This Row],[Fuel and light]]/All_India_Index_Upto_April23__1[[#This Row],[TOTAL BROADER CATEGORIES]]</f>
        <v>9.843883596890772E-2</v>
      </c>
      <c r="AR153">
        <f>MONTH(1 &amp; All_India_Index_Upto_April23__1[[#This Row],[Month]])</f>
        <v>12</v>
      </c>
      <c r="AS153" s="19" t="str">
        <f>All_India_Index_Upto_April23__1[[#This Row],[MONTH IN NUM]]&amp;"/"&amp;All_India_Index_Upto_April23__1[[#This Row],[Year]]</f>
        <v>12/2018</v>
      </c>
      <c r="AT15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139.34285714285716</v>
      </c>
      <c r="AU15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1344.9976190476191</v>
      </c>
    </row>
    <row r="154" spans="1:47" x14ac:dyDescent="0.3">
      <c r="A154" t="s">
        <v>30</v>
      </c>
      <c r="B154">
        <v>2018</v>
      </c>
      <c r="C154" t="s">
        <v>44</v>
      </c>
      <c r="D154">
        <v>137.1</v>
      </c>
      <c r="E154">
        <v>151.9</v>
      </c>
      <c r="F154">
        <v>137.4</v>
      </c>
      <c r="G154">
        <v>142.4</v>
      </c>
      <c r="H154">
        <v>124.2</v>
      </c>
      <c r="I154">
        <v>140.19999999999999</v>
      </c>
      <c r="J154">
        <v>136.6</v>
      </c>
      <c r="K154">
        <v>120.9</v>
      </c>
      <c r="L154">
        <v>109.9</v>
      </c>
      <c r="M154">
        <v>140.19999999999999</v>
      </c>
      <c r="N154">
        <v>137.80000000000001</v>
      </c>
      <c r="O154">
        <v>156</v>
      </c>
      <c r="P154">
        <v>138.5</v>
      </c>
      <c r="Q154">
        <v>162.4</v>
      </c>
      <c r="R154">
        <v>151.6</v>
      </c>
      <c r="S154">
        <v>145.9</v>
      </c>
      <c r="T154">
        <v>150.80000000000001</v>
      </c>
      <c r="U154">
        <v>140.85</v>
      </c>
      <c r="V154">
        <v>149</v>
      </c>
      <c r="W154">
        <v>149.5</v>
      </c>
      <c r="X154">
        <v>149.6</v>
      </c>
      <c r="Y154">
        <v>128.9</v>
      </c>
      <c r="Z154">
        <v>143.30000000000001</v>
      </c>
      <c r="AA154">
        <v>155.1</v>
      </c>
      <c r="AB154">
        <v>133.19999999999999</v>
      </c>
      <c r="AC154">
        <v>141.6</v>
      </c>
      <c r="AD154">
        <v>141.9</v>
      </c>
      <c r="AE154">
        <v>138.25000000000003</v>
      </c>
      <c r="AF154">
        <v>149.43333333333334</v>
      </c>
      <c r="AG154">
        <v>145.17500000000001</v>
      </c>
      <c r="AH154" s="2">
        <f>All_India_Index_Upto_April23__1[[#This Row],[House]]/All_India_Index_Upto_April23__1[[#This Row],[TOTAL BROADER CATEGORIES]]</f>
        <v>0.10126898684508827</v>
      </c>
      <c r="AI154" s="2">
        <f>All_India_Index_Upto_April23__1[[#This Row],[Cloth]]/All_India_Index_Upto_April23__1[[#This Row],[TOTAL BROADER CATEGORIES]]</f>
        <v>0.10423945078388858</v>
      </c>
      <c r="AJ154" s="2">
        <f>All_India_Index_Upto_April23__1[[#This Row],[Food]]/All_India_Index_Upto_April23__1[[#This Row],[TOTAL BROADER CATEGORIES]]</f>
        <v>9.6438349793927708E-2</v>
      </c>
      <c r="AK154" s="2">
        <f>All_India_Index_Upto_April23__1[[#This Row],[Miscellaneous]]/All_India_Index_Upto_April23__1[[#This Row],[TOTAL BROADER CATEGORIES]]</f>
        <v>9.8775192266330275E-2</v>
      </c>
      <c r="AL154" s="2">
        <f>All_India_Index_Upto_April23__1[[#This Row],[Personal care and effects]]/All_India_Index_Upto_April23__1[[#This Row],[TOTAL BROADER CATEGORIES]]</f>
        <v>9.2915646962395432E-2</v>
      </c>
      <c r="AM154" s="2">
        <f>All_India_Index_Upto_April23__1[[#This Row],[Education]]/All_India_Index_Upto_April23__1[[#This Row],[TOTAL BROADER CATEGORIES]]</f>
        <v>0.10819231864765413</v>
      </c>
      <c r="AN154" s="2">
        <f>All_India_Index_Upto_April23__1[[#This Row],[Recreation and amusement]]/All_India_Index_Upto_April23__1[[#This Row],[TOTAL BROADER CATEGORIES]]</f>
        <v>9.9961052625459956E-2</v>
      </c>
      <c r="AO154" s="2">
        <f>All_India_Index_Upto_April23__1[[#This Row],[Transport and communication]]/All_India_Index_Upto_April23__1[[#This Row],[TOTAL BROADER CATEGORIES]]</f>
        <v>8.9916117818714503E-2</v>
      </c>
      <c r="AP154" s="2">
        <f>All_India_Index_Upto_April23__1[[#This Row],[Health]]/All_India_Index_Upto_April23__1[[#This Row],[TOTAL BROADER CATEGORIES]]</f>
        <v>0.10435571160341109</v>
      </c>
      <c r="AQ154" s="2">
        <f>All_India_Index_Upto_April23__1[[#This Row],[Fuel and light]]/All_India_Index_Upto_April23__1[[#This Row],[TOTAL BROADER CATEGORIES]]</f>
        <v>0.10393717265313003</v>
      </c>
      <c r="AR154">
        <f>MONTH(1 &amp; All_India_Index_Upto_April23__1[[#This Row],[Month]])</f>
        <v>12</v>
      </c>
      <c r="AS154" s="19" t="str">
        <f>All_India_Index_Upto_April23__1[[#This Row],[MONTH IN NUM]]&amp;"/"&amp;All_India_Index_Upto_April23__1[[#This Row],[Year]]</f>
        <v>12/2018</v>
      </c>
      <c r="AT15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148.96428571428572</v>
      </c>
      <c r="AU15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1433.5583333333334</v>
      </c>
    </row>
    <row r="155" spans="1:47" x14ac:dyDescent="0.3">
      <c r="A155" t="s">
        <v>32</v>
      </c>
      <c r="B155">
        <v>2018</v>
      </c>
      <c r="C155" t="s">
        <v>43</v>
      </c>
      <c r="D155">
        <v>138.1</v>
      </c>
      <c r="E155">
        <v>146.30000000000001</v>
      </c>
      <c r="F155">
        <v>137.80000000000001</v>
      </c>
      <c r="G155">
        <v>141.6</v>
      </c>
      <c r="H155">
        <v>118.1</v>
      </c>
      <c r="I155">
        <v>141.5</v>
      </c>
      <c r="J155">
        <v>145.19999999999999</v>
      </c>
      <c r="K155">
        <v>115.3</v>
      </c>
      <c r="L155">
        <v>112.5</v>
      </c>
      <c r="M155">
        <v>141.4</v>
      </c>
      <c r="N155">
        <v>128</v>
      </c>
      <c r="O155">
        <v>152.6</v>
      </c>
      <c r="P155">
        <v>139.1</v>
      </c>
      <c r="Q155">
        <v>164.4</v>
      </c>
      <c r="R155">
        <v>142.4</v>
      </c>
      <c r="S155">
        <v>130.19999999999999</v>
      </c>
      <c r="T155">
        <v>140.5</v>
      </c>
      <c r="U155">
        <v>146.9</v>
      </c>
      <c r="V155">
        <v>136.69999999999999</v>
      </c>
      <c r="W155">
        <v>135.80000000000001</v>
      </c>
      <c r="X155">
        <v>136.80000000000001</v>
      </c>
      <c r="Y155">
        <v>121.2</v>
      </c>
      <c r="Z155">
        <v>131.30000000000001</v>
      </c>
      <c r="AA155">
        <v>146.1</v>
      </c>
      <c r="AB155">
        <v>130.5</v>
      </c>
      <c r="AC155">
        <v>132.19999999999999</v>
      </c>
      <c r="AD155">
        <v>139</v>
      </c>
      <c r="AE155">
        <v>137.27857142857141</v>
      </c>
      <c r="AF155">
        <v>137.70000000000002</v>
      </c>
      <c r="AG155">
        <v>141.35000000000002</v>
      </c>
      <c r="AH155" s="2">
        <f>All_India_Index_Upto_April23__1[[#This Row],[House]]/All_India_Index_Upto_April23__1[[#This Row],[TOTAL BROADER CATEGORIES]]</f>
        <v>0.10461624673553326</v>
      </c>
      <c r="AI155" s="2">
        <f>All_India_Index_Upto_April23__1[[#This Row],[Cloth]]/All_India_Index_Upto_April23__1[[#This Row],[TOTAL BROADER CATEGORIES]]</f>
        <v>0.10191480138297085</v>
      </c>
      <c r="AJ155" s="2">
        <f>All_India_Index_Upto_April23__1[[#This Row],[Food]]/All_India_Index_Upto_April23__1[[#This Row],[TOTAL BROADER CATEGORIES]]</f>
        <v>0.10160289281975912</v>
      </c>
      <c r="AK155" s="2">
        <f>All_India_Index_Upto_April23__1[[#This Row],[Miscellaneous]]/All_India_Index_Upto_April23__1[[#This Row],[TOTAL BROADER CATEGORIES]]</f>
        <v>9.7844130303767193E-2</v>
      </c>
      <c r="AL155" s="2">
        <f>All_India_Index_Upto_April23__1[[#This Row],[Personal care and effects]]/All_India_Index_Upto_April23__1[[#This Row],[TOTAL BROADER CATEGORIES]]</f>
        <v>9.6585922879286093E-2</v>
      </c>
      <c r="AM155" s="2">
        <f>All_India_Index_Upto_April23__1[[#This Row],[Education]]/All_India_Index_Upto_April23__1[[#This Row],[TOTAL BROADER CATEGORIES]]</f>
        <v>0.10813182630393638</v>
      </c>
      <c r="AN155" s="2">
        <f>All_India_Index_Upto_April23__1[[#This Row],[Recreation and amusement]]/All_India_Index_Upto_April23__1[[#This Row],[TOTAL BROADER CATEGORIES]]</f>
        <v>9.7178020490806621E-2</v>
      </c>
      <c r="AO155" s="2">
        <f>All_India_Index_Upto_April23__1[[#This Row],[Transport and communication]]/All_India_Index_Upto_April23__1[[#This Row],[TOTAL BROADER CATEGORIES]]</f>
        <v>8.9702788145359952E-2</v>
      </c>
      <c r="AP155" s="2">
        <f>All_India_Index_Upto_April23__1[[#This Row],[Health]]/All_India_Index_Upto_April23__1[[#This Row],[TOTAL BROADER CATEGORIES]]</f>
        <v>0.10124869157001025</v>
      </c>
      <c r="AQ155" s="2">
        <f>All_India_Index_Upto_April23__1[[#This Row],[Fuel and light]]/All_India_Index_Upto_April23__1[[#This Row],[TOTAL BROADER CATEGORIES]]</f>
        <v>0.10117467936857016</v>
      </c>
      <c r="AR155">
        <f>MONTH(1 &amp; All_India_Index_Upto_April23__1[[#This Row],[Month]])</f>
        <v>11</v>
      </c>
      <c r="AS155" s="19" t="str">
        <f>All_India_Index_Upto_April23__1[[#This Row],[MONTH IN NUM]]&amp;"/"&amp;All_India_Index_Upto_April23__1[[#This Row],[Year]]</f>
        <v>11/2018</v>
      </c>
      <c r="AT15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139.80000000000001</v>
      </c>
      <c r="AU15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1351.1285714285716</v>
      </c>
    </row>
    <row r="156" spans="1:47" x14ac:dyDescent="0.3">
      <c r="A156" t="s">
        <v>30</v>
      </c>
      <c r="B156">
        <v>2018</v>
      </c>
      <c r="C156" t="s">
        <v>43</v>
      </c>
      <c r="D156">
        <v>137.1</v>
      </c>
      <c r="E156">
        <v>150.80000000000001</v>
      </c>
      <c r="F156">
        <v>136.69999999999999</v>
      </c>
      <c r="G156">
        <v>141.9</v>
      </c>
      <c r="H156">
        <v>122.8</v>
      </c>
      <c r="I156">
        <v>143.9</v>
      </c>
      <c r="J156">
        <v>147.5</v>
      </c>
      <c r="K156">
        <v>121</v>
      </c>
      <c r="L156">
        <v>111.6</v>
      </c>
      <c r="M156">
        <v>140.6</v>
      </c>
      <c r="N156">
        <v>137.5</v>
      </c>
      <c r="O156">
        <v>156.1</v>
      </c>
      <c r="P156">
        <v>140</v>
      </c>
      <c r="Q156">
        <v>161.9</v>
      </c>
      <c r="R156">
        <v>151.69999999999999</v>
      </c>
      <c r="S156">
        <v>145.5</v>
      </c>
      <c r="T156">
        <v>150.80000000000001</v>
      </c>
      <c r="U156">
        <v>140.85</v>
      </c>
      <c r="V156">
        <v>150.30000000000001</v>
      </c>
      <c r="W156">
        <v>148</v>
      </c>
      <c r="X156">
        <v>145.4</v>
      </c>
      <c r="Y156">
        <v>130.30000000000001</v>
      </c>
      <c r="Z156">
        <v>143.1</v>
      </c>
      <c r="AA156">
        <v>150.19999999999999</v>
      </c>
      <c r="AB156">
        <v>133.1</v>
      </c>
      <c r="AC156">
        <v>140.1</v>
      </c>
      <c r="AD156">
        <v>142.4</v>
      </c>
      <c r="AE156">
        <v>139.2428571428571</v>
      </c>
      <c r="AF156">
        <v>149.33333333333334</v>
      </c>
      <c r="AG156">
        <v>144.42500000000001</v>
      </c>
      <c r="AH156" s="2">
        <f>All_India_Index_Upto_April23__1[[#This Row],[House]]/All_India_Index_Upto_April23__1[[#This Row],[TOTAL BROADER CATEGORIES]]</f>
        <v>0.10131524334381975</v>
      </c>
      <c r="AI156" s="2">
        <f>All_India_Index_Upto_April23__1[[#This Row],[Cloth]]/All_India_Index_Upto_April23__1[[#This Row],[TOTAL BROADER CATEGORIES]]</f>
        <v>0.10475847675963591</v>
      </c>
      <c r="AJ156" s="2">
        <f>All_India_Index_Upto_April23__1[[#This Row],[Food]]/All_India_Index_Upto_April23__1[[#This Row],[TOTAL BROADER CATEGORIES]]</f>
        <v>9.7679930450526545E-2</v>
      </c>
      <c r="AK156" s="2">
        <f>All_India_Index_Upto_April23__1[[#This Row],[Miscellaneous]]/All_India_Index_Upto_April23__1[[#This Row],[TOTAL BROADER CATEGORIES]]</f>
        <v>9.828122272784591E-2</v>
      </c>
      <c r="AL156" s="2">
        <f>All_India_Index_Upto_April23__1[[#This Row],[Personal care and effects]]/All_India_Index_Upto_April23__1[[#This Row],[TOTAL BROADER CATEGORIES]]</f>
        <v>9.3370669129737974E-2</v>
      </c>
      <c r="AM156" s="2">
        <f>All_India_Index_Upto_April23__1[[#This Row],[Education]]/All_India_Index_Upto_April23__1[[#This Row],[TOTAL BROADER CATEGORIES]]</f>
        <v>0.10536645006225878</v>
      </c>
      <c r="AN156" s="2">
        <f>All_India_Index_Upto_April23__1[[#This Row],[Recreation and amusement]]/All_India_Index_Upto_April23__1[[#This Row],[TOTAL BROADER CATEGORIES]]</f>
        <v>0.10038574569846359</v>
      </c>
      <c r="AO156" s="2">
        <f>All_India_Index_Upto_April23__1[[#This Row],[Transport and communication]]/All_India_Index_Upto_April23__1[[#This Row],[TOTAL BROADER CATEGORIES]]</f>
        <v>9.1406447690494816E-2</v>
      </c>
      <c r="AP156" s="2">
        <f>All_India_Index_Upto_April23__1[[#This Row],[Health]]/All_India_Index_Upto_April23__1[[#This Row],[TOTAL BROADER CATEGORIES]]</f>
        <v>0.10199921330927049</v>
      </c>
      <c r="AQ156" s="2">
        <f>All_India_Index_Upto_April23__1[[#This Row],[Fuel and light]]/All_India_Index_Upto_April23__1[[#This Row],[TOTAL BROADER CATEGORIES]]</f>
        <v>0.10543660082794605</v>
      </c>
      <c r="AR156">
        <f>MONTH(1 &amp; All_India_Index_Upto_April23__1[[#This Row],[Month]])</f>
        <v>11</v>
      </c>
      <c r="AS156" s="19" t="str">
        <f>All_India_Index_Upto_April23__1[[#This Row],[MONTH IN NUM]]&amp;"/"&amp;All_India_Index_Upto_April23__1[[#This Row],[Year]]</f>
        <v>11/2018</v>
      </c>
      <c r="AT15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148.19285714285715</v>
      </c>
      <c r="AU15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1425.5011904761907</v>
      </c>
    </row>
    <row r="157" spans="1:47" x14ac:dyDescent="0.3">
      <c r="A157" t="s">
        <v>33</v>
      </c>
      <c r="B157">
        <v>2018</v>
      </c>
      <c r="C157" t="s">
        <v>43</v>
      </c>
      <c r="D157">
        <v>137.4</v>
      </c>
      <c r="E157">
        <v>149.19999999999999</v>
      </c>
      <c r="F157">
        <v>137.1</v>
      </c>
      <c r="G157">
        <v>141.80000000000001</v>
      </c>
      <c r="H157">
        <v>121.1</v>
      </c>
      <c r="I157">
        <v>142.80000000000001</v>
      </c>
      <c r="J157">
        <v>146.69999999999999</v>
      </c>
      <c r="K157">
        <v>119.1</v>
      </c>
      <c r="L157">
        <v>111.9</v>
      </c>
      <c r="M157">
        <v>140.9</v>
      </c>
      <c r="N157">
        <v>133.5</v>
      </c>
      <c r="O157">
        <v>154.5</v>
      </c>
      <c r="P157">
        <v>139.69999999999999</v>
      </c>
      <c r="Q157">
        <v>162.6</v>
      </c>
      <c r="R157">
        <v>148</v>
      </c>
      <c r="S157">
        <v>139.1</v>
      </c>
      <c r="T157">
        <v>146.69999999999999</v>
      </c>
      <c r="U157">
        <v>146.9</v>
      </c>
      <c r="V157">
        <v>145.1</v>
      </c>
      <c r="W157">
        <v>142.19999999999999</v>
      </c>
      <c r="X157">
        <v>142.1</v>
      </c>
      <c r="Y157">
        <v>125.5</v>
      </c>
      <c r="Z157">
        <v>136.5</v>
      </c>
      <c r="AA157">
        <v>147.80000000000001</v>
      </c>
      <c r="AB157">
        <v>132</v>
      </c>
      <c r="AC157">
        <v>136.30000000000001</v>
      </c>
      <c r="AD157">
        <v>140.80000000000001</v>
      </c>
      <c r="AE157">
        <v>138.45000000000002</v>
      </c>
      <c r="AF157">
        <v>144.6</v>
      </c>
      <c r="AG157">
        <v>144.55000000000001</v>
      </c>
      <c r="AH157" s="2">
        <f>All_India_Index_Upto_April23__1[[#This Row],[House]]/All_India_Index_Upto_April23__1[[#This Row],[TOTAL BROADER CATEGORIES]]</f>
        <v>0.1037762940627468</v>
      </c>
      <c r="AI157" s="2">
        <f>All_India_Index_Upto_April23__1[[#This Row],[Cloth]]/All_India_Index_Upto_April23__1[[#This Row],[TOTAL BROADER CATEGORIES]]</f>
        <v>0.10381219039414172</v>
      </c>
      <c r="AJ157" s="2">
        <f>All_India_Index_Upto_April23__1[[#This Row],[Food]]/All_India_Index_Upto_April23__1[[#This Row],[TOTAL BROADER CATEGORIES]]</f>
        <v>9.9396941632565169E-2</v>
      </c>
      <c r="AK157" s="2">
        <f>All_India_Index_Upto_April23__1[[#This Row],[Miscellaneous]]/All_India_Index_Upto_April23__1[[#This Row],[TOTAL BROADER CATEGORIES]]</f>
        <v>9.7853399382583112E-2</v>
      </c>
      <c r="AL157" s="2">
        <f>All_India_Index_Upto_April23__1[[#This Row],[Personal care and effects]]/All_India_Index_Upto_April23__1[[#This Row],[TOTAL BROADER CATEGORIES]]</f>
        <v>9.476631488261901E-2</v>
      </c>
      <c r="AM157" s="2">
        <f>All_India_Index_Upto_April23__1[[#This Row],[Education]]/All_India_Index_Upto_April23__1[[#This Row],[TOTAL BROADER CATEGORIES]]</f>
        <v>0.10610955560341735</v>
      </c>
      <c r="AN157" s="2">
        <f>All_India_Index_Upto_April23__1[[#This Row],[Recreation and amusement]]/All_India_Index_Upto_April23__1[[#This Row],[TOTAL BROADER CATEGORIES]]</f>
        <v>9.7996984708162829E-2</v>
      </c>
      <c r="AO157" s="2">
        <f>All_India_Index_Upto_April23__1[[#This Row],[Transport and communication]]/All_India_Index_Upto_April23__1[[#This Row],[TOTAL BROADER CATEGORIES]]</f>
        <v>9.0099791801277918E-2</v>
      </c>
      <c r="AP157" s="2">
        <f>All_India_Index_Upto_April23__1[[#This Row],[Health]]/All_India_Index_Upto_April23__1[[#This Row],[TOTAL BROADER CATEGORIES]]</f>
        <v>0.10201737382439516</v>
      </c>
      <c r="AQ157" s="2">
        <f>All_India_Index_Upto_April23__1[[#This Row],[Fuel and light]]/All_India_Index_Upto_April23__1[[#This Row],[TOTAL BROADER CATEGORIES]]</f>
        <v>0.10417115370809103</v>
      </c>
      <c r="AR157">
        <f>MONTH(1 &amp; All_India_Index_Upto_April23__1[[#This Row],[Month]])</f>
        <v>11</v>
      </c>
      <c r="AS157" s="19" t="str">
        <f>All_India_Index_Upto_April23__1[[#This Row],[MONTH IN NUM]]&amp;"/"&amp;All_India_Index_Upto_April23__1[[#This Row],[Year]]</f>
        <v>11/2018</v>
      </c>
      <c r="AT15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145.11428571428573</v>
      </c>
      <c r="AU15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1392.8999999999999</v>
      </c>
    </row>
    <row r="158" spans="1:47" x14ac:dyDescent="0.3">
      <c r="A158" t="s">
        <v>33</v>
      </c>
      <c r="B158">
        <v>2018</v>
      </c>
      <c r="C158" t="s">
        <v>42</v>
      </c>
      <c r="D158">
        <v>137.4</v>
      </c>
      <c r="E158">
        <v>149.5</v>
      </c>
      <c r="F158">
        <v>137.30000000000001</v>
      </c>
      <c r="G158">
        <v>141.9</v>
      </c>
      <c r="H158">
        <v>121.1</v>
      </c>
      <c r="I158">
        <v>142.5</v>
      </c>
      <c r="J158">
        <v>146.69999999999999</v>
      </c>
      <c r="K158">
        <v>119.1</v>
      </c>
      <c r="L158">
        <v>111.9</v>
      </c>
      <c r="M158">
        <v>141</v>
      </c>
      <c r="N158">
        <v>133.6</v>
      </c>
      <c r="O158">
        <v>154.5</v>
      </c>
      <c r="P158">
        <v>139.69999999999999</v>
      </c>
      <c r="Q158">
        <v>162.6</v>
      </c>
      <c r="R158">
        <v>148</v>
      </c>
      <c r="S158">
        <v>139.19999999999999</v>
      </c>
      <c r="T158">
        <v>146.80000000000001</v>
      </c>
      <c r="U158">
        <v>146.9</v>
      </c>
      <c r="V158">
        <v>145.30000000000001</v>
      </c>
      <c r="W158">
        <v>142.19999999999999</v>
      </c>
      <c r="X158">
        <v>142.1</v>
      </c>
      <c r="Y158">
        <v>125.5</v>
      </c>
      <c r="Z158">
        <v>136.5</v>
      </c>
      <c r="AA158">
        <v>147.80000000000001</v>
      </c>
      <c r="AB158">
        <v>132</v>
      </c>
      <c r="AC158">
        <v>136.30000000000001</v>
      </c>
      <c r="AD158">
        <v>140.80000000000001</v>
      </c>
      <c r="AE158">
        <v>138.48571428571429</v>
      </c>
      <c r="AF158">
        <v>144.66666666666666</v>
      </c>
      <c r="AG158">
        <v>144.55000000000001</v>
      </c>
      <c r="AH158" s="2">
        <f>All_India_Index_Upto_April23__1[[#This Row],[House]]/All_India_Index_Upto_April23__1[[#This Row],[TOTAL BROADER CATEGORIES]]</f>
        <v>0.10375377043296963</v>
      </c>
      <c r="AI158" s="2">
        <f>All_India_Index_Upto_April23__1[[#This Row],[Cloth]]/All_India_Index_Upto_April23__1[[#This Row],[TOTAL BROADER CATEGORIES]]</f>
        <v>0.10383751036067984</v>
      </c>
      <c r="AJ158" s="2">
        <f>All_India_Index_Upto_April23__1[[#This Row],[Food]]/All_India_Index_Upto_April23__1[[#This Row],[TOTAL BROADER CATEGORIES]]</f>
        <v>9.9401003170154434E-2</v>
      </c>
      <c r="AK158" s="2">
        <f>All_India_Index_Upto_April23__1[[#This Row],[Miscellaneous]]/All_India_Index_Upto_April23__1[[#This Row],[TOTAL BROADER CATEGORIES]]</f>
        <v>9.7832161259175099E-2</v>
      </c>
      <c r="AL158" s="2">
        <f>All_India_Index_Upto_April23__1[[#This Row],[Personal care and effects]]/All_India_Index_Upto_April23__1[[#This Row],[TOTAL BROADER CATEGORIES]]</f>
        <v>9.4745746780712486E-2</v>
      </c>
      <c r="AM158" s="2">
        <f>All_India_Index_Upto_April23__1[[#This Row],[Education]]/All_India_Index_Upto_April23__1[[#This Row],[TOTAL BROADER CATEGORIES]]</f>
        <v>0.10608652556204021</v>
      </c>
      <c r="AN158" s="2">
        <f>All_India_Index_Upto_April23__1[[#This Row],[Recreation and amusement]]/All_India_Index_Upto_April23__1[[#This Row],[TOTAL BROADER CATEGORIES]]</f>
        <v>9.7975715420964046E-2</v>
      </c>
      <c r="AO158" s="2">
        <f>All_India_Index_Upto_April23__1[[#This Row],[Transport and communication]]/All_India_Index_Upto_April23__1[[#This Row],[TOTAL BROADER CATEGORIES]]</f>
        <v>9.0080236522571341E-2</v>
      </c>
      <c r="AP158" s="2">
        <f>All_India_Index_Upto_April23__1[[#This Row],[Health]]/All_India_Index_Upto_April23__1[[#This Row],[TOTAL BROADER CATEGORIES]]</f>
        <v>0.10199523195105488</v>
      </c>
      <c r="AQ158" s="2">
        <f>All_India_Index_Upto_April23__1[[#This Row],[Fuel and light]]/All_India_Index_Upto_April23__1[[#This Row],[TOTAL BROADER CATEGORIES]]</f>
        <v>0.10429209853967822</v>
      </c>
      <c r="AR158">
        <f>MONTH(1 &amp; All_India_Index_Upto_April23__1[[#This Row],[Month]])</f>
        <v>10</v>
      </c>
      <c r="AS158" s="19" t="str">
        <f>All_India_Index_Upto_April23__1[[#This Row],[MONTH IN NUM]]&amp;"/"&amp;All_India_Index_Upto_April23__1[[#This Row],[Year]]</f>
        <v>10/2018</v>
      </c>
      <c r="AT15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145.17142857142858</v>
      </c>
      <c r="AU15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1393.2023809523807</v>
      </c>
    </row>
    <row r="159" spans="1:47" x14ac:dyDescent="0.3">
      <c r="A159" t="s">
        <v>32</v>
      </c>
      <c r="B159">
        <v>2018</v>
      </c>
      <c r="C159" t="s">
        <v>42</v>
      </c>
      <c r="D159">
        <v>137.6</v>
      </c>
      <c r="E159">
        <v>144.9</v>
      </c>
      <c r="F159">
        <v>133.5</v>
      </c>
      <c r="G159">
        <v>141.5</v>
      </c>
      <c r="H159">
        <v>118</v>
      </c>
      <c r="I159">
        <v>139.5</v>
      </c>
      <c r="J159">
        <v>153</v>
      </c>
      <c r="K159">
        <v>113.2</v>
      </c>
      <c r="L159">
        <v>112.8</v>
      </c>
      <c r="M159">
        <v>141.1</v>
      </c>
      <c r="N159">
        <v>127.6</v>
      </c>
      <c r="O159">
        <v>152</v>
      </c>
      <c r="P159">
        <v>139.4</v>
      </c>
      <c r="Q159">
        <v>164</v>
      </c>
      <c r="R159">
        <v>141.5</v>
      </c>
      <c r="S159">
        <v>129.80000000000001</v>
      </c>
      <c r="T159">
        <v>139.69999999999999</v>
      </c>
      <c r="U159">
        <v>146.30000000000001</v>
      </c>
      <c r="V159">
        <v>133.4</v>
      </c>
      <c r="W159">
        <v>135.1</v>
      </c>
      <c r="X159">
        <v>136.19999999999999</v>
      </c>
      <c r="Y159">
        <v>123.3</v>
      </c>
      <c r="Z159">
        <v>130.69999999999999</v>
      </c>
      <c r="AA159">
        <v>145.5</v>
      </c>
      <c r="AB159">
        <v>130.4</v>
      </c>
      <c r="AC159">
        <v>132.5</v>
      </c>
      <c r="AD159">
        <v>138.9</v>
      </c>
      <c r="AE159">
        <v>137.00714285714284</v>
      </c>
      <c r="AF159">
        <v>137</v>
      </c>
      <c r="AG159">
        <v>140.69999999999999</v>
      </c>
      <c r="AH159" s="2">
        <f>All_India_Index_Upto_April23__1[[#This Row],[House]]/All_India_Index_Upto_April23__1[[#This Row],[TOTAL BROADER CATEGORIES]]</f>
        <v>0.10447705779706055</v>
      </c>
      <c r="AI159" s="2">
        <f>All_India_Index_Upto_April23__1[[#This Row],[Cloth]]/All_India_Index_Upto_April23__1[[#This Row],[TOTAL BROADER CATEGORIES]]</f>
        <v>0.1017296156232928</v>
      </c>
      <c r="AJ159" s="2">
        <f>All_India_Index_Upto_April23__1[[#This Row],[Food]]/All_India_Index_Upto_April23__1[[#This Row],[TOTAL BROADER CATEGORIES]]</f>
        <v>0.10173491956571319</v>
      </c>
      <c r="AK159" s="2">
        <f>All_India_Index_Upto_April23__1[[#This Row],[Miscellaneous]]/All_India_Index_Upto_April23__1[[#This Row],[TOTAL BROADER CATEGORIES]]</f>
        <v>9.8388131898440118E-2</v>
      </c>
      <c r="AL159" s="2">
        <f>All_India_Index_Upto_April23__1[[#This Row],[Personal care and effects]]/All_India_Index_Upto_April23__1[[#This Row],[TOTAL BROADER CATEGORIES]]</f>
        <v>9.6828772826842199E-2</v>
      </c>
      <c r="AM159" s="2">
        <f>All_India_Index_Upto_April23__1[[#This Row],[Education]]/All_India_Index_Upto_April23__1[[#This Row],[TOTAL BROADER CATEGORIES]]</f>
        <v>0.10804130710357009</v>
      </c>
      <c r="AN159" s="2">
        <f>All_India_Index_Upto_April23__1[[#This Row],[Recreation and amusement]]/All_India_Index_Upto_April23__1[[#This Row],[TOTAL BROADER CATEGORIES]]</f>
        <v>9.7051538408499033E-2</v>
      </c>
      <c r="AO159" s="2">
        <f>All_India_Index_Upto_April23__1[[#This Row],[Transport and communication]]/All_India_Index_Upto_April23__1[[#This Row],[TOTAL BROADER CATEGORIES]]</f>
        <v>9.1556654060963513E-2</v>
      </c>
      <c r="AP159" s="2">
        <f>All_India_Index_Upto_April23__1[[#This Row],[Health]]/All_India_Index_Upto_April23__1[[#This Row],[TOTAL BROADER CATEGORIES]]</f>
        <v>0.10113557407220787</v>
      </c>
      <c r="AQ159" s="2">
        <f>All_India_Index_Upto_April23__1[[#This Row],[Fuel and light]]/All_India_Index_Upto_April23__1[[#This Row],[TOTAL BROADER CATEGORIES]]</f>
        <v>9.905642864341066E-2</v>
      </c>
      <c r="AR159">
        <f>MONTH(1 &amp; All_India_Index_Upto_April23__1[[#This Row],[Month]])</f>
        <v>10</v>
      </c>
      <c r="AS159" s="19" t="str">
        <f>All_India_Index_Upto_April23__1[[#This Row],[MONTH IN NUM]]&amp;"/"&amp;All_India_Index_Upto_April23__1[[#This Row],[Year]]</f>
        <v>10/2018</v>
      </c>
      <c r="AT15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138.75714285714284</v>
      </c>
      <c r="AU15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1346.7071428571428</v>
      </c>
    </row>
    <row r="160" spans="1:47" x14ac:dyDescent="0.3">
      <c r="A160" t="s">
        <v>30</v>
      </c>
      <c r="B160">
        <v>2018</v>
      </c>
      <c r="C160" t="s">
        <v>42</v>
      </c>
      <c r="D160">
        <v>139.30000000000001</v>
      </c>
      <c r="E160">
        <v>147.6</v>
      </c>
      <c r="F160">
        <v>134.6</v>
      </c>
      <c r="G160">
        <v>141.9</v>
      </c>
      <c r="H160">
        <v>123.5</v>
      </c>
      <c r="I160">
        <v>144.5</v>
      </c>
      <c r="J160">
        <v>147.6</v>
      </c>
      <c r="K160">
        <v>121.4</v>
      </c>
      <c r="L160">
        <v>112.3</v>
      </c>
      <c r="M160">
        <v>139.5</v>
      </c>
      <c r="N160">
        <v>134.6</v>
      </c>
      <c r="O160">
        <v>155.19999999999999</v>
      </c>
      <c r="P160">
        <v>140.19999999999999</v>
      </c>
      <c r="Q160">
        <v>159.6</v>
      </c>
      <c r="R160">
        <v>150.69999999999999</v>
      </c>
      <c r="S160">
        <v>144.5</v>
      </c>
      <c r="T160">
        <v>149.80000000000001</v>
      </c>
      <c r="U160">
        <v>140.85</v>
      </c>
      <c r="V160">
        <v>149.69999999999999</v>
      </c>
      <c r="W160">
        <v>147.5</v>
      </c>
      <c r="X160">
        <v>144.80000000000001</v>
      </c>
      <c r="Y160">
        <v>130.80000000000001</v>
      </c>
      <c r="Z160">
        <v>140.1</v>
      </c>
      <c r="AA160">
        <v>148</v>
      </c>
      <c r="AB160">
        <v>134.4</v>
      </c>
      <c r="AC160">
        <v>139.80000000000001</v>
      </c>
      <c r="AD160">
        <v>142.19999999999999</v>
      </c>
      <c r="AE160">
        <v>138.69999999999999</v>
      </c>
      <c r="AF160">
        <v>148.33333333333334</v>
      </c>
      <c r="AG160">
        <v>144.17500000000001</v>
      </c>
      <c r="AH160" s="2">
        <f>All_India_Index_Upto_April23__1[[#This Row],[House]]/All_India_Index_Upto_April23__1[[#This Row],[TOTAL BROADER CATEGORIES]]</f>
        <v>0.10161696729062535</v>
      </c>
      <c r="AI160" s="2">
        <f>All_India_Index_Upto_April23__1[[#This Row],[Cloth]]/All_India_Index_Upto_April23__1[[#This Row],[TOTAL BROADER CATEGORIES]]</f>
        <v>0.10454783063251438</v>
      </c>
      <c r="AJ160" s="2">
        <f>All_India_Index_Upto_April23__1[[#This Row],[Food]]/All_India_Index_Upto_April23__1[[#This Row],[TOTAL BROADER CATEGORIES]]</f>
        <v>9.7758095115031973E-2</v>
      </c>
      <c r="AK160" s="2">
        <f>All_India_Index_Upto_April23__1[[#This Row],[Miscellaneous]]/All_India_Index_Upto_April23__1[[#This Row],[TOTAL BROADER CATEGORIES]]</f>
        <v>9.853339363432928E-2</v>
      </c>
      <c r="AL160" s="2">
        <f>All_India_Index_Upto_April23__1[[#This Row],[Personal care and effects]]/All_India_Index_Upto_April23__1[[#This Row],[TOTAL BROADER CATEGORIES]]</f>
        <v>9.4727382721415274E-2</v>
      </c>
      <c r="AM160" s="2">
        <f>All_India_Index_Upto_April23__1[[#This Row],[Education]]/All_India_Index_Upto_April23__1[[#This Row],[TOTAL BROADER CATEGORIES]]</f>
        <v>0.10431289168727277</v>
      </c>
      <c r="AN160" s="2">
        <f>All_India_Index_Upto_April23__1[[#This Row],[Recreation and amusement]]/All_India_Index_Upto_April23__1[[#This Row],[TOTAL BROADER CATEGORIES]]</f>
        <v>9.8744838685046715E-2</v>
      </c>
      <c r="AO160" s="2">
        <f>All_India_Index_Upto_April23__1[[#This Row],[Transport and communication]]/All_India_Index_Upto_April23__1[[#This Row],[TOTAL BROADER CATEGORIES]]</f>
        <v>9.2190042112805945E-2</v>
      </c>
      <c r="AP160" s="2">
        <f>All_India_Index_Upto_April23__1[[#This Row],[Health]]/All_India_Index_Upto_April23__1[[#This Row],[TOTAL BROADER CATEGORIES]]</f>
        <v>0.10205747781295336</v>
      </c>
      <c r="AQ160" s="2">
        <f>All_India_Index_Upto_April23__1[[#This Row],[Fuel and light]]/All_India_Index_Upto_April23__1[[#This Row],[TOTAL BROADER CATEGORIES]]</f>
        <v>0.10551108030800495</v>
      </c>
      <c r="AR160">
        <f>MONTH(1 &amp; All_India_Index_Upto_April23__1[[#This Row],[Month]])</f>
        <v>10</v>
      </c>
      <c r="AS160" s="19" t="str">
        <f>All_India_Index_Upto_April23__1[[#This Row],[MONTH IN NUM]]&amp;"/"&amp;All_India_Index_Upto_April23__1[[#This Row],[Year]]</f>
        <v>10/2018</v>
      </c>
      <c r="AT16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147.29285714285714</v>
      </c>
      <c r="AU16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1418.8083333333334</v>
      </c>
    </row>
    <row r="161" spans="1:47" x14ac:dyDescent="0.3">
      <c r="A161" t="s">
        <v>30</v>
      </c>
      <c r="B161">
        <v>2018</v>
      </c>
      <c r="C161" t="s">
        <v>41</v>
      </c>
      <c r="D161">
        <v>139.4</v>
      </c>
      <c r="E161">
        <v>147.19999999999999</v>
      </c>
      <c r="F161">
        <v>136.6</v>
      </c>
      <c r="G161">
        <v>143.69999999999999</v>
      </c>
      <c r="H161">
        <v>124.6</v>
      </c>
      <c r="I161">
        <v>150.1</v>
      </c>
      <c r="J161">
        <v>149.4</v>
      </c>
      <c r="K161">
        <v>125.4</v>
      </c>
      <c r="L161">
        <v>114.4</v>
      </c>
      <c r="M161">
        <v>138.69999999999999</v>
      </c>
      <c r="N161">
        <v>133.1</v>
      </c>
      <c r="O161">
        <v>155.9</v>
      </c>
      <c r="P161">
        <v>141.30000000000001</v>
      </c>
      <c r="Q161">
        <v>157.69999999999999</v>
      </c>
      <c r="R161">
        <v>152.1</v>
      </c>
      <c r="S161">
        <v>146.1</v>
      </c>
      <c r="T161">
        <v>151.30000000000001</v>
      </c>
      <c r="U161">
        <v>140.85</v>
      </c>
      <c r="V161">
        <v>149</v>
      </c>
      <c r="W161">
        <v>144</v>
      </c>
      <c r="X161">
        <v>140</v>
      </c>
      <c r="Y161">
        <v>129.9</v>
      </c>
      <c r="Z161">
        <v>140</v>
      </c>
      <c r="AA161">
        <v>147.6</v>
      </c>
      <c r="AB161">
        <v>132</v>
      </c>
      <c r="AC161">
        <v>137.4</v>
      </c>
      <c r="AD161">
        <v>142.1</v>
      </c>
      <c r="AE161">
        <v>139.82142857142858</v>
      </c>
      <c r="AF161">
        <v>149.83333333333334</v>
      </c>
      <c r="AG161">
        <v>142.42500000000001</v>
      </c>
      <c r="AH161" s="2">
        <f>All_India_Index_Upto_April23__1[[#This Row],[House]]/All_India_Index_Upto_April23__1[[#This Row],[TOTAL BROADER CATEGORIES]]</f>
        <v>0.10115557329270325</v>
      </c>
      <c r="AI161" s="2">
        <f>All_India_Index_Upto_April23__1[[#This Row],[Cloth]]/All_India_Index_Upto_April23__1[[#This Row],[TOTAL BROADER CATEGORIES]]</f>
        <v>0.10641724930096567</v>
      </c>
      <c r="AJ161" s="2">
        <f>All_India_Index_Upto_April23__1[[#This Row],[Food]]/All_India_Index_Upto_April23__1[[#This Row],[TOTAL BROADER CATEGORIES]]</f>
        <v>9.9306419278550911E-2</v>
      </c>
      <c r="AK161" s="2">
        <f>All_India_Index_Upto_April23__1[[#This Row],[Miscellaneous]]/All_India_Index_Upto_April23__1[[#This Row],[TOTAL BROADER CATEGORIES]]</f>
        <v>9.7586629948516232E-2</v>
      </c>
      <c r="AL161" s="2">
        <f>All_India_Index_Upto_April23__1[[#This Row],[Personal care and effects]]/All_India_Index_Upto_April23__1[[#This Row],[TOTAL BROADER CATEGORIES]]</f>
        <v>9.3751347548792885E-2</v>
      </c>
      <c r="AM161" s="2">
        <f>All_India_Index_Upto_April23__1[[#This Row],[Education]]/All_India_Index_Upto_April23__1[[#This Row],[TOTAL BROADER CATEGORIES]]</f>
        <v>0.10483105225910477</v>
      </c>
      <c r="AN161" s="2">
        <f>All_India_Index_Upto_April23__1[[#This Row],[Recreation and amusement]]/All_India_Index_Upto_April23__1[[#This Row],[TOTAL BROADER CATEGORIES]]</f>
        <v>9.9433247400234875E-2</v>
      </c>
      <c r="AO161" s="2">
        <f>All_India_Index_Upto_April23__1[[#This Row],[Transport and communication]]/All_India_Index_Upto_April23__1[[#This Row],[TOTAL BROADER CATEGORIES]]</f>
        <v>9.2259848837789371E-2</v>
      </c>
      <c r="AP161" s="2">
        <f>All_India_Index_Upto_April23__1[[#This Row],[Health]]/All_India_Index_Upto_April23__1[[#This Row],[TOTAL BROADER CATEGORIES]]</f>
        <v>9.9433247400234875E-2</v>
      </c>
      <c r="AQ161" s="2">
        <f>All_India_Index_Upto_April23__1[[#This Row],[Fuel and light]]/All_India_Index_Upto_April23__1[[#This Row],[TOTAL BROADER CATEGORIES]]</f>
        <v>0.10582538473310713</v>
      </c>
      <c r="AR161">
        <f>MONTH(1 &amp; All_India_Index_Upto_April23__1[[#This Row],[Month]])</f>
        <v>9</v>
      </c>
      <c r="AS161" s="19" t="str">
        <f>All_India_Index_Upto_April23__1[[#This Row],[MONTH IN NUM]]&amp;"/"&amp;All_India_Index_Upto_April23__1[[#This Row],[Year]]</f>
        <v>9/2018</v>
      </c>
      <c r="AT16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147.27857142857144</v>
      </c>
      <c r="AU16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1407.979761904762</v>
      </c>
    </row>
    <row r="162" spans="1:47" x14ac:dyDescent="0.3">
      <c r="A162" t="s">
        <v>33</v>
      </c>
      <c r="B162">
        <v>2018</v>
      </c>
      <c r="C162" t="s">
        <v>41</v>
      </c>
      <c r="D162">
        <v>138.6</v>
      </c>
      <c r="E162">
        <v>145.80000000000001</v>
      </c>
      <c r="F162">
        <v>135.1</v>
      </c>
      <c r="G162">
        <v>142.9</v>
      </c>
      <c r="H162">
        <v>122.1</v>
      </c>
      <c r="I162">
        <v>145.4</v>
      </c>
      <c r="J162">
        <v>150</v>
      </c>
      <c r="K162">
        <v>121.4</v>
      </c>
      <c r="L162">
        <v>113.7</v>
      </c>
      <c r="M162">
        <v>139.5</v>
      </c>
      <c r="N162">
        <v>130.80000000000001</v>
      </c>
      <c r="O162">
        <v>153.80000000000001</v>
      </c>
      <c r="P162">
        <v>140.4</v>
      </c>
      <c r="Q162">
        <v>159.19999999999999</v>
      </c>
      <c r="R162">
        <v>147.69999999999999</v>
      </c>
      <c r="S162">
        <v>139.1</v>
      </c>
      <c r="T162">
        <v>146.5</v>
      </c>
      <c r="U162">
        <v>145.30000000000001</v>
      </c>
      <c r="V162">
        <v>142.30000000000001</v>
      </c>
      <c r="W162">
        <v>139.69999999999999</v>
      </c>
      <c r="X162">
        <v>138.4</v>
      </c>
      <c r="Y162">
        <v>126</v>
      </c>
      <c r="Z162">
        <v>134.5</v>
      </c>
      <c r="AA162">
        <v>146.19999999999999</v>
      </c>
      <c r="AB162">
        <v>130.9</v>
      </c>
      <c r="AC162">
        <v>134.69999999999999</v>
      </c>
      <c r="AD162">
        <v>140.19999999999999</v>
      </c>
      <c r="AE162">
        <v>138.47857142857143</v>
      </c>
      <c r="AF162">
        <v>144.43333333333331</v>
      </c>
      <c r="AG162">
        <v>142.5</v>
      </c>
      <c r="AH162" s="2">
        <f>All_India_Index_Upto_April23__1[[#This Row],[House]]/All_India_Index_Upto_April23__1[[#This Row],[TOTAL BROADER CATEGORIES]]</f>
        <v>0.10337983842689914</v>
      </c>
      <c r="AI162" s="2">
        <f>All_India_Index_Upto_April23__1[[#This Row],[Cloth]]/All_India_Index_Upto_April23__1[[#This Row],[TOTAL BROADER CATEGORIES]]</f>
        <v>0.10478241869093659</v>
      </c>
      <c r="AJ162" s="2">
        <f>All_India_Index_Upto_April23__1[[#This Row],[Food]]/All_India_Index_Upto_April23__1[[#This Row],[TOTAL BROADER CATEGORIES]]</f>
        <v>0.10046240238507738</v>
      </c>
      <c r="AK162" s="2">
        <f>All_India_Index_Upto_April23__1[[#This Row],[Miscellaneous]]/All_India_Index_Upto_April23__1[[#This Row],[TOTAL BROADER CATEGORIES]]</f>
        <v>9.7721152534058345E-2</v>
      </c>
      <c r="AL162" s="2">
        <f>All_India_Index_Upto_April23__1[[#This Row],[Personal care and effects]]/All_India_Index_Upto_April23__1[[#This Row],[TOTAL BROADER CATEGORIES]]</f>
        <v>9.4964356842674374E-2</v>
      </c>
      <c r="AM162" s="2">
        <f>All_India_Index_Upto_April23__1[[#This Row],[Education]]/All_India_Index_Upto_April23__1[[#This Row],[TOTAL BROADER CATEGORIES]]</f>
        <v>0.1060640868632467</v>
      </c>
      <c r="AN162" s="2">
        <f>All_India_Index_Upto_April23__1[[#This Row],[Recreation and amusement]]/All_India_Index_Upto_April23__1[[#This Row],[TOTAL BROADER CATEGORIES]]</f>
        <v>9.7576058023985515E-2</v>
      </c>
      <c r="AO162" s="2">
        <f>All_India_Index_Upto_April23__1[[#This Row],[Transport and communication]]/All_India_Index_Upto_April23__1[[#This Row],[TOTAL BROADER CATEGORIES]]</f>
        <v>9.1409541345889772E-2</v>
      </c>
      <c r="AP162" s="2">
        <f>All_India_Index_Upto_April23__1[[#This Row],[Health]]/All_India_Index_Upto_April23__1[[#This Row],[TOTAL BROADER CATEGORIES]]</f>
        <v>0.10040540097040591</v>
      </c>
      <c r="AQ162" s="2">
        <f>All_India_Index_Upto_April23__1[[#This Row],[Fuel and light]]/All_India_Index_Upto_April23__1[[#This Row],[TOTAL BROADER CATEGORIES]]</f>
        <v>0.10323474391682631</v>
      </c>
      <c r="AR162">
        <f>MONTH(1 &amp; All_India_Index_Upto_April23__1[[#This Row],[Month]])</f>
        <v>9</v>
      </c>
      <c r="AS162" s="19" t="str">
        <f>All_India_Index_Upto_April23__1[[#This Row],[MONTH IN NUM]]&amp;"/"&amp;All_India_Index_Upto_April23__1[[#This Row],[Year]]</f>
        <v>9/2018</v>
      </c>
      <c r="AT16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143.82857142857142</v>
      </c>
      <c r="AU16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1378.4119047619047</v>
      </c>
    </row>
    <row r="163" spans="1:47" x14ac:dyDescent="0.3">
      <c r="A163" t="s">
        <v>32</v>
      </c>
      <c r="B163">
        <v>2018</v>
      </c>
      <c r="C163" t="s">
        <v>41</v>
      </c>
      <c r="D163">
        <v>137</v>
      </c>
      <c r="E163">
        <v>143.1</v>
      </c>
      <c r="F163">
        <v>132.80000000000001</v>
      </c>
      <c r="G163">
        <v>141.5</v>
      </c>
      <c r="H163">
        <v>117.8</v>
      </c>
      <c r="I163">
        <v>140</v>
      </c>
      <c r="J163">
        <v>151.30000000000001</v>
      </c>
      <c r="K163">
        <v>113.5</v>
      </c>
      <c r="L163">
        <v>112.3</v>
      </c>
      <c r="M163">
        <v>141.19999999999999</v>
      </c>
      <c r="N163">
        <v>127.7</v>
      </c>
      <c r="O163">
        <v>151.30000000000001</v>
      </c>
      <c r="P163">
        <v>138.9</v>
      </c>
      <c r="Q163">
        <v>163.30000000000001</v>
      </c>
      <c r="R163">
        <v>140.80000000000001</v>
      </c>
      <c r="S163">
        <v>129.30000000000001</v>
      </c>
      <c r="T163">
        <v>139.1</v>
      </c>
      <c r="U163">
        <v>145.30000000000001</v>
      </c>
      <c r="V163">
        <v>131.19999999999999</v>
      </c>
      <c r="W163">
        <v>134.9</v>
      </c>
      <c r="X163">
        <v>135.69999999999999</v>
      </c>
      <c r="Y163">
        <v>122.5</v>
      </c>
      <c r="Z163">
        <v>130.19999999999999</v>
      </c>
      <c r="AA163">
        <v>145.19999999999999</v>
      </c>
      <c r="AB163">
        <v>129.30000000000001</v>
      </c>
      <c r="AC163">
        <v>131.9</v>
      </c>
      <c r="AD163">
        <v>138.1</v>
      </c>
      <c r="AE163">
        <v>136.55000000000001</v>
      </c>
      <c r="AF163">
        <v>136.4</v>
      </c>
      <c r="AG163">
        <v>140.10000000000002</v>
      </c>
      <c r="AH163" s="2">
        <f>All_India_Index_Upto_April23__1[[#This Row],[House]]/All_India_Index_Upto_April23__1[[#This Row],[TOTAL BROADER CATEGORIES]]</f>
        <v>0.10462641424890781</v>
      </c>
      <c r="AI163" s="2">
        <f>All_India_Index_Upto_April23__1[[#This Row],[Cloth]]/All_India_Index_Upto_April23__1[[#This Row],[TOTAL BROADER CATEGORIES]]</f>
        <v>0.10186326126731637</v>
      </c>
      <c r="AJ163" s="2">
        <f>All_India_Index_Upto_April23__1[[#This Row],[Food]]/All_India_Index_Upto_April23__1[[#This Row],[TOTAL BROADER CATEGORIES]]</f>
        <v>0.1019752809827863</v>
      </c>
      <c r="AK163" s="2">
        <f>All_India_Index_Upto_April23__1[[#This Row],[Miscellaneous]]/All_India_Index_Upto_April23__1[[#This Row],[TOTAL BROADER CATEGORIES]]</f>
        <v>9.8502669803218687E-2</v>
      </c>
      <c r="AL163" s="2">
        <f>All_India_Index_Upto_April23__1[[#This Row],[Personal care and effects]]/All_India_Index_Upto_April23__1[[#This Row],[TOTAL BROADER CATEGORIES]]</f>
        <v>9.6560994735073374E-2</v>
      </c>
      <c r="AM163" s="2">
        <f>All_India_Index_Upto_April23__1[[#This Row],[Education]]/All_India_Index_Upto_April23__1[[#This Row],[TOTAL BROADER CATEGORIES]]</f>
        <v>0.10843508457488515</v>
      </c>
      <c r="AN163" s="2">
        <f>All_India_Index_Upto_April23__1[[#This Row],[Recreation and amusement]]/All_India_Index_Upto_April23__1[[#This Row],[TOTAL BROADER CATEGORIES]]</f>
        <v>9.7233113027892892E-2</v>
      </c>
      <c r="AO163" s="2">
        <f>All_India_Index_Upto_April23__1[[#This Row],[Transport and communication]]/All_India_Index_Upto_April23__1[[#This Row],[TOTAL BROADER CATEGORIES]]</f>
        <v>9.1482767633770196E-2</v>
      </c>
      <c r="AP163" s="2">
        <f>All_India_Index_Upto_April23__1[[#This Row],[Health]]/All_India_Index_Upto_April23__1[[#This Row],[TOTAL BROADER CATEGORIES]]</f>
        <v>0.10134050259512338</v>
      </c>
      <c r="AQ163" s="2">
        <f>All_India_Index_Upto_April23__1[[#This Row],[Fuel and light]]/All_India_Index_Upto_April23__1[[#This Row],[TOTAL BROADER CATEGORIES]]</f>
        <v>9.7979911131025707E-2</v>
      </c>
      <c r="AR163">
        <f>MONTH(1 &amp; All_India_Index_Upto_April23__1[[#This Row],[Month]])</f>
        <v>9</v>
      </c>
      <c r="AS163" s="19" t="str">
        <f>All_India_Index_Upto_April23__1[[#This Row],[MONTH IN NUM]]&amp;"/"&amp;All_India_Index_Upto_April23__1[[#This Row],[Year]]</f>
        <v>9/2018</v>
      </c>
      <c r="AT16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137.97142857142856</v>
      </c>
      <c r="AU16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1339.0500000000002</v>
      </c>
    </row>
    <row r="164" spans="1:47" x14ac:dyDescent="0.3">
      <c r="A164" t="s">
        <v>33</v>
      </c>
      <c r="B164">
        <v>2018</v>
      </c>
      <c r="C164" t="s">
        <v>40</v>
      </c>
      <c r="D164">
        <v>138.30000000000001</v>
      </c>
      <c r="E164">
        <v>148</v>
      </c>
      <c r="F164">
        <v>138.1</v>
      </c>
      <c r="G164">
        <v>142.6</v>
      </c>
      <c r="H164">
        <v>122.2</v>
      </c>
      <c r="I164">
        <v>150.6</v>
      </c>
      <c r="J164">
        <v>156.6</v>
      </c>
      <c r="K164">
        <v>122.4</v>
      </c>
      <c r="L164">
        <v>114.7</v>
      </c>
      <c r="M164">
        <v>139.4</v>
      </c>
      <c r="N164">
        <v>131.1</v>
      </c>
      <c r="O164">
        <v>153</v>
      </c>
      <c r="P164">
        <v>141.69999999999999</v>
      </c>
      <c r="Q164">
        <v>157.9</v>
      </c>
      <c r="R164">
        <v>147.30000000000001</v>
      </c>
      <c r="S164">
        <v>138.80000000000001</v>
      </c>
      <c r="T164">
        <v>146.1</v>
      </c>
      <c r="U164">
        <v>144.6</v>
      </c>
      <c r="V164">
        <v>140.9</v>
      </c>
      <c r="W164">
        <v>139.4</v>
      </c>
      <c r="X164">
        <v>137.69999999999999</v>
      </c>
      <c r="Y164">
        <v>124.3</v>
      </c>
      <c r="Z164">
        <v>133.6</v>
      </c>
      <c r="AA164">
        <v>146</v>
      </c>
      <c r="AB164">
        <v>130.1</v>
      </c>
      <c r="AC164">
        <v>133.9</v>
      </c>
      <c r="AD164">
        <v>140.4</v>
      </c>
      <c r="AE164">
        <v>139.7571428571429</v>
      </c>
      <c r="AF164">
        <v>144.06666666666669</v>
      </c>
      <c r="AG164">
        <v>142</v>
      </c>
      <c r="AH164" s="2">
        <f>All_India_Index_Upto_April23__1[[#This Row],[House]]/All_India_Index_Upto_April23__1[[#This Row],[TOTAL BROADER CATEGORIES]]</f>
        <v>0.10347412105986367</v>
      </c>
      <c r="AI164" s="2">
        <f>All_India_Index_Upto_April23__1[[#This Row],[Cloth]]/All_India_Index_Upto_April23__1[[#This Row],[TOTAL BROADER CATEGORIES]]</f>
        <v>0.10498008244618096</v>
      </c>
      <c r="AJ164" s="2">
        <f>All_India_Index_Upto_April23__1[[#This Row],[Food]]/All_India_Index_Upto_April23__1[[#This Row],[TOTAL BROADER CATEGORIES]]</f>
        <v>0.10183977126042723</v>
      </c>
      <c r="AK164" s="2">
        <f>All_India_Index_Upto_April23__1[[#This Row],[Miscellaneous]]/All_India_Index_Upto_April23__1[[#This Row],[TOTAL BROADER CATEGORIES]]</f>
        <v>9.7571724013491179E-2</v>
      </c>
      <c r="AL164" s="2">
        <f>All_India_Index_Upto_April23__1[[#This Row],[Personal care and effects]]/All_India_Index_Upto_April23__1[[#This Row],[TOTAL BROADER CATEGORIES]]</f>
        <v>9.4802698238649744E-2</v>
      </c>
      <c r="AM164" s="2">
        <f>All_India_Index_Upto_April23__1[[#This Row],[Education]]/All_India_Index_Upto_April23__1[[#This Row],[TOTAL BROADER CATEGORIES]]</f>
        <v>0.10638888503338097</v>
      </c>
      <c r="AN164" s="2">
        <f>All_India_Index_Upto_April23__1[[#This Row],[Recreation and amusement]]/All_India_Index_Upto_April23__1[[#This Row],[TOTAL BROADER CATEGORIES]]</f>
        <v>9.7353116715477375E-2</v>
      </c>
      <c r="AO164" s="2">
        <f>All_India_Index_Upto_April23__1[[#This Row],[Transport and communication]]/All_India_Index_Upto_April23__1[[#This Row],[TOTAL BROADER CATEGORIES]]</f>
        <v>9.0576290477049681E-2</v>
      </c>
      <c r="AP164" s="2">
        <f>All_India_Index_Upto_April23__1[[#This Row],[Health]]/All_India_Index_Upto_April23__1[[#This Row],[TOTAL BROADER CATEGORIES]]</f>
        <v>0.10034074978833259</v>
      </c>
      <c r="AQ164" s="2">
        <f>All_India_Index_Upto_April23__1[[#This Row],[Fuel and light]]/All_India_Index_Upto_April23__1[[#This Row],[TOTAL BROADER CATEGORIES]]</f>
        <v>0.10267256096714643</v>
      </c>
      <c r="AR164">
        <f>MONTH(1 &amp; All_India_Index_Upto_April23__1[[#This Row],[Month]])</f>
        <v>8</v>
      </c>
      <c r="AS164" s="19" t="str">
        <f>All_India_Index_Upto_April23__1[[#This Row],[MONTH IN NUM]]&amp;"/"&amp;All_India_Index_Upto_April23__1[[#This Row],[Year]]</f>
        <v>8/2018</v>
      </c>
      <c r="AT16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143.29999999999998</v>
      </c>
      <c r="AU16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1372.3238095238098</v>
      </c>
    </row>
    <row r="165" spans="1:47" x14ac:dyDescent="0.3">
      <c r="A165" t="s">
        <v>32</v>
      </c>
      <c r="B165">
        <v>2018</v>
      </c>
      <c r="C165" t="s">
        <v>40</v>
      </c>
      <c r="D165">
        <v>136.5</v>
      </c>
      <c r="E165">
        <v>146.4</v>
      </c>
      <c r="F165">
        <v>136.6</v>
      </c>
      <c r="G165">
        <v>141.19999999999999</v>
      </c>
      <c r="H165">
        <v>117.4</v>
      </c>
      <c r="I165">
        <v>146.30000000000001</v>
      </c>
      <c r="J165">
        <v>157.30000000000001</v>
      </c>
      <c r="K165">
        <v>113.6</v>
      </c>
      <c r="L165">
        <v>113.3</v>
      </c>
      <c r="M165">
        <v>141.1</v>
      </c>
      <c r="N165">
        <v>127.4</v>
      </c>
      <c r="O165">
        <v>150.4</v>
      </c>
      <c r="P165">
        <v>140.1</v>
      </c>
      <c r="Q165">
        <v>162.1</v>
      </c>
      <c r="R165">
        <v>140</v>
      </c>
      <c r="S165">
        <v>129</v>
      </c>
      <c r="T165">
        <v>138.30000000000001</v>
      </c>
      <c r="U165">
        <v>144.6</v>
      </c>
      <c r="V165">
        <v>129.80000000000001</v>
      </c>
      <c r="W165">
        <v>134.4</v>
      </c>
      <c r="X165">
        <v>134.9</v>
      </c>
      <c r="Y165">
        <v>120.7</v>
      </c>
      <c r="Z165">
        <v>129.80000000000001</v>
      </c>
      <c r="AA165">
        <v>145.30000000000001</v>
      </c>
      <c r="AB165">
        <v>128.30000000000001</v>
      </c>
      <c r="AC165">
        <v>131</v>
      </c>
      <c r="AD165">
        <v>138</v>
      </c>
      <c r="AE165">
        <v>137.83571428571426</v>
      </c>
      <c r="AF165">
        <v>135.76666666666668</v>
      </c>
      <c r="AG165">
        <v>139.5</v>
      </c>
      <c r="AH165" s="2">
        <f>All_India_Index_Upto_April23__1[[#This Row],[House]]/All_India_Index_Upto_April23__1[[#This Row],[TOTAL BROADER CATEGORIES]]</f>
        <v>0.10465882722808621</v>
      </c>
      <c r="AI165" s="2">
        <f>All_India_Index_Upto_April23__1[[#This Row],[Cloth]]/All_India_Index_Upto_April23__1[[#This Row],[TOTAL BROADER CATEGORIES]]</f>
        <v>0.10185792193548272</v>
      </c>
      <c r="AJ165" s="2">
        <f>All_India_Index_Upto_April23__1[[#This Row],[Food]]/All_India_Index_Upto_April23__1[[#This Row],[TOTAL BROADER CATEGORIES]]</f>
        <v>0.10341020937124318</v>
      </c>
      <c r="AK165" s="2">
        <f>All_India_Index_Upto_April23__1[[#This Row],[Miscellaneous]]/All_India_Index_Upto_April23__1[[#This Row],[TOTAL BROADER CATEGORIES]]</f>
        <v>9.8281766070819315E-2</v>
      </c>
      <c r="AL165" s="2">
        <f>All_India_Index_Upto_April23__1[[#This Row],[Personal care and effects]]/All_India_Index_Upto_April23__1[[#This Row],[TOTAL BROADER CATEGORIES]]</f>
        <v>9.6256111350275717E-2</v>
      </c>
      <c r="AM165" s="2">
        <f>All_India_Index_Upto_April23__1[[#This Row],[Education]]/All_India_Index_Upto_April23__1[[#This Row],[TOTAL BROADER CATEGORIES]]</f>
        <v>0.10901023366480952</v>
      </c>
      <c r="AN165" s="2">
        <f>All_India_Index_Upto_April23__1[[#This Row],[Recreation and amusement]]/All_India_Index_Upto_April23__1[[#This Row],[TOTAL BROADER CATEGORIES]]</f>
        <v>9.7381475083911054E-2</v>
      </c>
      <c r="AO165" s="2">
        <f>All_India_Index_Upto_April23__1[[#This Row],[Transport and communication]]/All_India_Index_Upto_April23__1[[#This Row],[TOTAL BROADER CATEGORIES]]</f>
        <v>9.0554268433190005E-2</v>
      </c>
      <c r="AP165" s="2">
        <f>All_India_Index_Upto_April23__1[[#This Row],[Health]]/All_India_Index_Upto_April23__1[[#This Row],[TOTAL BROADER CATEGORIES]]</f>
        <v>0.10120771177827119</v>
      </c>
      <c r="AQ165" s="2">
        <f>All_India_Index_Upto_April23__1[[#This Row],[Fuel and light]]/All_India_Index_Upto_April23__1[[#This Row],[TOTAL BROADER CATEGORIES]]</f>
        <v>9.7381475083911054E-2</v>
      </c>
      <c r="AR165">
        <f>MONTH(1 &amp; All_India_Index_Upto_April23__1[[#This Row],[Month]])</f>
        <v>8</v>
      </c>
      <c r="AS165" s="19" t="str">
        <f>All_India_Index_Upto_April23__1[[#This Row],[MONTH IN NUM]]&amp;"/"&amp;All_India_Index_Upto_April23__1[[#This Row],[Year]]</f>
        <v>8/2018</v>
      </c>
      <c r="AT16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137.34285714285716</v>
      </c>
      <c r="AU16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1332.902380952381</v>
      </c>
    </row>
    <row r="166" spans="1:47" x14ac:dyDescent="0.3">
      <c r="A166" t="s">
        <v>30</v>
      </c>
      <c r="B166">
        <v>2018</v>
      </c>
      <c r="C166" t="s">
        <v>40</v>
      </c>
      <c r="D166">
        <v>139.19999999999999</v>
      </c>
      <c r="E166">
        <v>148.80000000000001</v>
      </c>
      <c r="F166">
        <v>139.1</v>
      </c>
      <c r="G166">
        <v>143.5</v>
      </c>
      <c r="H166">
        <v>125</v>
      </c>
      <c r="I166">
        <v>154.4</v>
      </c>
      <c r="J166">
        <v>156.30000000000001</v>
      </c>
      <c r="K166">
        <v>126.8</v>
      </c>
      <c r="L166">
        <v>115.4</v>
      </c>
      <c r="M166">
        <v>138.6</v>
      </c>
      <c r="N166">
        <v>133.80000000000001</v>
      </c>
      <c r="O166">
        <v>155.19999999999999</v>
      </c>
      <c r="P166">
        <v>142.69999999999999</v>
      </c>
      <c r="Q166">
        <v>156.4</v>
      </c>
      <c r="R166">
        <v>152.1</v>
      </c>
      <c r="S166">
        <v>145.80000000000001</v>
      </c>
      <c r="T166">
        <v>151.30000000000001</v>
      </c>
      <c r="U166">
        <v>140.85</v>
      </c>
      <c r="V166">
        <v>147.69999999999999</v>
      </c>
      <c r="W166">
        <v>143.80000000000001</v>
      </c>
      <c r="X166">
        <v>139.4</v>
      </c>
      <c r="Y166">
        <v>128.30000000000001</v>
      </c>
      <c r="Z166">
        <v>138.6</v>
      </c>
      <c r="AA166">
        <v>146.9</v>
      </c>
      <c r="AB166">
        <v>131.30000000000001</v>
      </c>
      <c r="AC166">
        <v>136.6</v>
      </c>
      <c r="AD166">
        <v>142.5</v>
      </c>
      <c r="AE166">
        <v>141.08571428571429</v>
      </c>
      <c r="AF166">
        <v>149.73333333333332</v>
      </c>
      <c r="AG166">
        <v>142.32499999999999</v>
      </c>
      <c r="AH166" s="2">
        <f>All_India_Index_Upto_April23__1[[#This Row],[House]]/All_India_Index_Upto_April23__1[[#This Row],[TOTAL BROADER CATEGORIES]]</f>
        <v>0.10151974341751631</v>
      </c>
      <c r="AI166" s="2">
        <f>All_India_Index_Upto_April23__1[[#This Row],[Cloth]]/All_India_Index_Upto_April23__1[[#This Row],[TOTAL BROADER CATEGORIES]]</f>
        <v>0.10680407223642678</v>
      </c>
      <c r="AJ166" s="2">
        <f>All_India_Index_Upto_April23__1[[#This Row],[Food]]/All_India_Index_Upto_April23__1[[#This Row],[TOTAL BROADER CATEGORIES]]</f>
        <v>0.10063576683058303</v>
      </c>
      <c r="AK166" s="2">
        <f>All_India_Index_Upto_April23__1[[#This Row],[Miscellaneous]]/All_India_Index_Upto_April23__1[[#This Row],[TOTAL BROADER CATEGORIES]]</f>
        <v>9.7436128233498884E-2</v>
      </c>
      <c r="AL166" s="2">
        <f>All_India_Index_Upto_April23__1[[#This Row],[Personal care and effects]]/All_India_Index_Upto_April23__1[[#This Row],[TOTAL BROADER CATEGORIES]]</f>
        <v>9.3655663521657426E-2</v>
      </c>
      <c r="AM166" s="2">
        <f>All_India_Index_Upto_April23__1[[#This Row],[Education]]/All_India_Index_Upto_April23__1[[#This Row],[TOTAL BROADER CATEGORIES]]</f>
        <v>0.10478306908858702</v>
      </c>
      <c r="AN166" s="2">
        <f>All_India_Index_Upto_April23__1[[#This Row],[Recreation and amusement]]/All_India_Index_Upto_April23__1[[#This Row],[TOTAL BROADER CATEGORIES]]</f>
        <v>9.8862718690797546E-2</v>
      </c>
      <c r="AO166" s="2">
        <f>All_India_Index_Upto_April23__1[[#This Row],[Transport and communication]]/All_India_Index_Upto_April23__1[[#This Row],[TOTAL BROADER CATEGORIES]]</f>
        <v>9.1515777835709425E-2</v>
      </c>
      <c r="AP166" s="2">
        <f>All_India_Index_Upto_April23__1[[#This Row],[Health]]/All_India_Index_Upto_April23__1[[#This Row],[TOTAL BROADER CATEGORIES]]</f>
        <v>9.9433354873717017E-2</v>
      </c>
      <c r="AQ166" s="2">
        <f>All_India_Index_Upto_April23__1[[#This Row],[Fuel and light]]/All_India_Index_Upto_April23__1[[#This Row],[TOTAL BROADER CATEGORIES]]</f>
        <v>0.10535370527150648</v>
      </c>
      <c r="AR166">
        <f>MONTH(1 &amp; All_India_Index_Upto_April23__1[[#This Row],[Month]])</f>
        <v>8</v>
      </c>
      <c r="AS166" s="19" t="str">
        <f>All_India_Index_Upto_April23__1[[#This Row],[MONTH IN NUM]]&amp;"/"&amp;All_India_Index_Upto_April23__1[[#This Row],[Year]]</f>
        <v>8/2018</v>
      </c>
      <c r="AT16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146.92142857142855</v>
      </c>
      <c r="AU16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1401.9440476190478</v>
      </c>
    </row>
    <row r="167" spans="1:47" x14ac:dyDescent="0.3">
      <c r="A167" t="s">
        <v>33</v>
      </c>
      <c r="B167">
        <v>2018</v>
      </c>
      <c r="C167" t="s">
        <v>39</v>
      </c>
      <c r="D167">
        <v>137.5</v>
      </c>
      <c r="E167">
        <v>149.1</v>
      </c>
      <c r="F167">
        <v>139.19999999999999</v>
      </c>
      <c r="G167">
        <v>142.5</v>
      </c>
      <c r="H167">
        <v>121.4</v>
      </c>
      <c r="I167">
        <v>151.6</v>
      </c>
      <c r="J167">
        <v>155.9</v>
      </c>
      <c r="K167">
        <v>121.7</v>
      </c>
      <c r="L167">
        <v>113.5</v>
      </c>
      <c r="M167">
        <v>138.9</v>
      </c>
      <c r="N167">
        <v>130.30000000000001</v>
      </c>
      <c r="O167">
        <v>152.30000000000001</v>
      </c>
      <c r="P167">
        <v>141.4</v>
      </c>
      <c r="Q167">
        <v>157.5</v>
      </c>
      <c r="R167">
        <v>146.80000000000001</v>
      </c>
      <c r="S167">
        <v>138.4</v>
      </c>
      <c r="T167">
        <v>145.6</v>
      </c>
      <c r="U167">
        <v>143.6</v>
      </c>
      <c r="V167">
        <v>139.69999999999999</v>
      </c>
      <c r="W167">
        <v>138.6</v>
      </c>
      <c r="X167">
        <v>137</v>
      </c>
      <c r="Y167">
        <v>123.6</v>
      </c>
      <c r="Z167">
        <v>133.1</v>
      </c>
      <c r="AA167">
        <v>144.69999999999999</v>
      </c>
      <c r="AB167">
        <v>130.1</v>
      </c>
      <c r="AC167">
        <v>133.19999999999999</v>
      </c>
      <c r="AD167">
        <v>139.80000000000001</v>
      </c>
      <c r="AE167">
        <v>139.48571428571429</v>
      </c>
      <c r="AF167">
        <v>143.60000000000002</v>
      </c>
      <c r="AG167">
        <v>141.1</v>
      </c>
      <c r="AH167" s="2">
        <f>All_India_Index_Upto_April23__1[[#This Row],[House]]/All_India_Index_Upto_April23__1[[#This Row],[TOTAL BROADER CATEGORIES]]</f>
        <v>0.10332562688956072</v>
      </c>
      <c r="AI167" s="2">
        <f>All_India_Index_Upto_April23__1[[#This Row],[Cloth]]/All_India_Index_Upto_April23__1[[#This Row],[TOTAL BROADER CATEGORIES]]</f>
        <v>0.10515634317038215</v>
      </c>
      <c r="AJ167" s="2">
        <f>All_India_Index_Upto_April23__1[[#This Row],[Food]]/All_India_Index_Upto_April23__1[[#This Row],[TOTAL BROADER CATEGORIES]]</f>
        <v>0.10214350723394462</v>
      </c>
      <c r="AK167" s="2">
        <f>All_India_Index_Upto_April23__1[[#This Row],[Miscellaneous]]/All_India_Index_Upto_April23__1[[#This Row],[TOTAL BROADER CATEGORIES]]</f>
        <v>9.7540563442165037E-2</v>
      </c>
      <c r="AL167" s="2">
        <f>All_India_Index_Upto_April23__1[[#This Row],[Personal care and effects]]/All_India_Index_Upto_April23__1[[#This Row],[TOTAL BROADER CATEGORIES]]</f>
        <v>9.5270475253946482E-2</v>
      </c>
      <c r="AM167" s="2">
        <f>All_India_Index_Upto_April23__1[[#This Row],[Education]]/All_India_Index_Upto_April23__1[[#This Row],[TOTAL BROADER CATEGORIES]]</f>
        <v>0.10596185833394356</v>
      </c>
      <c r="AN167" s="2">
        <f>All_India_Index_Upto_April23__1[[#This Row],[Recreation and amusement]]/All_India_Index_Upto_April23__1[[#This Row],[TOTAL BROADER CATEGORIES]]</f>
        <v>9.7467334790932184E-2</v>
      </c>
      <c r="AO167" s="2">
        <f>All_India_Index_Upto_April23__1[[#This Row],[Transport and communication]]/All_India_Index_Upto_April23__1[[#This Row],[TOTAL BROADER CATEGORIES]]</f>
        <v>9.051061292381081E-2</v>
      </c>
      <c r="AP167" s="2">
        <f>All_India_Index_Upto_April23__1[[#This Row],[Health]]/All_India_Index_Upto_April23__1[[#This Row],[TOTAL BROADER CATEGORIES]]</f>
        <v>0.1003232521890136</v>
      </c>
      <c r="AQ167" s="2">
        <f>All_India_Index_Upto_April23__1[[#This Row],[Fuel and light]]/All_India_Index_Upto_April23__1[[#This Row],[TOTAL BROADER CATEGORIES]]</f>
        <v>0.10230042577230072</v>
      </c>
      <c r="AR167">
        <f>MONTH(1 &amp; All_India_Index_Upto_April23__1[[#This Row],[Month]])</f>
        <v>7</v>
      </c>
      <c r="AS167" s="19" t="str">
        <f>All_India_Index_Upto_April23__1[[#This Row],[MONTH IN NUM]]&amp;"/"&amp;All_India_Index_Upto_April23__1[[#This Row],[Year]]</f>
        <v>7/2018</v>
      </c>
      <c r="AT16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142.48571428571427</v>
      </c>
      <c r="AU16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1365.5857142857144</v>
      </c>
    </row>
    <row r="168" spans="1:47" x14ac:dyDescent="0.3">
      <c r="A168" t="s">
        <v>32</v>
      </c>
      <c r="B168">
        <v>2018</v>
      </c>
      <c r="C168" t="s">
        <v>39</v>
      </c>
      <c r="D168">
        <v>135.6</v>
      </c>
      <c r="E168">
        <v>148.6</v>
      </c>
      <c r="F168">
        <v>139.1</v>
      </c>
      <c r="G168">
        <v>141</v>
      </c>
      <c r="H168">
        <v>116.7</v>
      </c>
      <c r="I168">
        <v>149.69999999999999</v>
      </c>
      <c r="J168">
        <v>159.19999999999999</v>
      </c>
      <c r="K168">
        <v>112.6</v>
      </c>
      <c r="L168">
        <v>111.8</v>
      </c>
      <c r="M168">
        <v>140.30000000000001</v>
      </c>
      <c r="N168">
        <v>126.8</v>
      </c>
      <c r="O168">
        <v>149.4</v>
      </c>
      <c r="P168">
        <v>140.30000000000001</v>
      </c>
      <c r="Q168">
        <v>161.4</v>
      </c>
      <c r="R168">
        <v>139.6</v>
      </c>
      <c r="S168">
        <v>128.9</v>
      </c>
      <c r="T168">
        <v>137.9</v>
      </c>
      <c r="U168">
        <v>143.6</v>
      </c>
      <c r="V168">
        <v>128.1</v>
      </c>
      <c r="W168">
        <v>133.6</v>
      </c>
      <c r="X168">
        <v>133.6</v>
      </c>
      <c r="Y168">
        <v>120.1</v>
      </c>
      <c r="Z168">
        <v>129</v>
      </c>
      <c r="AA168">
        <v>144</v>
      </c>
      <c r="AB168">
        <v>128.19999999999999</v>
      </c>
      <c r="AC168">
        <v>130.19999999999999</v>
      </c>
      <c r="AD168">
        <v>137.5</v>
      </c>
      <c r="AE168">
        <v>138.03571428571428</v>
      </c>
      <c r="AF168">
        <v>135.46666666666667</v>
      </c>
      <c r="AG168">
        <v>138.6</v>
      </c>
      <c r="AH168" s="2">
        <f>All_India_Index_Upto_April23__1[[#This Row],[House]]/All_India_Index_Upto_April23__1[[#This Row],[TOTAL BROADER CATEGORIES]]</f>
        <v>0.10457990719099147</v>
      </c>
      <c r="AI168" s="2">
        <f>All_India_Index_Upto_April23__1[[#This Row],[Cloth]]/All_India_Index_Upto_April23__1[[#This Row],[TOTAL BROADER CATEGORIES]]</f>
        <v>0.10221566686488441</v>
      </c>
      <c r="AJ168" s="2">
        <f>All_India_Index_Upto_April23__1[[#This Row],[Food]]/All_India_Index_Upto_April23__1[[#This Row],[TOTAL BROADER CATEGORIES]]</f>
        <v>0.10415412834806793</v>
      </c>
      <c r="AK168" s="2">
        <f>All_India_Index_Upto_April23__1[[#This Row],[Miscellaneous]]/All_India_Index_Upto_April23__1[[#This Row],[TOTAL BROADER CATEGORIES]]</f>
        <v>9.8241730997598045E-2</v>
      </c>
      <c r="AL168" s="2">
        <f>All_India_Index_Upto_April23__1[[#This Row],[Personal care and effects]]/All_India_Index_Upto_April23__1[[#This Row],[TOTAL BROADER CATEGORIES]]</f>
        <v>9.6732641427742475E-2</v>
      </c>
      <c r="AM168" s="2">
        <f>All_India_Index_Upto_April23__1[[#This Row],[Education]]/All_India_Index_Upto_April23__1[[#This Row],[TOTAL BROADER CATEGORIES]]</f>
        <v>0.10865444902960153</v>
      </c>
      <c r="AN168" s="2">
        <f>All_India_Index_Upto_April23__1[[#This Row],[Recreation and amusement]]/All_India_Index_Upto_April23__1[[#This Row],[TOTAL BROADER CATEGORIES]]</f>
        <v>9.7336277255684708E-2</v>
      </c>
      <c r="AO168" s="2">
        <f>All_India_Index_Upto_April23__1[[#This Row],[Transport and communication]]/All_India_Index_Upto_April23__1[[#This Row],[TOTAL BROADER CATEGORIES]]</f>
        <v>9.0620828669827388E-2</v>
      </c>
      <c r="AP168" s="2">
        <f>All_India_Index_Upto_April23__1[[#This Row],[Health]]/All_India_Index_Upto_April23__1[[#This Row],[TOTAL BROADER CATEGORIES]]</f>
        <v>0.10080718326635253</v>
      </c>
      <c r="AQ168" s="2">
        <f>All_India_Index_Upto_April23__1[[#This Row],[Fuel and light]]/All_India_Index_Upto_April23__1[[#This Row],[TOTAL BROADER CATEGORIES]]</f>
        <v>9.6657186949249699E-2</v>
      </c>
      <c r="AR168">
        <f>MONTH(1 &amp; All_India_Index_Upto_April23__1[[#This Row],[Month]])</f>
        <v>7</v>
      </c>
      <c r="AS168" s="19" t="str">
        <f>All_India_Index_Upto_April23__1[[#This Row],[MONTH IN NUM]]&amp;"/"&amp;All_India_Index_Upto_April23__1[[#This Row],[Year]]</f>
        <v>7/2018</v>
      </c>
      <c r="AT16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136.52857142857144</v>
      </c>
      <c r="AU16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1325.3023809523806</v>
      </c>
    </row>
    <row r="169" spans="1:47" x14ac:dyDescent="0.3">
      <c r="A169" t="s">
        <v>30</v>
      </c>
      <c r="B169">
        <v>2018</v>
      </c>
      <c r="C169" t="s">
        <v>39</v>
      </c>
      <c r="D169">
        <v>138.4</v>
      </c>
      <c r="E169">
        <v>149.30000000000001</v>
      </c>
      <c r="F169">
        <v>139.30000000000001</v>
      </c>
      <c r="G169">
        <v>143.4</v>
      </c>
      <c r="H169">
        <v>124.1</v>
      </c>
      <c r="I169">
        <v>153.30000000000001</v>
      </c>
      <c r="J169">
        <v>154.19999999999999</v>
      </c>
      <c r="K169">
        <v>126.4</v>
      </c>
      <c r="L169">
        <v>114.3</v>
      </c>
      <c r="M169">
        <v>138.19999999999999</v>
      </c>
      <c r="N169">
        <v>132.80000000000001</v>
      </c>
      <c r="O169">
        <v>154.80000000000001</v>
      </c>
      <c r="P169">
        <v>142</v>
      </c>
      <c r="Q169">
        <v>156.1</v>
      </c>
      <c r="R169">
        <v>151.5</v>
      </c>
      <c r="S169">
        <v>145.1</v>
      </c>
      <c r="T169">
        <v>150.6</v>
      </c>
      <c r="U169">
        <v>140.85</v>
      </c>
      <c r="V169">
        <v>146.80000000000001</v>
      </c>
      <c r="W169">
        <v>143.1</v>
      </c>
      <c r="X169">
        <v>139</v>
      </c>
      <c r="Y169">
        <v>127.5</v>
      </c>
      <c r="Z169">
        <v>138.4</v>
      </c>
      <c r="AA169">
        <v>145.80000000000001</v>
      </c>
      <c r="AB169">
        <v>131.4</v>
      </c>
      <c r="AC169">
        <v>136</v>
      </c>
      <c r="AD169">
        <v>141.80000000000001</v>
      </c>
      <c r="AE169">
        <v>140.47142857142859</v>
      </c>
      <c r="AF169">
        <v>149.06666666666669</v>
      </c>
      <c r="AG169">
        <v>141.97499999999999</v>
      </c>
      <c r="AH169" s="2">
        <f>All_India_Index_Upto_April23__1[[#This Row],[House]]/All_India_Index_Upto_April23__1[[#This Row],[TOTAL BROADER CATEGORIES]]</f>
        <v>0.10167120351717451</v>
      </c>
      <c r="AI169" s="2">
        <f>All_India_Index_Upto_April23__1[[#This Row],[Cloth]]/All_India_Index_Upto_April23__1[[#This Row],[TOTAL BROADER CATEGORIES]]</f>
        <v>0.10674969117304796</v>
      </c>
      <c r="AJ169" s="2">
        <f>All_India_Index_Upto_April23__1[[#This Row],[Food]]/All_India_Index_Upto_April23__1[[#This Row],[TOTAL BROADER CATEGORIES]]</f>
        <v>0.10059446524130276</v>
      </c>
      <c r="AK169" s="2">
        <f>All_India_Index_Upto_April23__1[[#This Row],[Miscellaneous]]/All_India_Index_Upto_April23__1[[#This Row],[TOTAL BROADER CATEGORIES]]</f>
        <v>9.7392383717807604E-2</v>
      </c>
      <c r="AL169" s="2">
        <f>All_India_Index_Upto_April23__1[[#This Row],[Personal care and effects]]/All_India_Index_Upto_April23__1[[#This Row],[TOTAL BROADER CATEGORIES]]</f>
        <v>9.4098229562646477E-2</v>
      </c>
      <c r="AM169" s="2">
        <f>All_India_Index_Upto_April23__1[[#This Row],[Education]]/All_India_Index_Upto_April23__1[[#This Row],[TOTAL BROADER CATEGORIES]]</f>
        <v>0.10441036430923786</v>
      </c>
      <c r="AN169" s="2">
        <f>All_India_Index_Upto_April23__1[[#This Row],[Recreation and amusement]]/All_India_Index_Upto_April23__1[[#This Row],[TOTAL BROADER CATEGORIES]]</f>
        <v>9.9111072842239509E-2</v>
      </c>
      <c r="AO169" s="2">
        <f>All_India_Index_Upto_April23__1[[#This Row],[Transport and communication]]/All_India_Index_Upto_April23__1[[#This Row],[TOTAL BROADER CATEGORIES]]</f>
        <v>9.1305359735444624E-2</v>
      </c>
      <c r="AP169" s="2">
        <f>All_India_Index_Upto_April23__1[[#This Row],[Health]]/All_India_Index_Upto_April23__1[[#This Row],[TOTAL BROADER CATEGORIES]]</f>
        <v>9.9540745123347485E-2</v>
      </c>
      <c r="AQ169" s="2">
        <f>All_India_Index_Upto_April23__1[[#This Row],[Fuel and light]]/All_India_Index_Upto_April23__1[[#This Row],[TOTAL BROADER CATEGORIES]]</f>
        <v>0.10512648477775116</v>
      </c>
      <c r="AR169">
        <f>MONTH(1 &amp; All_India_Index_Upto_April23__1[[#This Row],[Month]])</f>
        <v>7</v>
      </c>
      <c r="AS169" s="19" t="str">
        <f>All_India_Index_Upto_April23__1[[#This Row],[MONTH IN NUM]]&amp;"/"&amp;All_India_Index_Upto_April23__1[[#This Row],[Year]]</f>
        <v>7/2018</v>
      </c>
      <c r="AT16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146.25</v>
      </c>
      <c r="AU16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1396.4130952380954</v>
      </c>
    </row>
    <row r="170" spans="1:47" x14ac:dyDescent="0.3">
      <c r="A170" t="s">
        <v>32</v>
      </c>
      <c r="B170">
        <v>2018</v>
      </c>
      <c r="C170" t="s">
        <v>38</v>
      </c>
      <c r="D170">
        <v>135.30000000000001</v>
      </c>
      <c r="E170">
        <v>149.69999999999999</v>
      </c>
      <c r="F170">
        <v>133.9</v>
      </c>
      <c r="G170">
        <v>140.80000000000001</v>
      </c>
      <c r="H170">
        <v>116.6</v>
      </c>
      <c r="I170">
        <v>152.19999999999999</v>
      </c>
      <c r="J170">
        <v>144</v>
      </c>
      <c r="K170">
        <v>112.3</v>
      </c>
      <c r="L170">
        <v>108.4</v>
      </c>
      <c r="M170">
        <v>140</v>
      </c>
      <c r="N170">
        <v>126.7</v>
      </c>
      <c r="O170">
        <v>149</v>
      </c>
      <c r="P170">
        <v>138.4</v>
      </c>
      <c r="Q170">
        <v>161</v>
      </c>
      <c r="R170">
        <v>138.9</v>
      </c>
      <c r="S170">
        <v>128.69999999999999</v>
      </c>
      <c r="T170">
        <v>137.4</v>
      </c>
      <c r="U170">
        <v>142.5</v>
      </c>
      <c r="V170">
        <v>126.5</v>
      </c>
      <c r="W170">
        <v>133.1</v>
      </c>
      <c r="X170">
        <v>132.6</v>
      </c>
      <c r="Y170">
        <v>120.4</v>
      </c>
      <c r="Z170">
        <v>128.5</v>
      </c>
      <c r="AA170">
        <v>141.19999999999999</v>
      </c>
      <c r="AB170">
        <v>128.19999999999999</v>
      </c>
      <c r="AC170">
        <v>129.5</v>
      </c>
      <c r="AD170">
        <v>136.19999999999999</v>
      </c>
      <c r="AE170">
        <v>136.30714285714288</v>
      </c>
      <c r="AF170">
        <v>135</v>
      </c>
      <c r="AG170">
        <v>137.80000000000001</v>
      </c>
      <c r="AH170" s="2">
        <f>All_India_Index_Upto_April23__1[[#This Row],[House]]/All_India_Index_Upto_April23__1[[#This Row],[TOTAL BROADER CATEGORIES]]</f>
        <v>0.10471067786214795</v>
      </c>
      <c r="AI170" s="2">
        <f>All_India_Index_Upto_April23__1[[#This Row],[Cloth]]/All_India_Index_Upto_April23__1[[#This Row],[TOTAL BROADER CATEGORIES]]</f>
        <v>0.10258302983592142</v>
      </c>
      <c r="AJ170" s="2">
        <f>All_India_Index_Upto_April23__1[[#This Row],[Food]]/All_India_Index_Upto_April23__1[[#This Row],[TOTAL BROADER CATEGORIES]]</f>
        <v>0.10357629409306289</v>
      </c>
      <c r="AK170" s="2">
        <f>All_India_Index_Upto_April23__1[[#This Row],[Miscellaneous]]/All_India_Index_Upto_April23__1[[#This Row],[TOTAL BROADER CATEGORIES]]</f>
        <v>9.8403721212976469E-2</v>
      </c>
      <c r="AL170" s="2">
        <f>All_India_Index_Upto_April23__1[[#This Row],[Personal care and effects]]/All_India_Index_Upto_April23__1[[#This Row],[TOTAL BROADER CATEGORIES]]</f>
        <v>9.7415884629371299E-2</v>
      </c>
      <c r="AM170" s="2">
        <f>All_India_Index_Upto_April23__1[[#This Row],[Education]]/All_India_Index_Upto_April23__1[[#This Row],[TOTAL BROADER CATEGORIES]]</f>
        <v>0.10729425046542299</v>
      </c>
      <c r="AN170" s="2">
        <f>All_India_Index_Upto_April23__1[[#This Row],[Recreation and amusement]]/All_India_Index_Upto_April23__1[[#This Row],[TOTAL BROADER CATEGORIES]]</f>
        <v>9.7643846917895571E-2</v>
      </c>
      <c r="AO170" s="2">
        <f>All_India_Index_Upto_April23__1[[#This Row],[Transport and communication]]/All_India_Index_Upto_April23__1[[#This Row],[TOTAL BROADER CATEGORIES]]</f>
        <v>9.1488865127740293E-2</v>
      </c>
      <c r="AP170" s="2">
        <f>All_India_Index_Upto_April23__1[[#This Row],[Health]]/All_India_Index_Upto_April23__1[[#This Row],[TOTAL BROADER CATEGORIES]]</f>
        <v>0.10075933152772726</v>
      </c>
      <c r="AQ170" s="2">
        <f>All_India_Index_Upto_April23__1[[#This Row],[Fuel and light]]/All_India_Index_Upto_April23__1[[#This Row],[TOTAL BROADER CATEGORIES]]</f>
        <v>9.6124098327733776E-2</v>
      </c>
      <c r="AR170">
        <f>MONTH(1 &amp; All_India_Index_Upto_April23__1[[#This Row],[Month]])</f>
        <v>6</v>
      </c>
      <c r="AS170" s="19" t="str">
        <f>All_India_Index_Upto_April23__1[[#This Row],[MONTH IN NUM]]&amp;"/"&amp;All_India_Index_Upto_April23__1[[#This Row],[Year]]</f>
        <v>6/2018</v>
      </c>
      <c r="AT17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135.47142857142856</v>
      </c>
      <c r="AU17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1316.007142857143</v>
      </c>
    </row>
    <row r="171" spans="1:47" x14ac:dyDescent="0.3">
      <c r="A171" t="s">
        <v>30</v>
      </c>
      <c r="B171">
        <v>2018</v>
      </c>
      <c r="C171" t="s">
        <v>38</v>
      </c>
      <c r="D171">
        <v>137.6</v>
      </c>
      <c r="E171">
        <v>148.1</v>
      </c>
      <c r="F171">
        <v>136.69999999999999</v>
      </c>
      <c r="G171">
        <v>143.19999999999999</v>
      </c>
      <c r="H171">
        <v>124</v>
      </c>
      <c r="I171">
        <v>154.1</v>
      </c>
      <c r="J171">
        <v>143.5</v>
      </c>
      <c r="K171">
        <v>126</v>
      </c>
      <c r="L171">
        <v>112.4</v>
      </c>
      <c r="M171">
        <v>137.6</v>
      </c>
      <c r="N171">
        <v>132.80000000000001</v>
      </c>
      <c r="O171">
        <v>154.30000000000001</v>
      </c>
      <c r="P171">
        <v>140</v>
      </c>
      <c r="Q171">
        <v>157.30000000000001</v>
      </c>
      <c r="R171">
        <v>151.30000000000001</v>
      </c>
      <c r="S171">
        <v>144.69999999999999</v>
      </c>
      <c r="T171">
        <v>150.30000000000001</v>
      </c>
      <c r="U171">
        <v>140.85</v>
      </c>
      <c r="V171">
        <v>145.1</v>
      </c>
      <c r="W171">
        <v>142.19999999999999</v>
      </c>
      <c r="X171">
        <v>138.4</v>
      </c>
      <c r="Y171">
        <v>127.4</v>
      </c>
      <c r="Z171">
        <v>137.80000000000001</v>
      </c>
      <c r="AA171">
        <v>145.1</v>
      </c>
      <c r="AB171">
        <v>131.4</v>
      </c>
      <c r="AC171">
        <v>135.6</v>
      </c>
      <c r="AD171">
        <v>140.5</v>
      </c>
      <c r="AE171">
        <v>139.1142857142857</v>
      </c>
      <c r="AF171">
        <v>148.76666666666668</v>
      </c>
      <c r="AG171">
        <v>141.52499999999998</v>
      </c>
      <c r="AH171" s="2">
        <f>All_India_Index_Upto_April23__1[[#This Row],[House]]/All_India_Index_Upto_April23__1[[#This Row],[TOTAL BROADER CATEGORIES]]</f>
        <v>0.10180146312682344</v>
      </c>
      <c r="AI171" s="2">
        <f>All_India_Index_Upto_April23__1[[#This Row],[Cloth]]/All_India_Index_Upto_April23__1[[#This Row],[TOTAL BROADER CATEGORIES]]</f>
        <v>0.10701052344933477</v>
      </c>
      <c r="AJ171" s="2">
        <f>All_India_Index_Upto_April23__1[[#This Row],[Food]]/All_India_Index_Upto_April23__1[[#This Row],[TOTAL BROADER CATEGORIES]]</f>
        <v>0.10006739323481532</v>
      </c>
      <c r="AK171" s="2">
        <f>All_India_Index_Upto_April23__1[[#This Row],[Miscellaneous]]/All_India_Index_Upto_April23__1[[#This Row],[TOTAL BROADER CATEGORIES]]</f>
        <v>9.7539504681132372E-2</v>
      </c>
      <c r="AL171" s="2">
        <f>All_India_Index_Upto_April23__1[[#This Row],[Personal care and effects]]/All_India_Index_Upto_April23__1[[#This Row],[TOTAL BROADER CATEGORIES]]</f>
        <v>9.4518369580389353E-2</v>
      </c>
      <c r="AM171" s="2">
        <f>All_India_Index_Upto_April23__1[[#This Row],[Education]]/All_India_Index_Upto_April23__1[[#This Row],[TOTAL BROADER CATEGORIES]]</f>
        <v>0.10437302455186068</v>
      </c>
      <c r="AN171" s="2">
        <f>All_India_Index_Upto_April23__1[[#This Row],[Recreation and amusement]]/All_India_Index_Upto_April23__1[[#This Row],[TOTAL BROADER CATEGORIES]]</f>
        <v>9.9122004019616836E-2</v>
      </c>
      <c r="AO171" s="2">
        <f>All_India_Index_Upto_April23__1[[#This Row],[Transport and communication]]/All_India_Index_Upto_April23__1[[#This Row],[TOTAL BROADER CATEGORIES]]</f>
        <v>9.1641098055872172E-2</v>
      </c>
      <c r="AP171" s="2">
        <f>All_India_Index_Upto_April23__1[[#This Row],[Health]]/All_India_Index_Upto_April23__1[[#This Row],[TOTAL BROADER CATEGORIES]]</f>
        <v>9.9553594748294408E-2</v>
      </c>
      <c r="AQ171" s="2">
        <f>All_India_Index_Upto_April23__1[[#This Row],[Fuel and light]]/All_India_Index_Upto_April23__1[[#This Row],[TOTAL BROADER CATEGORIES]]</f>
        <v>0.10437302455186068</v>
      </c>
      <c r="AR171">
        <f>MONTH(1 &amp; All_India_Index_Upto_April23__1[[#This Row],[Month]])</f>
        <v>6</v>
      </c>
      <c r="AS171" s="19" t="str">
        <f>All_India_Index_Upto_April23__1[[#This Row],[MONTH IN NUM]]&amp;"/"&amp;All_India_Index_Upto_April23__1[[#This Row],[Year]]</f>
        <v>6/2018</v>
      </c>
      <c r="AT17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145.65</v>
      </c>
      <c r="AU17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1390.2059523809523</v>
      </c>
    </row>
    <row r="172" spans="1:47" x14ac:dyDescent="0.3">
      <c r="A172" t="s">
        <v>33</v>
      </c>
      <c r="B172">
        <v>2018</v>
      </c>
      <c r="C172" t="s">
        <v>38</v>
      </c>
      <c r="D172">
        <v>136.9</v>
      </c>
      <c r="E172">
        <v>148.69999999999999</v>
      </c>
      <c r="F172">
        <v>135.6</v>
      </c>
      <c r="G172">
        <v>142.30000000000001</v>
      </c>
      <c r="H172">
        <v>121.3</v>
      </c>
      <c r="I172">
        <v>153.19999999999999</v>
      </c>
      <c r="J172">
        <v>143.69999999999999</v>
      </c>
      <c r="K172">
        <v>121.4</v>
      </c>
      <c r="L172">
        <v>111.1</v>
      </c>
      <c r="M172">
        <v>138.4</v>
      </c>
      <c r="N172">
        <v>130.30000000000001</v>
      </c>
      <c r="O172">
        <v>151.80000000000001</v>
      </c>
      <c r="P172">
        <v>139.4</v>
      </c>
      <c r="Q172">
        <v>158.30000000000001</v>
      </c>
      <c r="R172">
        <v>146.4</v>
      </c>
      <c r="S172">
        <v>138.1</v>
      </c>
      <c r="T172">
        <v>145.19999999999999</v>
      </c>
      <c r="U172">
        <v>142.5</v>
      </c>
      <c r="V172">
        <v>138.1</v>
      </c>
      <c r="W172">
        <v>137.9</v>
      </c>
      <c r="X172">
        <v>136.19999999999999</v>
      </c>
      <c r="Y172">
        <v>123.7</v>
      </c>
      <c r="Z172">
        <v>132.6</v>
      </c>
      <c r="AA172">
        <v>142.80000000000001</v>
      </c>
      <c r="AB172">
        <v>130.1</v>
      </c>
      <c r="AC172">
        <v>132.6</v>
      </c>
      <c r="AD172">
        <v>138.5</v>
      </c>
      <c r="AE172">
        <v>138.02857142857144</v>
      </c>
      <c r="AF172">
        <v>143.23333333333332</v>
      </c>
      <c r="AG172">
        <v>140.19999999999999</v>
      </c>
      <c r="AH172" s="2">
        <f>All_India_Index_Upto_April23__1[[#This Row],[House]]/All_India_Index_Upto_April23__1[[#This Row],[TOTAL BROADER CATEGORIES]]</f>
        <v>0.10327337523852283</v>
      </c>
      <c r="AI172" s="2">
        <f>All_India_Index_Upto_April23__1[[#This Row],[Cloth]]/All_India_Index_Upto_April23__1[[#This Row],[TOTAL BROADER CATEGORIES]]</f>
        <v>0.10550777303850038</v>
      </c>
      <c r="AJ172" s="2">
        <f>All_India_Index_Upto_April23__1[[#This Row],[Food]]/All_India_Index_Upto_April23__1[[#This Row],[TOTAL BROADER CATEGORIES]]</f>
        <v>0.10167386912111349</v>
      </c>
      <c r="AK172" s="2">
        <f>All_India_Index_Upto_April23__1[[#This Row],[Miscellaneous]]/All_India_Index_Upto_April23__1[[#This Row],[TOTAL BROADER CATEGORIES]]</f>
        <v>9.7675103827590079E-2</v>
      </c>
      <c r="AL172" s="2">
        <f>All_India_Index_Upto_April23__1[[#This Row],[Personal care and effects]]/All_India_Index_Upto_April23__1[[#This Row],[TOTAL BROADER CATEGORIES]]</f>
        <v>9.5833567179256923E-2</v>
      </c>
      <c r="AM172" s="2">
        <f>All_India_Index_Upto_April23__1[[#This Row],[Education]]/All_India_Index_Upto_April23__1[[#This Row],[TOTAL BROADER CATEGORIES]]</f>
        <v>0.10518857335278932</v>
      </c>
      <c r="AN172" s="2">
        <f>All_India_Index_Upto_April23__1[[#This Row],[Recreation and amusement]]/All_India_Index_Upto_April23__1[[#This Row],[TOTAL BROADER CATEGORIES]]</f>
        <v>9.7675103827590079E-2</v>
      </c>
      <c r="AO172" s="2">
        <f>All_India_Index_Upto_April23__1[[#This Row],[Transport and communication]]/All_India_Index_Upto_April23__1[[#This Row],[TOTAL BROADER CATEGORIES]]</f>
        <v>9.1119233359524085E-2</v>
      </c>
      <c r="AP172" s="2">
        <f>All_India_Index_Upto_April23__1[[#This Row],[Health]]/All_India_Index_Upto_April23__1[[#This Row],[TOTAL BROADER CATEGORIES]]</f>
        <v>0.10032691660118979</v>
      </c>
      <c r="AQ172" s="2">
        <f>All_India_Index_Upto_April23__1[[#This Row],[Fuel and light]]/All_India_Index_Upto_April23__1[[#This Row],[TOTAL BROADER CATEGORIES]]</f>
        <v>0.10172648445392299</v>
      </c>
      <c r="AR172">
        <f>MONTH(1 &amp; All_India_Index_Upto_April23__1[[#This Row],[Month]])</f>
        <v>6</v>
      </c>
      <c r="AS172" s="19" t="str">
        <f>All_India_Index_Upto_April23__1[[#This Row],[MONTH IN NUM]]&amp;"/"&amp;All_India_Index_Upto_April23__1[[#This Row],[Year]]</f>
        <v>6/2018</v>
      </c>
      <c r="AT17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141.57142857142858</v>
      </c>
      <c r="AU17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1357.5619047619048</v>
      </c>
    </row>
    <row r="173" spans="1:47" x14ac:dyDescent="0.3">
      <c r="A173" t="s">
        <v>33</v>
      </c>
      <c r="B173">
        <v>2018</v>
      </c>
      <c r="C173" t="s">
        <v>37</v>
      </c>
      <c r="D173">
        <v>136.6</v>
      </c>
      <c r="E173">
        <v>146.6</v>
      </c>
      <c r="F173">
        <v>133.6</v>
      </c>
      <c r="G173">
        <v>142.1</v>
      </c>
      <c r="H173">
        <v>121</v>
      </c>
      <c r="I173">
        <v>154.6</v>
      </c>
      <c r="J173">
        <v>135.6</v>
      </c>
      <c r="K173">
        <v>122.3</v>
      </c>
      <c r="L173">
        <v>109.6</v>
      </c>
      <c r="M173">
        <v>138.1</v>
      </c>
      <c r="N173">
        <v>129.9</v>
      </c>
      <c r="O173">
        <v>151.69999999999999</v>
      </c>
      <c r="P173">
        <v>138.1</v>
      </c>
      <c r="Q173">
        <v>157.9</v>
      </c>
      <c r="R173">
        <v>146</v>
      </c>
      <c r="S173">
        <v>137.4</v>
      </c>
      <c r="T173">
        <v>144.69999999999999</v>
      </c>
      <c r="U173">
        <v>143.19999999999999</v>
      </c>
      <c r="V173">
        <v>136.9</v>
      </c>
      <c r="W173">
        <v>137.4</v>
      </c>
      <c r="X173">
        <v>136</v>
      </c>
      <c r="Y173">
        <v>122.9</v>
      </c>
      <c r="Z173">
        <v>131.80000000000001</v>
      </c>
      <c r="AA173">
        <v>142.1</v>
      </c>
      <c r="AB173">
        <v>129.9</v>
      </c>
      <c r="AC173">
        <v>132.1</v>
      </c>
      <c r="AD173">
        <v>137.80000000000001</v>
      </c>
      <c r="AE173">
        <v>136.97857142857143</v>
      </c>
      <c r="AF173">
        <v>142.69999999999999</v>
      </c>
      <c r="AG173">
        <v>140.30000000000001</v>
      </c>
      <c r="AH173" s="2">
        <f>All_India_Index_Upto_April23__1[[#This Row],[House]]/All_India_Index_Upto_April23__1[[#This Row],[TOTAL BROADER CATEGORIES]]</f>
        <v>0.10379686633022432</v>
      </c>
      <c r="AI173" s="2">
        <f>All_India_Index_Upto_April23__1[[#This Row],[Cloth]]/All_India_Index_Upto_April23__1[[#This Row],[TOTAL BROADER CATEGORIES]]</f>
        <v>0.10557243638861731</v>
      </c>
      <c r="AJ173" s="2">
        <f>All_India_Index_Upto_April23__1[[#This Row],[Food]]/All_India_Index_Upto_April23__1[[#This Row],[TOTAL BROADER CATEGORIES]]</f>
        <v>0.10133960419584113</v>
      </c>
      <c r="AK173" s="2">
        <f>All_India_Index_Upto_April23__1[[#This Row],[Miscellaneous]]/All_India_Index_Upto_April23__1[[#This Row],[TOTAL BROADER CATEGORIES]]</f>
        <v>9.7730335297381551E-2</v>
      </c>
      <c r="AL173" s="2">
        <f>All_India_Index_Upto_April23__1[[#This Row],[Personal care and effects]]/All_India_Index_Upto_April23__1[[#This Row],[TOTAL BROADER CATEGORIES]]</f>
        <v>9.6102729410521309E-2</v>
      </c>
      <c r="AM173" s="2">
        <f>All_India_Index_Upto_April23__1[[#This Row],[Education]]/All_India_Index_Upto_April23__1[[#This Row],[TOTAL BROADER CATEGORIES]]</f>
        <v>0.10512854387401906</v>
      </c>
      <c r="AN173" s="2">
        <f>All_India_Index_Upto_April23__1[[#This Row],[Recreation and amusement]]/All_India_Index_Upto_April23__1[[#This Row],[TOTAL BROADER CATEGORIES]]</f>
        <v>9.7508389040082438E-2</v>
      </c>
      <c r="AO173" s="2">
        <f>All_India_Index_Upto_April23__1[[#This Row],[Transport and communication]]/All_India_Index_Upto_April23__1[[#This Row],[TOTAL BROADER CATEGORIES]]</f>
        <v>9.0923983406875047E-2</v>
      </c>
      <c r="AP173" s="2">
        <f>All_India_Index_Upto_April23__1[[#This Row],[Health]]/All_India_Index_Upto_April23__1[[#This Row],[TOTAL BROADER CATEGORIES]]</f>
        <v>0.10061563664227019</v>
      </c>
      <c r="AQ173" s="2">
        <f>All_India_Index_Upto_April23__1[[#This Row],[Fuel and light]]/All_India_Index_Upto_April23__1[[#This Row],[TOTAL BROADER CATEGORIES]]</f>
        <v>0.10128147541416756</v>
      </c>
      <c r="AR173">
        <f>MONTH(1 &amp; All_India_Index_Upto_April23__1[[#This Row],[Month]])</f>
        <v>5</v>
      </c>
      <c r="AS173" s="19" t="str">
        <f>All_India_Index_Upto_April23__1[[#This Row],[MONTH IN NUM]]&amp;"/"&amp;All_India_Index_Upto_April23__1[[#This Row],[Year]]</f>
        <v>5/2018</v>
      </c>
      <c r="AT17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141.1</v>
      </c>
      <c r="AU17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1351.6785714285716</v>
      </c>
    </row>
    <row r="174" spans="1:47" x14ac:dyDescent="0.3">
      <c r="A174" t="s">
        <v>32</v>
      </c>
      <c r="B174">
        <v>2018</v>
      </c>
      <c r="C174" t="s">
        <v>37</v>
      </c>
      <c r="D174">
        <v>135</v>
      </c>
      <c r="E174">
        <v>148.19999999999999</v>
      </c>
      <c r="F174">
        <v>130.5</v>
      </c>
      <c r="G174">
        <v>140.69999999999999</v>
      </c>
      <c r="H174">
        <v>116.4</v>
      </c>
      <c r="I174">
        <v>151.30000000000001</v>
      </c>
      <c r="J174">
        <v>131.4</v>
      </c>
      <c r="K174">
        <v>112.8</v>
      </c>
      <c r="L174">
        <v>105.3</v>
      </c>
      <c r="M174">
        <v>139.6</v>
      </c>
      <c r="N174">
        <v>126.6</v>
      </c>
      <c r="O174">
        <v>148.69999999999999</v>
      </c>
      <c r="P174">
        <v>136.4</v>
      </c>
      <c r="Q174">
        <v>160.30000000000001</v>
      </c>
      <c r="R174">
        <v>138.6</v>
      </c>
      <c r="S174">
        <v>127.9</v>
      </c>
      <c r="T174">
        <v>137</v>
      </c>
      <c r="U174">
        <v>143.19999999999999</v>
      </c>
      <c r="V174">
        <v>124.7</v>
      </c>
      <c r="W174">
        <v>132.5</v>
      </c>
      <c r="X174">
        <v>132</v>
      </c>
      <c r="Y174">
        <v>119.8</v>
      </c>
      <c r="Z174">
        <v>128</v>
      </c>
      <c r="AA174">
        <v>140.4</v>
      </c>
      <c r="AB174">
        <v>128.1</v>
      </c>
      <c r="AC174">
        <v>128.9</v>
      </c>
      <c r="AD174">
        <v>135.4</v>
      </c>
      <c r="AE174">
        <v>134.51428571428571</v>
      </c>
      <c r="AF174">
        <v>134.5</v>
      </c>
      <c r="AG174">
        <v>137.85</v>
      </c>
      <c r="AH174" s="2">
        <f>All_India_Index_Upto_April23__1[[#This Row],[House]]/All_India_Index_Upto_April23__1[[#This Row],[TOTAL BROADER CATEGORIES]]</f>
        <v>0.10532836317791591</v>
      </c>
      <c r="AI174" s="2">
        <f>All_India_Index_Upto_April23__1[[#This Row],[Cloth]]/All_India_Index_Upto_April23__1[[#This Row],[TOTAL BROADER CATEGORIES]]</f>
        <v>0.10276869675320777</v>
      </c>
      <c r="AJ174" s="2">
        <f>All_India_Index_Upto_April23__1[[#This Row],[Food]]/All_India_Index_Upto_April23__1[[#This Row],[TOTAL BROADER CATEGORIES]]</f>
        <v>0.10277961217506153</v>
      </c>
      <c r="AK174" s="2">
        <f>All_India_Index_Upto_April23__1[[#This Row],[Miscellaneous]]/All_India_Index_Upto_April23__1[[#This Row],[TOTAL BROADER CATEGORIES]]</f>
        <v>9.8489851386531463E-2</v>
      </c>
      <c r="AL174" s="2">
        <f>All_India_Index_Upto_April23__1[[#This Row],[Personal care and effects]]/All_India_Index_Upto_April23__1[[#This Row],[TOTAL BROADER CATEGORIES]]</f>
        <v>9.7878587762720556E-2</v>
      </c>
      <c r="AM174" s="2">
        <f>All_India_Index_Upto_April23__1[[#This Row],[Education]]/All_India_Index_Upto_April23__1[[#This Row],[TOTAL BROADER CATEGORIES]]</f>
        <v>0.10727676597881317</v>
      </c>
      <c r="AN174" s="2">
        <f>All_India_Index_Upto_April23__1[[#This Row],[Recreation and amusement]]/All_India_Index_Upto_April23__1[[#This Row],[TOTAL BROADER CATEGORIES]]</f>
        <v>9.7802179809744191E-2</v>
      </c>
      <c r="AO174" s="2">
        <f>All_India_Index_Upto_April23__1[[#This Row],[Transport and communication]]/All_India_Index_Upto_April23__1[[#This Row],[TOTAL BROADER CATEGORIES]]</f>
        <v>9.1536727665682452E-2</v>
      </c>
      <c r="AP174" s="2">
        <f>All_India_Index_Upto_April23__1[[#This Row],[Health]]/All_India_Index_Upto_April23__1[[#This Row],[TOTAL BROADER CATEGORIES]]</f>
        <v>0.1008584979287987</v>
      </c>
      <c r="AQ174" s="2">
        <f>All_India_Index_Upto_April23__1[[#This Row],[Fuel and light]]/All_India_Index_Upto_April23__1[[#This Row],[TOTAL BROADER CATEGORIES]]</f>
        <v>9.5280717361524228E-2</v>
      </c>
      <c r="AR174">
        <f>MONTH(1 &amp; All_India_Index_Upto_April23__1[[#This Row],[Month]])</f>
        <v>5</v>
      </c>
      <c r="AS174" s="19" t="str">
        <f>All_India_Index_Upto_April23__1[[#This Row],[MONTH IN NUM]]&amp;"/"&amp;All_India_Index_Upto_April23__1[[#This Row],[Year]]</f>
        <v>5/2018</v>
      </c>
      <c r="AT17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134.9</v>
      </c>
      <c r="AU17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1308.7642857142857</v>
      </c>
    </row>
    <row r="175" spans="1:47" x14ac:dyDescent="0.3">
      <c r="A175" t="s">
        <v>30</v>
      </c>
      <c r="B175">
        <v>2018</v>
      </c>
      <c r="C175" t="s">
        <v>37</v>
      </c>
      <c r="D175">
        <v>137.4</v>
      </c>
      <c r="E175">
        <v>145.69999999999999</v>
      </c>
      <c r="F175">
        <v>135.5</v>
      </c>
      <c r="G175">
        <v>142.9</v>
      </c>
      <c r="H175">
        <v>123.6</v>
      </c>
      <c r="I175">
        <v>157.5</v>
      </c>
      <c r="J175">
        <v>137.80000000000001</v>
      </c>
      <c r="K175">
        <v>127.2</v>
      </c>
      <c r="L175">
        <v>111.8</v>
      </c>
      <c r="M175">
        <v>137.4</v>
      </c>
      <c r="N175">
        <v>132.19999999999999</v>
      </c>
      <c r="O175">
        <v>154.30000000000001</v>
      </c>
      <c r="P175">
        <v>139.1</v>
      </c>
      <c r="Q175">
        <v>157</v>
      </c>
      <c r="R175">
        <v>150.80000000000001</v>
      </c>
      <c r="S175">
        <v>144.1</v>
      </c>
      <c r="T175">
        <v>149.80000000000001</v>
      </c>
      <c r="U175">
        <v>140.85</v>
      </c>
      <c r="V175">
        <v>144.30000000000001</v>
      </c>
      <c r="W175">
        <v>141.80000000000001</v>
      </c>
      <c r="X175">
        <v>138.4</v>
      </c>
      <c r="Y175">
        <v>126.4</v>
      </c>
      <c r="Z175">
        <v>136.80000000000001</v>
      </c>
      <c r="AA175">
        <v>144.4</v>
      </c>
      <c r="AB175">
        <v>131.19999999999999</v>
      </c>
      <c r="AC175">
        <v>135.1</v>
      </c>
      <c r="AD175">
        <v>139.80000000000001</v>
      </c>
      <c r="AE175">
        <v>138.52857142857144</v>
      </c>
      <c r="AF175">
        <v>148.23333333333332</v>
      </c>
      <c r="AG175">
        <v>141.32499999999999</v>
      </c>
      <c r="AH175" s="2">
        <f>All_India_Index_Upto_April23__1[[#This Row],[House]]/All_India_Index_Upto_April23__1[[#This Row],[TOTAL BROADER CATEGORIES]]</f>
        <v>0.10206278366176982</v>
      </c>
      <c r="AI175" s="2">
        <f>All_India_Index_Upto_April23__1[[#This Row],[Cloth]]/All_India_Index_Upto_April23__1[[#This Row],[TOTAL BROADER CATEGORIES]]</f>
        <v>0.10705187780975067</v>
      </c>
      <c r="AJ175" s="2">
        <f>All_India_Index_Upto_April23__1[[#This Row],[Food]]/All_India_Index_Upto_April23__1[[#This Row],[TOTAL BROADER CATEGORIES]]</f>
        <v>0.10004324512073813</v>
      </c>
      <c r="AK175" s="2">
        <f>All_India_Index_Upto_April23__1[[#This Row],[Miscellaneous]]/All_India_Index_Upto_April23__1[[#This Row],[TOTAL BROADER CATEGORIES]]</f>
        <v>9.7567182541695413E-2</v>
      </c>
      <c r="AL175" s="2">
        <f>All_India_Index_Upto_April23__1[[#This Row],[Personal care and effects]]/All_India_Index_Upto_April23__1[[#This Row],[TOTAL BROADER CATEGORIES]]</f>
        <v>9.4750661358034324E-2</v>
      </c>
      <c r="AM175" s="2">
        <f>All_India_Index_Upto_April23__1[[#This Row],[Education]]/All_India_Index_Upto_April23__1[[#This Row],[TOTAL BROADER CATEGORIES]]</f>
        <v>0.10428350228734877</v>
      </c>
      <c r="AN175" s="2">
        <f>All_India_Index_Upto_April23__1[[#This Row],[Recreation and amusement]]/All_India_Index_Upto_April23__1[[#This Row],[TOTAL BROADER CATEGORIES]]</f>
        <v>9.8794896903804094E-2</v>
      </c>
      <c r="AO175" s="2">
        <f>All_India_Index_Upto_April23__1[[#This Row],[Transport and communication]]/All_India_Index_Upto_April23__1[[#This Row],[TOTAL BROADER CATEGORIES]]</f>
        <v>9.1284173747374547E-2</v>
      </c>
      <c r="AP175" s="2">
        <f>All_India_Index_Upto_April23__1[[#This Row],[Health]]/All_India_Index_Upto_April23__1[[#This Row],[TOTAL BROADER CATEGORIES]]</f>
        <v>9.9950392774024024E-2</v>
      </c>
      <c r="AQ175" s="2">
        <f>All_India_Index_Upto_April23__1[[#This Row],[Fuel and light]]/All_India_Index_Upto_April23__1[[#This Row],[TOTAL BROADER CATEGORIES]]</f>
        <v>0.10421128379546003</v>
      </c>
      <c r="AR175">
        <f>MONTH(1 &amp; All_India_Index_Upto_April23__1[[#This Row],[Month]])</f>
        <v>5</v>
      </c>
      <c r="AS175" s="19" t="str">
        <f>All_India_Index_Upto_April23__1[[#This Row],[MONTH IN NUM]]&amp;"/"&amp;All_India_Index_Upto_April23__1[[#This Row],[Year]]</f>
        <v>5/2018</v>
      </c>
      <c r="AT17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145.15000000000003</v>
      </c>
      <c r="AU17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1384.686904761905</v>
      </c>
    </row>
    <row r="176" spans="1:47" x14ac:dyDescent="0.3">
      <c r="A176" t="s">
        <v>30</v>
      </c>
      <c r="B176">
        <v>2018</v>
      </c>
      <c r="C176" t="s">
        <v>36</v>
      </c>
      <c r="D176">
        <v>137.1</v>
      </c>
      <c r="E176">
        <v>144.5</v>
      </c>
      <c r="F176">
        <v>135.9</v>
      </c>
      <c r="G176">
        <v>142.4</v>
      </c>
      <c r="H176">
        <v>123.5</v>
      </c>
      <c r="I176">
        <v>156.4</v>
      </c>
      <c r="J176">
        <v>135.1</v>
      </c>
      <c r="K176">
        <v>128.4</v>
      </c>
      <c r="L176">
        <v>115.2</v>
      </c>
      <c r="M176">
        <v>137.19999999999999</v>
      </c>
      <c r="N176">
        <v>131.9</v>
      </c>
      <c r="O176">
        <v>153.80000000000001</v>
      </c>
      <c r="P176">
        <v>138.6</v>
      </c>
      <c r="Q176">
        <v>156.1</v>
      </c>
      <c r="R176">
        <v>150.1</v>
      </c>
      <c r="S176">
        <v>143.30000000000001</v>
      </c>
      <c r="T176">
        <v>149.1</v>
      </c>
      <c r="U176">
        <v>140.85</v>
      </c>
      <c r="V176">
        <v>143.80000000000001</v>
      </c>
      <c r="W176">
        <v>140.9</v>
      </c>
      <c r="X176">
        <v>137.6</v>
      </c>
      <c r="Y176">
        <v>125.3</v>
      </c>
      <c r="Z176">
        <v>136</v>
      </c>
      <c r="AA176">
        <v>143.69999999999999</v>
      </c>
      <c r="AB176">
        <v>130.4</v>
      </c>
      <c r="AC176">
        <v>134.19999999999999</v>
      </c>
      <c r="AD176">
        <v>139.1</v>
      </c>
      <c r="AE176">
        <v>138.29285714285714</v>
      </c>
      <c r="AF176">
        <v>147.5</v>
      </c>
      <c r="AG176">
        <v>140.875</v>
      </c>
      <c r="AH176" s="2">
        <f>All_India_Index_Upto_April23__1[[#This Row],[House]]/All_India_Index_Upto_April23__1[[#This Row],[TOTAL BROADER CATEGORIES]]</f>
        <v>0.1022561419790692</v>
      </c>
      <c r="AI176" s="2">
        <f>All_India_Index_Upto_April23__1[[#This Row],[Cloth]]/All_India_Index_Upto_April23__1[[#This Row],[TOTAL BROADER CATEGORIES]]</f>
        <v>0.10706499337648771</v>
      </c>
      <c r="AJ176" s="2">
        <f>All_India_Index_Upto_April23__1[[#This Row],[Food]]/All_India_Index_Upto_April23__1[[#This Row],[TOTAL BROADER CATEGORIES]]</f>
        <v>0.10038185650180041</v>
      </c>
      <c r="AK176" s="2">
        <f>All_India_Index_Upto_April23__1[[#This Row],[Miscellaneous]]/All_India_Index_Upto_April23__1[[#This Row],[TOTAL BROADER CATEGORIES]]</f>
        <v>9.7410997363556948E-2</v>
      </c>
      <c r="AL176" s="2">
        <f>All_India_Index_Upto_April23__1[[#This Row],[Personal care and effects]]/All_India_Index_Upto_April23__1[[#This Row],[TOTAL BROADER CATEGORIES]]</f>
        <v>9.4652712788433888E-2</v>
      </c>
      <c r="AM176" s="2">
        <f>All_India_Index_Upto_April23__1[[#This Row],[Education]]/All_India_Index_Upto_April23__1[[#This Row],[TOTAL BROADER CATEGORIES]]</f>
        <v>0.10430670880136463</v>
      </c>
      <c r="AN176" s="2">
        <f>All_India_Index_Upto_April23__1[[#This Row],[Recreation and amusement]]/All_India_Index_Upto_April23__1[[#This Row],[TOTAL BROADER CATEGORIES]]</f>
        <v>9.8717553214931045E-2</v>
      </c>
      <c r="AO176" s="2">
        <f>All_India_Index_Upto_April23__1[[#This Row],[Transport and communication]]/All_India_Index_Upto_April23__1[[#This Row],[TOTAL BROADER CATEGORIES]]</f>
        <v>9.0950804542873964E-2</v>
      </c>
      <c r="AP176" s="2">
        <f>All_India_Index_Upto_April23__1[[#This Row],[Health]]/All_India_Index_Upto_April23__1[[#This Row],[TOTAL BROADER CATEGORIES]]</f>
        <v>9.9878936193930221E-2</v>
      </c>
      <c r="AQ176" s="2">
        <f>All_India_Index_Upto_April23__1[[#This Row],[Fuel and light]]/All_India_Index_Upto_April23__1[[#This Row],[TOTAL BROADER CATEGORIES]]</f>
        <v>0.1043792952375521</v>
      </c>
      <c r="AR176">
        <f>MONTH(1 &amp; All_India_Index_Upto_April23__1[[#This Row],[Month]])</f>
        <v>4</v>
      </c>
      <c r="AS176" s="19" t="str">
        <f>All_India_Index_Upto_April23__1[[#This Row],[MONTH IN NUM]]&amp;"/"&amp;All_India_Index_Upto_April23__1[[#This Row],[Year]]</f>
        <v>4/2018</v>
      </c>
      <c r="AT17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144.53571428571431</v>
      </c>
      <c r="AU17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1377.667857142857</v>
      </c>
    </row>
    <row r="177" spans="1:47" x14ac:dyDescent="0.3">
      <c r="A177" t="s">
        <v>33</v>
      </c>
      <c r="B177">
        <v>2018</v>
      </c>
      <c r="C177" t="s">
        <v>36</v>
      </c>
      <c r="D177">
        <v>136.4</v>
      </c>
      <c r="E177">
        <v>144.4</v>
      </c>
      <c r="F177">
        <v>133.9</v>
      </c>
      <c r="G177">
        <v>141.6</v>
      </c>
      <c r="H177">
        <v>121</v>
      </c>
      <c r="I177">
        <v>153.5</v>
      </c>
      <c r="J177">
        <v>132.6</v>
      </c>
      <c r="K177">
        <v>123.5</v>
      </c>
      <c r="L177">
        <v>113.7</v>
      </c>
      <c r="M177">
        <v>138.19999999999999</v>
      </c>
      <c r="N177">
        <v>129.6</v>
      </c>
      <c r="O177">
        <v>151.19999999999999</v>
      </c>
      <c r="P177">
        <v>137.5</v>
      </c>
      <c r="Q177">
        <v>156.9</v>
      </c>
      <c r="R177">
        <v>145.30000000000001</v>
      </c>
      <c r="S177">
        <v>136.69999999999999</v>
      </c>
      <c r="T177">
        <v>144</v>
      </c>
      <c r="U177">
        <v>142.9</v>
      </c>
      <c r="V177">
        <v>136.5</v>
      </c>
      <c r="W177">
        <v>136.6</v>
      </c>
      <c r="X177">
        <v>135.19999999999999</v>
      </c>
      <c r="Y177">
        <v>121.9</v>
      </c>
      <c r="Z177">
        <v>131.30000000000001</v>
      </c>
      <c r="AA177">
        <v>141.4</v>
      </c>
      <c r="AB177">
        <v>129.19999999999999</v>
      </c>
      <c r="AC177">
        <v>131.30000000000001</v>
      </c>
      <c r="AD177">
        <v>137.1</v>
      </c>
      <c r="AE177">
        <v>136.71428571428572</v>
      </c>
      <c r="AF177">
        <v>142</v>
      </c>
      <c r="AG177">
        <v>139.75</v>
      </c>
      <c r="AH177" s="2">
        <f>All_India_Index_Upto_April23__1[[#This Row],[House]]/All_India_Index_Upto_April23__1[[#This Row],[TOTAL BROADER CATEGORIES]]</f>
        <v>0.10388293325262692</v>
      </c>
      <c r="AI177" s="2">
        <f>All_India_Index_Upto_April23__1[[#This Row],[Cloth]]/All_India_Index_Upto_April23__1[[#This Row],[TOTAL BROADER CATEGORIES]]</f>
        <v>0.1055554670617032</v>
      </c>
      <c r="AJ177" s="2">
        <f>All_India_Index_Upto_April23__1[[#This Row],[Food]]/All_India_Index_Upto_April23__1[[#This Row],[TOTAL BROADER CATEGORIES]]</f>
        <v>0.10162634001815893</v>
      </c>
      <c r="AK177" s="2">
        <f>All_India_Index_Upto_April23__1[[#This Row],[Miscellaneous]]/All_India_Index_Upto_April23__1[[#This Row],[TOTAL BROADER CATEGORIES]]</f>
        <v>9.7601639614096E-2</v>
      </c>
      <c r="AL177" s="2">
        <f>All_India_Index_Upto_April23__1[[#This Row],[Personal care and effects]]/All_India_Index_Upto_April23__1[[#This Row],[TOTAL BROADER CATEGORIES]]</f>
        <v>9.6040608058958116E-2</v>
      </c>
      <c r="AM177" s="2">
        <f>All_India_Index_Upto_April23__1[[#This Row],[Education]]/All_India_Index_Upto_April23__1[[#This Row],[TOTAL BROADER CATEGORIES]]</f>
        <v>0.10510945804594954</v>
      </c>
      <c r="AN177" s="2">
        <f>All_India_Index_Upto_April23__1[[#This Row],[Recreation and amusement]]/All_India_Index_Upto_April23__1[[#This Row],[TOTAL BROADER CATEGORIES]]</f>
        <v>9.7601639614096E-2</v>
      </c>
      <c r="AO177" s="2">
        <f>All_India_Index_Upto_April23__1[[#This Row],[Transport and communication]]/All_India_Index_Upto_April23__1[[#This Row],[TOTAL BROADER CATEGORIES]]</f>
        <v>9.0614165033955085E-2</v>
      </c>
      <c r="AP177" s="2">
        <f>All_India_Index_Upto_April23__1[[#This Row],[Health]]/All_India_Index_Upto_April23__1[[#This Row],[TOTAL BROADER CATEGORIES]]</f>
        <v>0.10050069821649488</v>
      </c>
      <c r="AQ177" s="2">
        <f>All_India_Index_Upto_April23__1[[#This Row],[Fuel and light]]/All_India_Index_Upto_April23__1[[#This Row],[TOTAL BROADER CATEGORIES]]</f>
        <v>0.10146705108396117</v>
      </c>
      <c r="AR177">
        <f>MONTH(1 &amp; All_India_Index_Upto_April23__1[[#This Row],[Month]])</f>
        <v>4</v>
      </c>
      <c r="AS177" s="19" t="str">
        <f>All_India_Index_Upto_April23__1[[#This Row],[MONTH IN NUM]]&amp;"/"&amp;All_India_Index_Upto_April23__1[[#This Row],[Year]]</f>
        <v>4/2018</v>
      </c>
      <c r="AT17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140.48571428571427</v>
      </c>
      <c r="AU17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1345.264285714286</v>
      </c>
    </row>
    <row r="178" spans="1:47" x14ac:dyDescent="0.3">
      <c r="A178" t="s">
        <v>32</v>
      </c>
      <c r="B178">
        <v>2018</v>
      </c>
      <c r="C178" t="s">
        <v>36</v>
      </c>
      <c r="D178">
        <v>135</v>
      </c>
      <c r="E178">
        <v>144.30000000000001</v>
      </c>
      <c r="F178">
        <v>130.80000000000001</v>
      </c>
      <c r="G178">
        <v>140.30000000000001</v>
      </c>
      <c r="H178">
        <v>116.6</v>
      </c>
      <c r="I178">
        <v>150.1</v>
      </c>
      <c r="J178">
        <v>127.6</v>
      </c>
      <c r="K178">
        <v>114</v>
      </c>
      <c r="L178">
        <v>110.6</v>
      </c>
      <c r="M178">
        <v>140.19999999999999</v>
      </c>
      <c r="N178">
        <v>126.5</v>
      </c>
      <c r="O178">
        <v>148.30000000000001</v>
      </c>
      <c r="P178">
        <v>135.69999999999999</v>
      </c>
      <c r="Q178">
        <v>159.19999999999999</v>
      </c>
      <c r="R178">
        <v>137.80000000000001</v>
      </c>
      <c r="S178">
        <v>127.4</v>
      </c>
      <c r="T178">
        <v>136.19999999999999</v>
      </c>
      <c r="U178">
        <v>142.9</v>
      </c>
      <c r="V178">
        <v>124.6</v>
      </c>
      <c r="W178">
        <v>131.80000000000001</v>
      </c>
      <c r="X178">
        <v>131.30000000000001</v>
      </c>
      <c r="Y178">
        <v>118.9</v>
      </c>
      <c r="Z178">
        <v>127.6</v>
      </c>
      <c r="AA178">
        <v>139.69999999999999</v>
      </c>
      <c r="AB178">
        <v>127.6</v>
      </c>
      <c r="AC178">
        <v>128.19999999999999</v>
      </c>
      <c r="AD178">
        <v>134.80000000000001</v>
      </c>
      <c r="AE178">
        <v>134.22857142857146</v>
      </c>
      <c r="AF178">
        <v>133.80000000000001</v>
      </c>
      <c r="AG178">
        <v>137.35000000000002</v>
      </c>
      <c r="AH178" s="2">
        <f>All_India_Index_Upto_April23__1[[#This Row],[House]]/All_India_Index_Upto_April23__1[[#This Row],[TOTAL BROADER CATEGORIES]]</f>
        <v>0.10538805978329381</v>
      </c>
      <c r="AI178" s="2">
        <f>All_India_Index_Upto_April23__1[[#This Row],[Cloth]]/All_India_Index_Upto_April23__1[[#This Row],[TOTAL BROADER CATEGORIES]]</f>
        <v>0.10266416016748971</v>
      </c>
      <c r="AJ178" s="2">
        <f>All_India_Index_Upto_April23__1[[#This Row],[Food]]/All_India_Index_Upto_April23__1[[#This Row],[TOTAL BROADER CATEGORIES]]</f>
        <v>0.10299300116738559</v>
      </c>
      <c r="AK178" s="2">
        <f>All_India_Index_Upto_April23__1[[#This Row],[Miscellaneous]]/All_India_Index_Upto_April23__1[[#This Row],[TOTAL BROADER CATEGORIES]]</f>
        <v>9.8367304435517028E-2</v>
      </c>
      <c r="AL178" s="2">
        <f>All_India_Index_Upto_April23__1[[#This Row],[Personal care and effects]]/All_India_Index_Upto_April23__1[[#This Row],[TOTAL BROADER CATEGORIES]]</f>
        <v>9.7906927035662811E-2</v>
      </c>
      <c r="AM178" s="2">
        <f>All_India_Index_Upto_April23__1[[#This Row],[Education]]/All_India_Index_Upto_April23__1[[#This Row],[TOTAL BROADER CATEGORIES]]</f>
        <v>0.10719120459938945</v>
      </c>
      <c r="AN178" s="2">
        <f>All_India_Index_Upto_April23__1[[#This Row],[Recreation and amusement]]/All_India_Index_Upto_April23__1[[#This Row],[TOTAL BROADER CATEGORIES]]</f>
        <v>9.7906927035662811E-2</v>
      </c>
      <c r="AO178" s="2">
        <f>All_India_Index_Upto_April23__1[[#This Row],[Transport and communication]]/All_India_Index_Upto_April23__1[[#This Row],[TOTAL BROADER CATEGORIES]]</f>
        <v>9.1231454737776718E-2</v>
      </c>
      <c r="AP178" s="2">
        <f>All_India_Index_Upto_April23__1[[#This Row],[Health]]/All_India_Index_Upto_April23__1[[#This Row],[TOTAL BROADER CATEGORIES]]</f>
        <v>0.10074592100143048</v>
      </c>
      <c r="AQ178" s="2">
        <f>All_India_Index_Upto_April23__1[[#This Row],[Fuel and light]]/All_India_Index_Upto_April23__1[[#This Row],[TOTAL BROADER CATEGORIES]]</f>
        <v>9.5605040036391753E-2</v>
      </c>
      <c r="AR178">
        <f>MONTH(1 &amp; All_India_Index_Upto_April23__1[[#This Row],[Month]])</f>
        <v>4</v>
      </c>
      <c r="AS178" s="19" t="str">
        <f>All_India_Index_Upto_April23__1[[#This Row],[MONTH IN NUM]]&amp;"/"&amp;All_India_Index_Upto_April23__1[[#This Row],[Year]]</f>
        <v>4/2018</v>
      </c>
      <c r="AT17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134.34285714285716</v>
      </c>
      <c r="AU17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1303.2785714285712</v>
      </c>
    </row>
    <row r="179" spans="1:47" x14ac:dyDescent="0.3">
      <c r="A179" t="s">
        <v>33</v>
      </c>
      <c r="B179">
        <v>2018</v>
      </c>
      <c r="C179" t="s">
        <v>35</v>
      </c>
      <c r="D179">
        <v>136.19999999999999</v>
      </c>
      <c r="E179">
        <v>143.6</v>
      </c>
      <c r="F179">
        <v>138.30000000000001</v>
      </c>
      <c r="G179">
        <v>141.19999999999999</v>
      </c>
      <c r="H179">
        <v>120.7</v>
      </c>
      <c r="I179">
        <v>146.19999999999999</v>
      </c>
      <c r="J179">
        <v>134.6</v>
      </c>
      <c r="K179">
        <v>124.6</v>
      </c>
      <c r="L179">
        <v>116.1</v>
      </c>
      <c r="M179">
        <v>137.80000000000001</v>
      </c>
      <c r="N179">
        <v>129.1</v>
      </c>
      <c r="O179">
        <v>150.4</v>
      </c>
      <c r="P179">
        <v>137.19999999999999</v>
      </c>
      <c r="Q179">
        <v>156.30000000000001</v>
      </c>
      <c r="R179">
        <v>144.30000000000001</v>
      </c>
      <c r="S179">
        <v>136.19999999999999</v>
      </c>
      <c r="T179">
        <v>143.1</v>
      </c>
      <c r="U179">
        <v>142</v>
      </c>
      <c r="V179">
        <v>136.5</v>
      </c>
      <c r="W179">
        <v>135.6</v>
      </c>
      <c r="X179">
        <v>134.30000000000001</v>
      </c>
      <c r="Y179">
        <v>121</v>
      </c>
      <c r="Z179">
        <v>130.4</v>
      </c>
      <c r="AA179">
        <v>139.80000000000001</v>
      </c>
      <c r="AB179">
        <v>128.19999999999999</v>
      </c>
      <c r="AC179">
        <v>130.30000000000001</v>
      </c>
      <c r="AD179">
        <v>136.5</v>
      </c>
      <c r="AE179">
        <v>136.59285714285713</v>
      </c>
      <c r="AF179">
        <v>141.20000000000002</v>
      </c>
      <c r="AG179">
        <v>138.80000000000001</v>
      </c>
      <c r="AH179" s="2">
        <f>All_India_Index_Upto_April23__1[[#This Row],[House]]/All_India_Index_Upto_April23__1[[#This Row],[TOTAL BROADER CATEGORIES]]</f>
        <v>0.10380730048666352</v>
      </c>
      <c r="AI179" s="2">
        <f>All_India_Index_Upto_April23__1[[#This Row],[Cloth]]/All_India_Index_Upto_April23__1[[#This Row],[TOTAL BROADER CATEGORIES]]</f>
        <v>0.10560223939997759</v>
      </c>
      <c r="AJ179" s="2">
        <f>All_India_Index_Upto_April23__1[[#This Row],[Food]]/All_India_Index_Upto_April23__1[[#This Row],[TOTAL BROADER CATEGORIES]]</f>
        <v>0.10215659773602646</v>
      </c>
      <c r="AK179" s="2">
        <f>All_India_Index_Upto_April23__1[[#This Row],[Miscellaneous]]/All_India_Index_Upto_April23__1[[#This Row],[TOTAL BROADER CATEGORIES]]</f>
        <v>9.7450225168676199E-2</v>
      </c>
      <c r="AL179" s="2">
        <f>All_India_Index_Upto_April23__1[[#This Row],[Personal care and effects]]/All_India_Index_Upto_April23__1[[#This Row],[TOTAL BROADER CATEGORIES]]</f>
        <v>9.5879653619526384E-2</v>
      </c>
      <c r="AM179" s="2">
        <f>All_India_Index_Upto_April23__1[[#This Row],[Education]]/All_India_Index_Upto_April23__1[[#This Row],[TOTAL BROADER CATEGORIES]]</f>
        <v>0.10455519170054438</v>
      </c>
      <c r="AN179" s="2">
        <f>All_India_Index_Upto_April23__1[[#This Row],[Recreation and amusement]]/All_India_Index_Upto_April23__1[[#This Row],[TOTAL BROADER CATEGORIES]]</f>
        <v>9.7525014290064285E-2</v>
      </c>
      <c r="AO179" s="2">
        <f>All_India_Index_Upto_April23__1[[#This Row],[Transport and communication]]/All_India_Index_Upto_April23__1[[#This Row],[TOTAL BROADER CATEGORIES]]</f>
        <v>9.0494836879584192E-2</v>
      </c>
      <c r="AP179" s="2">
        <f>All_India_Index_Upto_April23__1[[#This Row],[Health]]/All_India_Index_Upto_April23__1[[#This Row],[TOTAL BROADER CATEGORIES]]</f>
        <v>0.10044179002419965</v>
      </c>
      <c r="AQ179" s="2">
        <f>All_India_Index_Upto_April23__1[[#This Row],[Fuel and light]]/All_India_Index_Upto_April23__1[[#This Row],[TOTAL BROADER CATEGORIES]]</f>
        <v>0.10208715069473753</v>
      </c>
      <c r="AR179">
        <f>MONTH(1 &amp; All_India_Index_Upto_April23__1[[#This Row],[Month]])</f>
        <v>3</v>
      </c>
      <c r="AS179" s="19" t="str">
        <f>All_India_Index_Upto_April23__1[[#This Row],[MONTH IN NUM]]&amp;"/"&amp;All_India_Index_Upto_April23__1[[#This Row],[Year]]</f>
        <v>3/2018</v>
      </c>
      <c r="AT17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139.64285714285714</v>
      </c>
      <c r="AU17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1337.0928571428569</v>
      </c>
    </row>
    <row r="180" spans="1:47" x14ac:dyDescent="0.3">
      <c r="A180" t="s">
        <v>32</v>
      </c>
      <c r="B180">
        <v>2018</v>
      </c>
      <c r="C180" t="s">
        <v>35</v>
      </c>
      <c r="D180">
        <v>135</v>
      </c>
      <c r="E180">
        <v>143.1</v>
      </c>
      <c r="F180">
        <v>135.5</v>
      </c>
      <c r="G180">
        <v>139.9</v>
      </c>
      <c r="H180">
        <v>116.5</v>
      </c>
      <c r="I180">
        <v>138.5</v>
      </c>
      <c r="J180">
        <v>128</v>
      </c>
      <c r="K180">
        <v>115.5</v>
      </c>
      <c r="L180">
        <v>114.2</v>
      </c>
      <c r="M180">
        <v>140.69999999999999</v>
      </c>
      <c r="N180">
        <v>126.2</v>
      </c>
      <c r="O180">
        <v>147.6</v>
      </c>
      <c r="P180">
        <v>134.80000000000001</v>
      </c>
      <c r="Q180">
        <v>159.69999999999999</v>
      </c>
      <c r="R180">
        <v>136.69999999999999</v>
      </c>
      <c r="S180">
        <v>126.7</v>
      </c>
      <c r="T180">
        <v>135.19999999999999</v>
      </c>
      <c r="U180">
        <v>142</v>
      </c>
      <c r="V180">
        <v>126.4</v>
      </c>
      <c r="W180">
        <v>130.80000000000001</v>
      </c>
      <c r="X180">
        <v>130.5</v>
      </c>
      <c r="Y180">
        <v>117.8</v>
      </c>
      <c r="Z180">
        <v>126.8</v>
      </c>
      <c r="AA180">
        <v>137.80000000000001</v>
      </c>
      <c r="AB180">
        <v>126.7</v>
      </c>
      <c r="AC180">
        <v>127.1</v>
      </c>
      <c r="AD180">
        <v>134</v>
      </c>
      <c r="AE180">
        <v>133.94285714285715</v>
      </c>
      <c r="AF180">
        <v>132.86666666666665</v>
      </c>
      <c r="AG180">
        <v>136.4</v>
      </c>
      <c r="AH180" s="2">
        <f>All_India_Index_Upto_April23__1[[#This Row],[House]]/All_India_Index_Upto_April23__1[[#This Row],[TOTAL BROADER CATEGORIES]]</f>
        <v>0.10522178345118928</v>
      </c>
      <c r="AI180" s="2">
        <f>All_India_Index_Upto_April23__1[[#This Row],[Cloth]]/All_India_Index_Upto_April23__1[[#This Row],[TOTAL BROADER CATEGORIES]]</f>
        <v>0.10249609697860224</v>
      </c>
      <c r="AJ180" s="2">
        <f>All_India_Index_Upto_April23__1[[#This Row],[Food]]/All_India_Index_Upto_April23__1[[#This Row],[TOTAL BROADER CATEGORIES]]</f>
        <v>0.10332629258885113</v>
      </c>
      <c r="AK180" s="2">
        <f>All_India_Index_Upto_April23__1[[#This Row],[Miscellaneous]]/All_India_Index_Upto_April23__1[[#This Row],[TOTAL BROADER CATEGORIES]]</f>
        <v>9.8047570943153639E-2</v>
      </c>
      <c r="AL180" s="2">
        <f>All_India_Index_Upto_April23__1[[#This Row],[Personal care and effects]]/All_India_Index_Upto_April23__1[[#This Row],[TOTAL BROADER CATEGORIES]]</f>
        <v>9.7739002663238123E-2</v>
      </c>
      <c r="AM180" s="2">
        <f>All_India_Index_Upto_April23__1[[#This Row],[Education]]/All_India_Index_Upto_April23__1[[#This Row],[TOTAL BROADER CATEGORIES]]</f>
        <v>0.10630177243089357</v>
      </c>
      <c r="AN180" s="2">
        <f>All_India_Index_Upto_April23__1[[#This Row],[Recreation and amusement]]/All_India_Index_Upto_April23__1[[#This Row],[TOTAL BROADER CATEGORIES]]</f>
        <v>9.7816144733217009E-2</v>
      </c>
      <c r="AO180" s="2">
        <f>All_India_Index_Upto_April23__1[[#This Row],[Transport and communication]]/All_India_Index_Upto_April23__1[[#This Row],[TOTAL BROADER CATEGORIES]]</f>
        <v>9.0873358435117998E-2</v>
      </c>
      <c r="AP180" s="2">
        <f>All_India_Index_Upto_April23__1[[#This Row],[Health]]/All_India_Index_Upto_April23__1[[#This Row],[TOTAL BROADER CATEGORIES]]</f>
        <v>0.10067040132243549</v>
      </c>
      <c r="AQ180" s="2">
        <f>All_India_Index_Upto_April23__1[[#This Row],[Fuel and light]]/All_India_Index_Upto_April23__1[[#This Row],[TOTAL BROADER CATEGORIES]]</f>
        <v>9.7507576453301492E-2</v>
      </c>
      <c r="AR180">
        <f>MONTH(1 &amp; All_India_Index_Upto_April23__1[[#This Row],[Month]])</f>
        <v>3</v>
      </c>
      <c r="AS180" s="19" t="str">
        <f>All_India_Index_Upto_April23__1[[#This Row],[MONTH IN NUM]]&amp;"/"&amp;All_India_Index_Upto_April23__1[[#This Row],[Year]]</f>
        <v>3/2018</v>
      </c>
      <c r="AT18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133.65714285714287</v>
      </c>
      <c r="AU18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1296.3095238095239</v>
      </c>
    </row>
    <row r="181" spans="1:47" x14ac:dyDescent="0.3">
      <c r="A181" t="s">
        <v>30</v>
      </c>
      <c r="B181">
        <v>2018</v>
      </c>
      <c r="C181" t="s">
        <v>35</v>
      </c>
      <c r="D181">
        <v>136.80000000000001</v>
      </c>
      <c r="E181">
        <v>143.80000000000001</v>
      </c>
      <c r="F181">
        <v>140</v>
      </c>
      <c r="G181">
        <v>142</v>
      </c>
      <c r="H181">
        <v>123.2</v>
      </c>
      <c r="I181">
        <v>152.9</v>
      </c>
      <c r="J181">
        <v>138</v>
      </c>
      <c r="K181">
        <v>129.30000000000001</v>
      </c>
      <c r="L181">
        <v>117.1</v>
      </c>
      <c r="M181">
        <v>136.30000000000001</v>
      </c>
      <c r="N181">
        <v>131.19999999999999</v>
      </c>
      <c r="O181">
        <v>152.80000000000001</v>
      </c>
      <c r="P181">
        <v>138.6</v>
      </c>
      <c r="Q181">
        <v>155.1</v>
      </c>
      <c r="R181">
        <v>149.19999999999999</v>
      </c>
      <c r="S181">
        <v>143</v>
      </c>
      <c r="T181">
        <v>148.30000000000001</v>
      </c>
      <c r="U181">
        <v>140.85</v>
      </c>
      <c r="V181">
        <v>142.6</v>
      </c>
      <c r="W181">
        <v>139.9</v>
      </c>
      <c r="X181">
        <v>136.69999999999999</v>
      </c>
      <c r="Y181">
        <v>124.6</v>
      </c>
      <c r="Z181">
        <v>135.1</v>
      </c>
      <c r="AA181">
        <v>142.69999999999999</v>
      </c>
      <c r="AB181">
        <v>129.30000000000001</v>
      </c>
      <c r="AC181">
        <v>133.30000000000001</v>
      </c>
      <c r="AD181">
        <v>138.69999999999999</v>
      </c>
      <c r="AE181">
        <v>138.3642857142857</v>
      </c>
      <c r="AF181">
        <v>146.83333333333334</v>
      </c>
      <c r="AG181">
        <v>140.375</v>
      </c>
      <c r="AH181" s="2">
        <f>All_India_Index_Upto_April23__1[[#This Row],[House]]/All_India_Index_Upto_April23__1[[#This Row],[TOTAL BROADER CATEGORIES]]</f>
        <v>0.10247303146886268</v>
      </c>
      <c r="AI181" s="2">
        <f>All_India_Index_Upto_April23__1[[#This Row],[Cloth]]/All_India_Index_Upto_April23__1[[#This Row],[TOTAL BROADER CATEGORIES]]</f>
        <v>0.10718758174421848</v>
      </c>
      <c r="AJ181" s="2">
        <f>All_India_Index_Upto_April23__1[[#This Row],[Food]]/All_India_Index_Upto_April23__1[[#This Row],[TOTAL BROADER CATEGORIES]]</f>
        <v>0.10100522033244314</v>
      </c>
      <c r="AK181" s="2">
        <f>All_India_Index_Upto_April23__1[[#This Row],[Miscellaneous]]/All_India_Index_Upto_April23__1[[#This Row],[TOTAL BROADER CATEGORIES]]</f>
        <v>9.7308317683343873E-2</v>
      </c>
      <c r="AL181" s="2">
        <f>All_India_Index_Upto_April23__1[[#This Row],[Personal care and effects]]/All_India_Index_Upto_April23__1[[#This Row],[TOTAL BROADER CATEGORIES]]</f>
        <v>9.4388338157962201E-2</v>
      </c>
      <c r="AM181" s="2">
        <f>All_India_Index_Upto_April23__1[[#This Row],[Education]]/All_India_Index_Upto_April23__1[[#This Row],[TOTAL BROADER CATEGORIES]]</f>
        <v>0.10417026956799076</v>
      </c>
      <c r="AN181" s="2">
        <f>All_India_Index_Upto_April23__1[[#This Row],[Recreation and amusement]]/All_India_Index_Upto_April23__1[[#This Row],[TOTAL BROADER CATEGORIES]]</f>
        <v>9.8622308469765607E-2</v>
      </c>
      <c r="AO181" s="2">
        <f>All_India_Index_Upto_April23__1[[#This Row],[Transport and communication]]/All_India_Index_Upto_April23__1[[#This Row],[TOTAL BROADER CATEGORIES]]</f>
        <v>9.0957362215638743E-2</v>
      </c>
      <c r="AP181" s="2">
        <f>All_India_Index_Upto_April23__1[[#This Row],[Health]]/All_India_Index_Upto_April23__1[[#This Row],[TOTAL BROADER CATEGORIES]]</f>
        <v>9.9790300279918268E-2</v>
      </c>
      <c r="AQ181" s="2">
        <f>All_India_Index_Upto_April23__1[[#This Row],[Fuel and light]]/All_India_Index_Upto_April23__1[[#This Row],[TOTAL BROADER CATEGORIES]]</f>
        <v>0.10409727007985622</v>
      </c>
      <c r="AR181">
        <f>MONTH(1 &amp; All_India_Index_Upto_April23__1[[#This Row],[Month]])</f>
        <v>3</v>
      </c>
      <c r="AS181" s="19" t="str">
        <f>All_India_Index_Upto_April23__1[[#This Row],[MONTH IN NUM]]&amp;"/"&amp;All_India_Index_Upto_April23__1[[#This Row],[Year]]</f>
        <v>3/2018</v>
      </c>
      <c r="AT18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143.79285714285717</v>
      </c>
      <c r="AU18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1369.8726190476191</v>
      </c>
    </row>
    <row r="182" spans="1:47" x14ac:dyDescent="0.3">
      <c r="A182" t="s">
        <v>33</v>
      </c>
      <c r="B182">
        <v>2018</v>
      </c>
      <c r="C182" t="s">
        <v>34</v>
      </c>
      <c r="D182">
        <v>135.9</v>
      </c>
      <c r="E182">
        <v>143.5</v>
      </c>
      <c r="F182">
        <v>140.30000000000001</v>
      </c>
      <c r="G182">
        <v>140.9</v>
      </c>
      <c r="H182">
        <v>120.4</v>
      </c>
      <c r="I182">
        <v>142.9</v>
      </c>
      <c r="J182">
        <v>140.5</v>
      </c>
      <c r="K182">
        <v>125.8</v>
      </c>
      <c r="L182">
        <v>117.1</v>
      </c>
      <c r="M182">
        <v>137.30000000000001</v>
      </c>
      <c r="N182">
        <v>128.6</v>
      </c>
      <c r="O182">
        <v>149.6</v>
      </c>
      <c r="P182">
        <v>137.6</v>
      </c>
      <c r="Q182">
        <v>154.9</v>
      </c>
      <c r="R182">
        <v>143.80000000000001</v>
      </c>
      <c r="S182">
        <v>135.6</v>
      </c>
      <c r="T182">
        <v>142.6</v>
      </c>
      <c r="U182">
        <v>141.30000000000001</v>
      </c>
      <c r="V182">
        <v>136.69999999999999</v>
      </c>
      <c r="W182">
        <v>135.19999999999999</v>
      </c>
      <c r="X182">
        <v>133.80000000000001</v>
      </c>
      <c r="Y182">
        <v>120.2</v>
      </c>
      <c r="Z182">
        <v>129.9</v>
      </c>
      <c r="AA182">
        <v>139</v>
      </c>
      <c r="AB182">
        <v>127.7</v>
      </c>
      <c r="AC182">
        <v>129.6</v>
      </c>
      <c r="AD182">
        <v>136.4</v>
      </c>
      <c r="AE182">
        <v>136.80714285714285</v>
      </c>
      <c r="AF182">
        <v>140.66666666666666</v>
      </c>
      <c r="AG182">
        <v>138.25</v>
      </c>
      <c r="AH182" s="2">
        <f>All_India_Index_Upto_April23__1[[#This Row],[House]]/All_India_Index_Upto_April23__1[[#This Row],[TOTAL BROADER CATEGORIES]]</f>
        <v>0.10374270593994661</v>
      </c>
      <c r="AI182" s="2">
        <f>All_India_Index_Upto_April23__1[[#This Row],[Cloth]]/All_India_Index_Upto_April23__1[[#This Row],[TOTAL BROADER CATEGORIES]]</f>
        <v>0.10555617096240498</v>
      </c>
      <c r="AJ182" s="2">
        <f>All_India_Index_Upto_April23__1[[#This Row],[Food]]/All_India_Index_Upto_April23__1[[#This Row],[TOTAL BROADER CATEGORIES]]</f>
        <v>0.10265998692161185</v>
      </c>
      <c r="AK182" s="2">
        <f>All_India_Index_Upto_April23__1[[#This Row],[Miscellaneous]]/All_India_Index_Upto_April23__1[[#This Row],[TOTAL BROADER CATEGORIES]]</f>
        <v>9.7251751825078336E-2</v>
      </c>
      <c r="AL182" s="2">
        <f>All_India_Index_Upto_April23__1[[#This Row],[Personal care and effects]]/All_India_Index_Upto_April23__1[[#This Row],[TOTAL BROADER CATEGORIES]]</f>
        <v>9.5825993117766239E-2</v>
      </c>
      <c r="AM182" s="2">
        <f>All_India_Index_Upto_April23__1[[#This Row],[Education]]/All_India_Index_Upto_April23__1[[#This Row],[TOTAL BROADER CATEGORIES]]</f>
        <v>0.10430550542967508</v>
      </c>
      <c r="AN182" s="2">
        <f>All_India_Index_Upto_April23__1[[#This Row],[Recreation and amusement]]/All_India_Index_Upto_April23__1[[#This Row],[TOTAL BROADER CATEGORIES]]</f>
        <v>9.7476871620969727E-2</v>
      </c>
      <c r="AO182" s="2">
        <f>All_India_Index_Upto_April23__1[[#This Row],[Transport and communication]]/All_India_Index_Upto_April23__1[[#This Row],[TOTAL BROADER CATEGORIES]]</f>
        <v>9.0197998220481621E-2</v>
      </c>
      <c r="AP182" s="2">
        <f>All_India_Index_Upto_April23__1[[#This Row],[Health]]/All_India_Index_Upto_April23__1[[#This Row],[TOTAL BROADER CATEGORIES]]</f>
        <v>0.10040342896755775</v>
      </c>
      <c r="AQ182" s="2">
        <f>All_India_Index_Upto_April23__1[[#This Row],[Fuel and light]]/All_India_Index_Upto_April23__1[[#This Row],[TOTAL BROADER CATEGORIES]]</f>
        <v>0.10257958699450778</v>
      </c>
      <c r="AR182">
        <f>MONTH(1 &amp; All_India_Index_Upto_April23__1[[#This Row],[Month]])</f>
        <v>2</v>
      </c>
      <c r="AS182" s="19" t="str">
        <f>All_India_Index_Upto_April23__1[[#This Row],[MONTH IN NUM]]&amp;"/"&amp;All_India_Index_Upto_April23__1[[#This Row],[Year]]</f>
        <v>2/2018</v>
      </c>
      <c r="AT18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139.17142857142858</v>
      </c>
      <c r="AU18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1332.6238095238095</v>
      </c>
    </row>
    <row r="183" spans="1:47" x14ac:dyDescent="0.3">
      <c r="A183" t="s">
        <v>32</v>
      </c>
      <c r="B183">
        <v>2018</v>
      </c>
      <c r="C183" t="s">
        <v>34</v>
      </c>
      <c r="D183">
        <v>134.80000000000001</v>
      </c>
      <c r="E183">
        <v>143</v>
      </c>
      <c r="F183">
        <v>139.9</v>
      </c>
      <c r="G183">
        <v>139.9</v>
      </c>
      <c r="H183">
        <v>116.2</v>
      </c>
      <c r="I183">
        <v>135.5</v>
      </c>
      <c r="J183">
        <v>136.9</v>
      </c>
      <c r="K183">
        <v>117</v>
      </c>
      <c r="L183">
        <v>115.4</v>
      </c>
      <c r="M183">
        <v>140.69999999999999</v>
      </c>
      <c r="N183">
        <v>125.9</v>
      </c>
      <c r="O183">
        <v>147.1</v>
      </c>
      <c r="P183">
        <v>135.6</v>
      </c>
      <c r="Q183">
        <v>159.30000000000001</v>
      </c>
      <c r="R183">
        <v>136.30000000000001</v>
      </c>
      <c r="S183">
        <v>126.1</v>
      </c>
      <c r="T183">
        <v>134.69999999999999</v>
      </c>
      <c r="U183">
        <v>141.30000000000001</v>
      </c>
      <c r="V183">
        <v>127.3</v>
      </c>
      <c r="W183">
        <v>129.9</v>
      </c>
      <c r="X183">
        <v>129.80000000000001</v>
      </c>
      <c r="Y183">
        <v>117.4</v>
      </c>
      <c r="Z183">
        <v>126.5</v>
      </c>
      <c r="AA183">
        <v>137.19999999999999</v>
      </c>
      <c r="AB183">
        <v>126.2</v>
      </c>
      <c r="AC183">
        <v>126.5</v>
      </c>
      <c r="AD183">
        <v>134</v>
      </c>
      <c r="AE183">
        <v>134.80000000000001</v>
      </c>
      <c r="AF183">
        <v>132.36666666666665</v>
      </c>
      <c r="AG183">
        <v>135.60000000000002</v>
      </c>
      <c r="AH183" s="2">
        <f>All_India_Index_Upto_April23__1[[#This Row],[House]]/All_India_Index_Upto_April23__1[[#This Row],[TOTAL BROADER CATEGORIES]]</f>
        <v>0.10481834578716827</v>
      </c>
      <c r="AI183" s="2">
        <f>All_India_Index_Upto_April23__1[[#This Row],[Cloth]]/All_India_Index_Upto_April23__1[[#This Row],[TOTAL BROADER CATEGORIES]]</f>
        <v>0.10231898995104352</v>
      </c>
      <c r="AJ183" s="2">
        <f>All_India_Index_Upto_April23__1[[#This Row],[Food]]/All_India_Index_Upto_April23__1[[#This Row],[TOTAL BROADER CATEGORIES]]</f>
        <v>0.10419994846688999</v>
      </c>
      <c r="AK183" s="2">
        <f>All_India_Index_Upto_April23__1[[#This Row],[Miscellaneous]]/All_India_Index_Upto_April23__1[[#This Row],[TOTAL BROADER CATEGORIES]]</f>
        <v>9.7784076269002831E-2</v>
      </c>
      <c r="AL183" s="2">
        <f>All_India_Index_Upto_April23__1[[#This Row],[Personal care and effects]]/All_India_Index_Upto_April23__1[[#This Row],[TOTAL BROADER CATEGORIES]]</f>
        <v>9.7552177273898477E-2</v>
      </c>
      <c r="AM183" s="2">
        <f>All_India_Index_Upto_April23__1[[#This Row],[Education]]/All_India_Index_Upto_April23__1[[#This Row],[TOTAL BROADER CATEGORIES]]</f>
        <v>0.10605514042772479</v>
      </c>
      <c r="AN183" s="2">
        <f>All_India_Index_Upto_April23__1[[#This Row],[Recreation and amusement]]/All_India_Index_Upto_April23__1[[#This Row],[TOTAL BROADER CATEGORIES]]</f>
        <v>9.7784076269002831E-2</v>
      </c>
      <c r="AO183" s="2">
        <f>All_India_Index_Upto_April23__1[[#This Row],[Transport and communication]]/All_India_Index_Upto_April23__1[[#This Row],[TOTAL BROADER CATEGORIES]]</f>
        <v>9.0749806750837408E-2</v>
      </c>
      <c r="AP183" s="2">
        <f>All_India_Index_Upto_April23__1[[#This Row],[Health]]/All_India_Index_Upto_April23__1[[#This Row],[TOTAL BROADER CATEGORIES]]</f>
        <v>0.10033496521515074</v>
      </c>
      <c r="AQ183" s="2">
        <f>All_India_Index_Upto_April23__1[[#This Row],[Fuel and light]]/All_India_Index_Upto_April23__1[[#This Row],[TOTAL BROADER CATEGORIES]]</f>
        <v>9.84024735892811E-2</v>
      </c>
      <c r="AR183">
        <f>MONTH(1 &amp; All_India_Index_Upto_April23__1[[#This Row],[Month]])</f>
        <v>2</v>
      </c>
      <c r="AS183" s="19" t="str">
        <f>All_India_Index_Upto_April23__1[[#This Row],[MONTH IN NUM]]&amp;"/"&amp;All_India_Index_Upto_April23__1[[#This Row],[Year]]</f>
        <v>2/2018</v>
      </c>
      <c r="AT18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133.2571428571429</v>
      </c>
      <c r="AU18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1293.6666666666667</v>
      </c>
    </row>
    <row r="184" spans="1:47" x14ac:dyDescent="0.3">
      <c r="A184" t="s">
        <v>30</v>
      </c>
      <c r="B184">
        <v>2018</v>
      </c>
      <c r="C184" t="s">
        <v>34</v>
      </c>
      <c r="D184">
        <v>136.4</v>
      </c>
      <c r="E184">
        <v>143.69999999999999</v>
      </c>
      <c r="F184">
        <v>140.6</v>
      </c>
      <c r="G184">
        <v>141.5</v>
      </c>
      <c r="H184">
        <v>122.9</v>
      </c>
      <c r="I184">
        <v>149.4</v>
      </c>
      <c r="J184">
        <v>142.4</v>
      </c>
      <c r="K184">
        <v>130.19999999999999</v>
      </c>
      <c r="L184">
        <v>117.9</v>
      </c>
      <c r="M184">
        <v>135.6</v>
      </c>
      <c r="N184">
        <v>130.5</v>
      </c>
      <c r="O184">
        <v>151.69999999999999</v>
      </c>
      <c r="P184">
        <v>138.69999999999999</v>
      </c>
      <c r="Q184">
        <v>153.30000000000001</v>
      </c>
      <c r="R184">
        <v>148.69999999999999</v>
      </c>
      <c r="S184">
        <v>142.4</v>
      </c>
      <c r="T184">
        <v>147.80000000000001</v>
      </c>
      <c r="U184">
        <v>140.85</v>
      </c>
      <c r="V184">
        <v>142.4</v>
      </c>
      <c r="W184">
        <v>139.9</v>
      </c>
      <c r="X184">
        <v>136.19999999999999</v>
      </c>
      <c r="Y184">
        <v>123.3</v>
      </c>
      <c r="Z184">
        <v>134.30000000000001</v>
      </c>
      <c r="AA184">
        <v>141.5</v>
      </c>
      <c r="AB184">
        <v>128.80000000000001</v>
      </c>
      <c r="AC184">
        <v>132.5</v>
      </c>
      <c r="AD184">
        <v>138.5</v>
      </c>
      <c r="AE184">
        <v>138.19999999999999</v>
      </c>
      <c r="AF184">
        <v>146.30000000000001</v>
      </c>
      <c r="AG184">
        <v>140.375</v>
      </c>
      <c r="AH184" s="2">
        <f>All_India_Index_Upto_April23__1[[#This Row],[House]]/All_India_Index_Upto_April23__1[[#This Row],[TOTAL BROADER CATEGORIES]]</f>
        <v>0.10292365502703693</v>
      </c>
      <c r="AI184" s="2">
        <f>All_India_Index_Upto_April23__1[[#This Row],[Cloth]]/All_India_Index_Upto_April23__1[[#This Row],[TOTAL BROADER CATEGORIES]]</f>
        <v>0.10726789478507928</v>
      </c>
      <c r="AJ184" s="2">
        <f>All_India_Index_Upto_April23__1[[#This Row],[Food]]/All_India_Index_Upto_April23__1[[#This Row],[TOTAL BROADER CATEGORIES]]</f>
        <v>0.1013289341031986</v>
      </c>
      <c r="AK184" s="2">
        <f>All_India_Index_Upto_April23__1[[#This Row],[Miscellaneous]]/All_India_Index_Upto_April23__1[[#This Row],[TOTAL BROADER CATEGORIES]]</f>
        <v>9.7149665475208508E-2</v>
      </c>
      <c r="AL184" s="2">
        <f>All_India_Index_Upto_April23__1[[#This Row],[Personal care and effects]]/All_India_Index_Upto_April23__1[[#This Row],[TOTAL BROADER CATEGORIES]]</f>
        <v>9.4436806892127217E-2</v>
      </c>
      <c r="AM184" s="2">
        <f>All_India_Index_Upto_April23__1[[#This Row],[Education]]/All_India_Index_Upto_April23__1[[#This Row],[TOTAL BROADER CATEGORIES]]</f>
        <v>0.10374851067729814</v>
      </c>
      <c r="AN184" s="2">
        <f>All_India_Index_Upto_April23__1[[#This Row],[Recreation and amusement]]/All_India_Index_Upto_April23__1[[#This Row],[TOTAL BROADER CATEGORIES]]</f>
        <v>9.8469434515626439E-2</v>
      </c>
      <c r="AO184" s="2">
        <f>All_India_Index_Upto_April23__1[[#This Row],[Transport and communication]]/All_India_Index_Upto_April23__1[[#This Row],[TOTAL BROADER CATEGORIES]]</f>
        <v>9.0404179268627982E-2</v>
      </c>
      <c r="AP184" s="2">
        <f>All_India_Index_Upto_April23__1[[#This Row],[Health]]/All_India_Index_Upto_April23__1[[#This Row],[TOTAL BROADER CATEGORIES]]</f>
        <v>9.9862524058289798E-2</v>
      </c>
      <c r="AQ184" s="2">
        <f>All_India_Index_Upto_April23__1[[#This Row],[Fuel and light]]/All_India_Index_Upto_April23__1[[#This Row],[TOTAL BROADER CATEGORIES]]</f>
        <v>0.10440839519750711</v>
      </c>
      <c r="AR184">
        <f>MONTH(1 &amp; All_India_Index_Upto_April23__1[[#This Row],[Month]])</f>
        <v>2</v>
      </c>
      <c r="AS184" s="19" t="str">
        <f>All_India_Index_Upto_April23__1[[#This Row],[MONTH IN NUM]]&amp;"/"&amp;All_India_Index_Upto_April23__1[[#This Row],[Year]]</f>
        <v>2/2018</v>
      </c>
      <c r="AT18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143.3642857142857</v>
      </c>
      <c r="AU18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1363.875</v>
      </c>
    </row>
    <row r="185" spans="1:47" x14ac:dyDescent="0.3">
      <c r="A185" t="s">
        <v>33</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v>136.6</v>
      </c>
      <c r="W185">
        <v>134.9</v>
      </c>
      <c r="X185">
        <v>133.30000000000001</v>
      </c>
      <c r="Y185">
        <v>119.3</v>
      </c>
      <c r="Z185">
        <v>129.69999999999999</v>
      </c>
      <c r="AA185">
        <v>139</v>
      </c>
      <c r="AB185">
        <v>127.3</v>
      </c>
      <c r="AC185">
        <v>129.1</v>
      </c>
      <c r="AD185">
        <v>136.9</v>
      </c>
      <c r="AE185">
        <v>138.18571428571428</v>
      </c>
      <c r="AF185">
        <v>140.43333333333334</v>
      </c>
      <c r="AG185">
        <v>137.65</v>
      </c>
      <c r="AH185" s="2">
        <f>All_India_Index_Upto_April23__1[[#This Row],[House]]/All_India_Index_Upto_April23__1[[#This Row],[TOTAL BROADER CATEGORIES]]</f>
        <v>0.10345197811892157</v>
      </c>
      <c r="AI185" s="2">
        <f>All_India_Index_Upto_April23__1[[#This Row],[Cloth]]/All_India_Index_Upto_April23__1[[#This Row],[TOTAL BROADER CATEGORIES]]</f>
        <v>0.10554381494491259</v>
      </c>
      <c r="AJ185" s="2">
        <f>All_India_Index_Upto_April23__1[[#This Row],[Food]]/All_India_Index_Upto_April23__1[[#This Row],[TOTAL BROADER CATEGORIES]]</f>
        <v>0.1038545985516401</v>
      </c>
      <c r="AK185" s="2">
        <f>All_India_Index_Upto_April23__1[[#This Row],[Miscellaneous]]/All_India_Index_Upto_April23__1[[#This Row],[TOTAL BROADER CATEGORIES]]</f>
        <v>9.7026156012733539E-2</v>
      </c>
      <c r="AL185" s="2">
        <f>All_India_Index_Upto_April23__1[[#This Row],[Personal care and effects]]/All_India_Index_Upto_April23__1[[#This Row],[TOTAL BROADER CATEGORIES]]</f>
        <v>9.567335135879923E-2</v>
      </c>
      <c r="AM185" s="2">
        <f>All_India_Index_Upto_April23__1[[#This Row],[Education]]/All_India_Index_Upto_April23__1[[#This Row],[TOTAL BROADER CATEGORIES]]</f>
        <v>0.10446658160937229</v>
      </c>
      <c r="AN185" s="2">
        <f>All_India_Index_Upto_April23__1[[#This Row],[Recreation and amusement]]/All_India_Index_Upto_April23__1[[#This Row],[TOTAL BROADER CATEGORIES]]</f>
        <v>9.7477090897378313E-2</v>
      </c>
      <c r="AO185" s="2">
        <f>All_India_Index_Upto_April23__1[[#This Row],[Transport and communication]]/All_India_Index_Upto_April23__1[[#This Row],[TOTAL BROADER CATEGORIES]]</f>
        <v>8.9660886230202269E-2</v>
      </c>
      <c r="AP185" s="2">
        <f>All_India_Index_Upto_April23__1[[#This Row],[Health]]/All_India_Index_Upto_April23__1[[#This Row],[TOTAL BROADER CATEGORIES]]</f>
        <v>0.10018270020524697</v>
      </c>
      <c r="AQ185" s="2">
        <f>All_India_Index_Upto_April23__1[[#This Row],[Fuel and light]]/All_India_Index_Upto_April23__1[[#This Row],[TOTAL BROADER CATEGORIES]]</f>
        <v>0.10266284207079319</v>
      </c>
      <c r="AR185">
        <f>MONTH(1 &amp; All_India_Index_Upto_April23__1[[#This Row],[Month]])</f>
        <v>1</v>
      </c>
      <c r="AS185" s="19" t="str">
        <f>All_India_Index_Upto_April23__1[[#This Row],[MONTH IN NUM]]&amp;"/"&amp;All_India_Index_Upto_April23__1[[#This Row],[Year]]</f>
        <v>1/2018</v>
      </c>
      <c r="AT18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138.8857142857143</v>
      </c>
      <c r="AU18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1330.5690476190475</v>
      </c>
    </row>
    <row r="186" spans="1:47" x14ac:dyDescent="0.3">
      <c r="A186" t="s">
        <v>32</v>
      </c>
      <c r="B186">
        <v>2018</v>
      </c>
      <c r="C186" t="s">
        <v>31</v>
      </c>
      <c r="D186">
        <v>134.6</v>
      </c>
      <c r="E186">
        <v>143.69999999999999</v>
      </c>
      <c r="F186">
        <v>143.6</v>
      </c>
      <c r="G186">
        <v>139.6</v>
      </c>
      <c r="H186">
        <v>116.4</v>
      </c>
      <c r="I186">
        <v>133.80000000000001</v>
      </c>
      <c r="J186">
        <v>150.5</v>
      </c>
      <c r="K186">
        <v>118.4</v>
      </c>
      <c r="L186">
        <v>117.3</v>
      </c>
      <c r="M186">
        <v>140.5</v>
      </c>
      <c r="N186">
        <v>125.9</v>
      </c>
      <c r="O186">
        <v>146.80000000000001</v>
      </c>
      <c r="P186">
        <v>137.19999999999999</v>
      </c>
      <c r="Q186">
        <v>157.69999999999999</v>
      </c>
      <c r="R186">
        <v>136</v>
      </c>
      <c r="S186">
        <v>125.9</v>
      </c>
      <c r="T186">
        <v>134.4</v>
      </c>
      <c r="U186">
        <v>140.4</v>
      </c>
      <c r="V186">
        <v>127.3</v>
      </c>
      <c r="W186">
        <v>129.5</v>
      </c>
      <c r="X186">
        <v>129</v>
      </c>
      <c r="Y186">
        <v>116.3</v>
      </c>
      <c r="Z186">
        <v>126.2</v>
      </c>
      <c r="AA186">
        <v>137.1</v>
      </c>
      <c r="AB186">
        <v>125.5</v>
      </c>
      <c r="AC186">
        <v>125.8</v>
      </c>
      <c r="AD186">
        <v>134.1</v>
      </c>
      <c r="AE186">
        <v>136.14285714285717</v>
      </c>
      <c r="AF186">
        <v>132.1</v>
      </c>
      <c r="AG186">
        <v>134.94999999999999</v>
      </c>
      <c r="AH186" s="2">
        <f>All_India_Index_Upto_April23__1[[#This Row],[House]]/All_India_Index_Upto_April23__1[[#This Row],[TOTAL BROADER CATEGORIES]]</f>
        <v>0.10458055409482162</v>
      </c>
      <c r="AI186" s="2">
        <f>All_India_Index_Upto_April23__1[[#This Row],[Cloth]]/All_India_Index_Upto_April23__1[[#This Row],[TOTAL BROADER CATEGORIES]]</f>
        <v>0.10237192438626111</v>
      </c>
      <c r="AJ186" s="2">
        <f>All_India_Index_Upto_April23__1[[#This Row],[Food]]/All_India_Index_Upto_April23__1[[#This Row],[TOTAL BROADER CATEGORIES]]</f>
        <v>0.10550496803299109</v>
      </c>
      <c r="AK186" s="2">
        <f>All_India_Index_Upto_April23__1[[#This Row],[Miscellaneous]]/All_India_Index_Upto_April23__1[[#This Row],[TOTAL BROADER CATEGORIES]]</f>
        <v>9.7489690293653647E-2</v>
      </c>
      <c r="AL186" s="2">
        <f>All_India_Index_Upto_April23__1[[#This Row],[Personal care and effects]]/All_India_Index_Upto_April23__1[[#This Row],[TOTAL BROADER CATEGORIES]]</f>
        <v>9.7257202955910435E-2</v>
      </c>
      <c r="AM186" s="2">
        <f>All_India_Index_Upto_April23__1[[#This Row],[Education]]/All_India_Index_Upto_April23__1[[#This Row],[TOTAL BROADER CATEGORIES]]</f>
        <v>0.10624671334864798</v>
      </c>
      <c r="AN186" s="2">
        <f>All_India_Index_Upto_April23__1[[#This Row],[Recreation and amusement]]/All_India_Index_Upto_April23__1[[#This Row],[TOTAL BROADER CATEGORIES]]</f>
        <v>9.7799673410644605E-2</v>
      </c>
      <c r="AO186" s="2">
        <f>All_India_Index_Upto_April23__1[[#This Row],[Transport and communication]]/All_India_Index_Upto_April23__1[[#This Row],[TOTAL BROADER CATEGORIES]]</f>
        <v>9.0127591265118601E-2</v>
      </c>
      <c r="AP186" s="2">
        <f>All_India_Index_Upto_April23__1[[#This Row],[Health]]/All_India_Index_Upto_April23__1[[#This Row],[TOTAL BROADER CATEGORIES]]</f>
        <v>9.9969555229581245E-2</v>
      </c>
      <c r="AQ186" s="2">
        <f>All_India_Index_Upto_April23__1[[#This Row],[Fuel and light]]/All_India_Index_Upto_April23__1[[#This Row],[TOTAL BROADER CATEGORIES]]</f>
        <v>9.8652126982369706E-2</v>
      </c>
      <c r="AR186">
        <f>MONTH(1 &amp; All_India_Index_Upto_April23__1[[#This Row],[Month]])</f>
        <v>1</v>
      </c>
      <c r="AS186" s="19" t="str">
        <f>All_India_Index_Upto_April23__1[[#This Row],[MONTH IN NUM]]&amp;"/"&amp;All_India_Index_Upto_April23__1[[#This Row],[Year]]</f>
        <v>1/2018</v>
      </c>
      <c r="AT18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132.94285714285715</v>
      </c>
      <c r="AU18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1290.3928571428571</v>
      </c>
    </row>
    <row r="187" spans="1:47" x14ac:dyDescent="0.3">
      <c r="A187" t="s">
        <v>30</v>
      </c>
      <c r="B187">
        <v>2018</v>
      </c>
      <c r="C187" t="s">
        <v>31</v>
      </c>
      <c r="D187">
        <v>136.6</v>
      </c>
      <c r="E187">
        <v>144.4</v>
      </c>
      <c r="F187">
        <v>143.80000000000001</v>
      </c>
      <c r="G187">
        <v>142</v>
      </c>
      <c r="H187">
        <v>123.2</v>
      </c>
      <c r="I187">
        <v>147.9</v>
      </c>
      <c r="J187">
        <v>152.1</v>
      </c>
      <c r="K187">
        <v>131.80000000000001</v>
      </c>
      <c r="L187">
        <v>119.5</v>
      </c>
      <c r="M187">
        <v>136</v>
      </c>
      <c r="N187">
        <v>131.19999999999999</v>
      </c>
      <c r="O187">
        <v>151.80000000000001</v>
      </c>
      <c r="P187">
        <v>140.4</v>
      </c>
      <c r="Q187">
        <v>153.6</v>
      </c>
      <c r="R187">
        <v>148.30000000000001</v>
      </c>
      <c r="S187">
        <v>142.30000000000001</v>
      </c>
      <c r="T187">
        <v>147.5</v>
      </c>
      <c r="U187">
        <v>140.85</v>
      </c>
      <c r="V187">
        <v>142.30000000000001</v>
      </c>
      <c r="W187">
        <v>139.80000000000001</v>
      </c>
      <c r="X187">
        <v>136</v>
      </c>
      <c r="Y187">
        <v>122.7</v>
      </c>
      <c r="Z187">
        <v>134.30000000000001</v>
      </c>
      <c r="AA187">
        <v>141.6</v>
      </c>
      <c r="AB187">
        <v>128.6</v>
      </c>
      <c r="AC187">
        <v>132.30000000000001</v>
      </c>
      <c r="AD187">
        <v>139.30000000000001</v>
      </c>
      <c r="AE187">
        <v>139.59285714285713</v>
      </c>
      <c r="AF187">
        <v>146.03333333333333</v>
      </c>
      <c r="AG187">
        <v>140.32499999999999</v>
      </c>
      <c r="AH187" s="2">
        <f>All_India_Index_Upto_April23__1[[#This Row],[House]]/All_India_Index_Upto_April23__1[[#This Row],[TOTAL BROADER CATEGORIES]]</f>
        <v>0.10289633547524291</v>
      </c>
      <c r="AI187" s="2">
        <f>All_India_Index_Upto_April23__1[[#This Row],[Cloth]]/All_India_Index_Upto_April23__1[[#This Row],[TOTAL BROADER CATEGORIES]]</f>
        <v>0.10708209411889999</v>
      </c>
      <c r="AJ187" s="2">
        <f>All_India_Index_Upto_April23__1[[#This Row],[Food]]/All_India_Index_Upto_April23__1[[#This Row],[TOTAL BROADER CATEGORIES]]</f>
        <v>0.1023594759203213</v>
      </c>
      <c r="AK187" s="2">
        <f>All_India_Index_Upto_April23__1[[#This Row],[Miscellaneous]]/All_India_Index_Upto_April23__1[[#This Row],[TOTAL BROADER CATEGORIES]]</f>
        <v>9.70118309878827E-2</v>
      </c>
      <c r="AL187" s="2">
        <f>All_India_Index_Upto_April23__1[[#This Row],[Personal care and effects]]/All_India_Index_Upto_April23__1[[#This Row],[TOTAL BROADER CATEGORIES]]</f>
        <v>9.4298726115205692E-2</v>
      </c>
      <c r="AM187" s="2">
        <f>All_India_Index_Upto_April23__1[[#This Row],[Education]]/All_India_Index_Upto_April23__1[[#This Row],[TOTAL BROADER CATEGORIES]]</f>
        <v>0.10383125674893566</v>
      </c>
      <c r="AN187" s="2">
        <f>All_India_Index_Upto_April23__1[[#This Row],[Recreation and amusement]]/All_India_Index_Upto_April23__1[[#This Row],[TOTAL BROADER CATEGORIES]]</f>
        <v>9.8478374162302693E-2</v>
      </c>
      <c r="AO187" s="2">
        <f>All_India_Index_Upto_April23__1[[#This Row],[Transport and communication]]/All_India_Index_Upto_April23__1[[#This Row],[TOTAL BROADER CATEGORIES]]</f>
        <v>8.9972423750666719E-2</v>
      </c>
      <c r="AP187" s="2">
        <f>All_India_Index_Upto_April23__1[[#This Row],[Health]]/All_India_Index_Upto_April23__1[[#This Row],[TOTAL BROADER CATEGORIES]]</f>
        <v>9.972493586055968E-2</v>
      </c>
      <c r="AQ187" s="2">
        <f>All_India_Index_Upto_April23__1[[#This Row],[Fuel and light]]/All_India_Index_Upto_April23__1[[#This Row],[TOTAL BROADER CATEGORIES]]</f>
        <v>0.10434454685998268</v>
      </c>
      <c r="AR187">
        <f>MONTH(1 &amp; All_India_Index_Upto_April23__1[[#This Row],[Month]])</f>
        <v>1</v>
      </c>
      <c r="AS187" s="19" t="str">
        <f>All_India_Index_Upto_April23__1[[#This Row],[MONTH IN NUM]]&amp;"/"&amp;All_India_Index_Upto_April23__1[[#This Row],[Year]]</f>
        <v>1/2018</v>
      </c>
      <c r="AT18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143.23571428571427</v>
      </c>
      <c r="AU18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1363.7511904761905</v>
      </c>
    </row>
    <row r="188" spans="1:47" x14ac:dyDescent="0.3">
      <c r="A188" t="s">
        <v>32</v>
      </c>
      <c r="B188">
        <v>2017</v>
      </c>
      <c r="C188" t="s">
        <v>44</v>
      </c>
      <c r="D188">
        <v>134.4</v>
      </c>
      <c r="E188">
        <v>142.6</v>
      </c>
      <c r="F188">
        <v>145.9</v>
      </c>
      <c r="G188">
        <v>139.5</v>
      </c>
      <c r="H188">
        <v>115.9</v>
      </c>
      <c r="I188">
        <v>135</v>
      </c>
      <c r="J188">
        <v>163.19999999999999</v>
      </c>
      <c r="K188">
        <v>119.8</v>
      </c>
      <c r="L188">
        <v>120.7</v>
      </c>
      <c r="M188">
        <v>139.69999999999999</v>
      </c>
      <c r="N188">
        <v>125.7</v>
      </c>
      <c r="O188">
        <v>146.30000000000001</v>
      </c>
      <c r="P188">
        <v>138.80000000000001</v>
      </c>
      <c r="Q188">
        <v>157</v>
      </c>
      <c r="R188">
        <v>135.6</v>
      </c>
      <c r="S188">
        <v>125.6</v>
      </c>
      <c r="T188">
        <v>134</v>
      </c>
      <c r="U188">
        <v>139.1</v>
      </c>
      <c r="V188">
        <v>126.8</v>
      </c>
      <c r="W188">
        <v>129.30000000000001</v>
      </c>
      <c r="X188">
        <v>128.19999999999999</v>
      </c>
      <c r="Y188">
        <v>115.3</v>
      </c>
      <c r="Z188">
        <v>125.6</v>
      </c>
      <c r="AA188">
        <v>136.69999999999999</v>
      </c>
      <c r="AB188">
        <v>124.6</v>
      </c>
      <c r="AC188">
        <v>125.1</v>
      </c>
      <c r="AD188">
        <v>134.1</v>
      </c>
      <c r="AE188">
        <v>137.46428571428572</v>
      </c>
      <c r="AF188">
        <v>131.73333333333332</v>
      </c>
      <c r="AG188">
        <v>134.19999999999999</v>
      </c>
      <c r="AH188" s="2">
        <f>All_India_Index_Upto_April23__1[[#This Row],[House]]/All_India_Index_Upto_April23__1[[#This Row],[TOTAL BROADER CATEGORIES]]</f>
        <v>0.10437913084058495</v>
      </c>
      <c r="AI188" s="2">
        <f>All_India_Index_Upto_April23__1[[#This Row],[Cloth]]/All_India_Index_Upto_April23__1[[#This Row],[TOTAL BROADER CATEGORIES]]</f>
        <v>0.10246058745205955</v>
      </c>
      <c r="AJ188" s="2">
        <f>All_India_Index_Upto_April23__1[[#This Row],[Food]]/All_India_Index_Upto_April23__1[[#This Row],[TOTAL BROADER CATEGORIES]]</f>
        <v>0.10691805264142312</v>
      </c>
      <c r="AK188" s="2">
        <f>All_India_Index_Upto_April23__1[[#This Row],[Miscellaneous]]/All_India_Index_Upto_April23__1[[#This Row],[TOTAL BROADER CATEGORIES]]</f>
        <v>9.7301261312646631E-2</v>
      </c>
      <c r="AL188" s="2">
        <f>All_India_Index_Upto_April23__1[[#This Row],[Personal care and effects]]/All_India_Index_Upto_April23__1[[#This Row],[TOTAL BROADER CATEGORIES]]</f>
        <v>9.6912367382540138E-2</v>
      </c>
      <c r="AM188" s="2">
        <f>All_India_Index_Upto_April23__1[[#This Row],[Education]]/All_India_Index_Upto_April23__1[[#This Row],[TOTAL BROADER CATEGORIES]]</f>
        <v>0.10632360049111746</v>
      </c>
      <c r="AN188" s="2">
        <f>All_India_Index_Upto_April23__1[[#This Row],[Recreation and amusement]]/All_India_Index_Upto_April23__1[[#This Row],[TOTAL BROADER CATEGORIES]]</f>
        <v>9.7690155242753138E-2</v>
      </c>
      <c r="AO188" s="2">
        <f>All_India_Index_Upto_April23__1[[#This Row],[Transport and communication]]/All_India_Index_Upto_April23__1[[#This Row],[TOTAL BROADER CATEGORIES]]</f>
        <v>8.9678940282559211E-2</v>
      </c>
      <c r="AP188" s="2">
        <f>All_India_Index_Upto_April23__1[[#This Row],[Health]]/All_India_Index_Upto_April23__1[[#This Row],[TOTAL BROADER CATEGORIES]]</f>
        <v>9.9712403679306935E-2</v>
      </c>
      <c r="AQ188" s="2">
        <f>All_India_Index_Upto_April23__1[[#This Row],[Fuel and light]]/All_India_Index_Upto_April23__1[[#This Row],[TOTAL BROADER CATEGORIES]]</f>
        <v>9.8623500675008746E-2</v>
      </c>
      <c r="AR188">
        <f>MONTH(1 &amp; All_India_Index_Upto_April23__1[[#This Row],[Month]])</f>
        <v>12</v>
      </c>
      <c r="AS188" s="19" t="str">
        <f>All_India_Index_Upto_April23__1[[#This Row],[MONTH IN NUM]]&amp;"/"&amp;All_India_Index_Upto_April23__1[[#This Row],[Year]]</f>
        <v>12/2017</v>
      </c>
      <c r="AT18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132.44285714285715</v>
      </c>
      <c r="AU18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1285.6976190476191</v>
      </c>
    </row>
    <row r="189" spans="1:47" x14ac:dyDescent="0.3">
      <c r="A189" t="s">
        <v>33</v>
      </c>
      <c r="B189">
        <v>2017</v>
      </c>
      <c r="C189" t="s">
        <v>44</v>
      </c>
      <c r="D189">
        <v>135.80000000000001</v>
      </c>
      <c r="E189">
        <v>143.30000000000001</v>
      </c>
      <c r="F189">
        <v>145.19999999999999</v>
      </c>
      <c r="G189">
        <v>141</v>
      </c>
      <c r="H189">
        <v>120.5</v>
      </c>
      <c r="I189">
        <v>141.5</v>
      </c>
      <c r="J189">
        <v>161.69999999999999</v>
      </c>
      <c r="K189">
        <v>129.1</v>
      </c>
      <c r="L189">
        <v>121.5</v>
      </c>
      <c r="M189">
        <v>137.1</v>
      </c>
      <c r="N189">
        <v>128.80000000000001</v>
      </c>
      <c r="O189">
        <v>149</v>
      </c>
      <c r="P189">
        <v>140.5</v>
      </c>
      <c r="Q189">
        <v>154.19999999999999</v>
      </c>
      <c r="R189">
        <v>143.1</v>
      </c>
      <c r="S189">
        <v>135.1</v>
      </c>
      <c r="T189">
        <v>142</v>
      </c>
      <c r="U189">
        <v>139.1</v>
      </c>
      <c r="V189">
        <v>136.6</v>
      </c>
      <c r="W189">
        <v>134.69999999999999</v>
      </c>
      <c r="X189">
        <v>133.1</v>
      </c>
      <c r="Y189">
        <v>118.5</v>
      </c>
      <c r="Z189">
        <v>129</v>
      </c>
      <c r="AA189">
        <v>138.5</v>
      </c>
      <c r="AB189">
        <v>126.5</v>
      </c>
      <c r="AC189">
        <v>128.6</v>
      </c>
      <c r="AD189">
        <v>137.19999999999999</v>
      </c>
      <c r="AE189">
        <v>139.22857142857143</v>
      </c>
      <c r="AF189">
        <v>140.06666666666666</v>
      </c>
      <c r="AG189">
        <v>136.89999999999998</v>
      </c>
      <c r="AH189" s="2">
        <f>All_India_Index_Upto_April23__1[[#This Row],[House]]/All_India_Index_Upto_April23__1[[#This Row],[TOTAL BROADER CATEGORIES]]</f>
        <v>0.10316540411742964</v>
      </c>
      <c r="AI189" s="2">
        <f>All_India_Index_Upto_April23__1[[#This Row],[Cloth]]/All_India_Index_Upto_April23__1[[#This Row],[TOTAL BROADER CATEGORIES]]</f>
        <v>0.10555174777244689</v>
      </c>
      <c r="AJ189" s="2">
        <f>All_India_Index_Upto_April23__1[[#This Row],[Food]]/All_India_Index_Upto_April23__1[[#This Row],[TOTAL BROADER CATEGORIES]]</f>
        <v>0.10492017411337466</v>
      </c>
      <c r="AK189" s="2">
        <f>All_India_Index_Upto_April23__1[[#This Row],[Miscellaneous]]/All_India_Index_Upto_April23__1[[#This Row],[TOTAL BROADER CATEGORIES]]</f>
        <v>9.6910671800594983E-2</v>
      </c>
      <c r="AL189" s="2">
        <f>All_India_Index_Upto_April23__1[[#This Row],[Personal care and effects]]/All_India_Index_Upto_April23__1[[#This Row],[TOTAL BROADER CATEGORIES]]</f>
        <v>9.5328149166215126E-2</v>
      </c>
      <c r="AM189" s="2">
        <f>All_India_Index_Upto_April23__1[[#This Row],[Education]]/All_India_Index_Upto_April23__1[[#This Row],[TOTAL BROADER CATEGORIES]]</f>
        <v>0.10437113564838574</v>
      </c>
      <c r="AN189" s="2">
        <f>All_India_Index_Upto_April23__1[[#This Row],[Recreation and amusement]]/All_India_Index_Upto_April23__1[[#This Row],[TOTAL BROADER CATEGORIES]]</f>
        <v>9.7212104683334008E-2</v>
      </c>
      <c r="AO189" s="2">
        <f>All_India_Index_Upto_April23__1[[#This Row],[Transport and communication]]/All_India_Index_Upto_April23__1[[#This Row],[TOTAL BROADER CATEGORIES]]</f>
        <v>8.9299491511434723E-2</v>
      </c>
      <c r="AP189" s="2">
        <f>All_India_Index_Upto_April23__1[[#This Row],[Health]]/All_India_Index_Upto_April23__1[[#This Row],[TOTAL BROADER CATEGORIES]]</f>
        <v>0.10030179173140895</v>
      </c>
      <c r="AQ189" s="2">
        <f>All_India_Index_Upto_April23__1[[#This Row],[Fuel and light]]/All_India_Index_Upto_April23__1[[#This Row],[TOTAL BROADER CATEGORIES]]</f>
        <v>0.10293932945537539</v>
      </c>
      <c r="AR189">
        <f>MONTH(1 &amp; All_India_Index_Upto_April23__1[[#This Row],[Month]])</f>
        <v>12</v>
      </c>
      <c r="AS189" s="19" t="str">
        <f>All_India_Index_Upto_April23__1[[#This Row],[MONTH IN NUM]]&amp;"/"&amp;All_India_Index_Upto_April23__1[[#This Row],[Year]]</f>
        <v>12/2017</v>
      </c>
      <c r="AT18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138.44285714285715</v>
      </c>
      <c r="AU18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1326.9952380952379</v>
      </c>
    </row>
    <row r="190" spans="1:47" x14ac:dyDescent="0.3">
      <c r="A190" t="s">
        <v>30</v>
      </c>
      <c r="B190">
        <v>2017</v>
      </c>
      <c r="C190" t="s">
        <v>44</v>
      </c>
      <c r="D190">
        <v>136.4</v>
      </c>
      <c r="E190">
        <v>143.69999999999999</v>
      </c>
      <c r="F190">
        <v>144.80000000000001</v>
      </c>
      <c r="G190">
        <v>141.9</v>
      </c>
      <c r="H190">
        <v>123.1</v>
      </c>
      <c r="I190">
        <v>147.19999999999999</v>
      </c>
      <c r="J190">
        <v>161</v>
      </c>
      <c r="K190">
        <v>133.80000000000001</v>
      </c>
      <c r="L190">
        <v>121.9</v>
      </c>
      <c r="M190">
        <v>135.80000000000001</v>
      </c>
      <c r="N190">
        <v>131.1</v>
      </c>
      <c r="O190">
        <v>151.4</v>
      </c>
      <c r="P190">
        <v>141.5</v>
      </c>
      <c r="Q190">
        <v>153.19999999999999</v>
      </c>
      <c r="R190">
        <v>148</v>
      </c>
      <c r="S190">
        <v>141.9</v>
      </c>
      <c r="T190">
        <v>147.19999999999999</v>
      </c>
      <c r="U190">
        <v>140.85</v>
      </c>
      <c r="V190">
        <v>142.6</v>
      </c>
      <c r="W190">
        <v>139.5</v>
      </c>
      <c r="X190">
        <v>136.1</v>
      </c>
      <c r="Y190">
        <v>122</v>
      </c>
      <c r="Z190">
        <v>133.4</v>
      </c>
      <c r="AA190">
        <v>141.1</v>
      </c>
      <c r="AB190">
        <v>127.8</v>
      </c>
      <c r="AC190">
        <v>131.9</v>
      </c>
      <c r="AD190">
        <v>139.80000000000001</v>
      </c>
      <c r="AE190">
        <v>140.48571428571429</v>
      </c>
      <c r="AF190">
        <v>145.69999999999999</v>
      </c>
      <c r="AG190">
        <v>140.17500000000001</v>
      </c>
      <c r="AH190" s="2">
        <f>All_India_Index_Upto_April23__1[[#This Row],[House]]/All_India_Index_Upto_April23__1[[#This Row],[TOTAL BROADER CATEGORIES]]</f>
        <v>0.10297439610864931</v>
      </c>
      <c r="AI190" s="2">
        <f>All_India_Index_Upto_April23__1[[#This Row],[Cloth]]/All_India_Index_Upto_April23__1[[#This Row],[TOTAL BROADER CATEGORIES]]</f>
        <v>0.10703313367597789</v>
      </c>
      <c r="AJ190" s="2">
        <f>All_India_Index_Upto_April23__1[[#This Row],[Food]]/All_India_Index_Upto_April23__1[[#This Row],[TOTAL BROADER CATEGORIES]]</f>
        <v>0.10320265090396771</v>
      </c>
      <c r="AK190" s="2">
        <f>All_India_Index_Upto_April23__1[[#This Row],[Miscellaneous]]/All_India_Index_Upto_April23__1[[#This Row],[TOTAL BROADER CATEGORIES]]</f>
        <v>9.6895472421835868E-2</v>
      </c>
      <c r="AL190" s="2">
        <f>All_India_Index_Upto_April23__1[[#This Row],[Personal care and effects]]/All_India_Index_Upto_April23__1[[#This Row],[TOTAL BROADER CATEGORIES]]</f>
        <v>9.3883558570967571E-2</v>
      </c>
      <c r="AM190" s="2">
        <f>All_India_Index_Upto_April23__1[[#This Row],[Education]]/All_India_Index_Upto_April23__1[[#This Row],[TOTAL BROADER CATEGORIES]]</f>
        <v>0.10365391325793055</v>
      </c>
      <c r="AN190" s="2">
        <f>All_India_Index_Upto_April23__1[[#This Row],[Recreation and amusement]]/All_India_Index_Upto_April23__1[[#This Row],[TOTAL BROADER CATEGORIES]]</f>
        <v>9.799739212337305E-2</v>
      </c>
      <c r="AO190" s="2">
        <f>All_India_Index_Upto_April23__1[[#This Row],[Transport and communication]]/All_India_Index_Upto_April23__1[[#This Row],[TOTAL BROADER CATEGORIES]]</f>
        <v>8.9622802391690487E-2</v>
      </c>
      <c r="AP190" s="2">
        <f>All_India_Index_Upto_April23__1[[#This Row],[Health]]/All_India_Index_Upto_April23__1[[#This Row],[TOTAL BROADER CATEGORIES]]</f>
        <v>9.9980847586139954E-2</v>
      </c>
      <c r="AQ190" s="2">
        <f>All_India_Index_Upto_April23__1[[#This Row],[Fuel and light]]/All_India_Index_Upto_April23__1[[#This Row],[TOTAL BROADER CATEGORIES]]</f>
        <v>0.10475583295946773</v>
      </c>
      <c r="AR190">
        <f>MONTH(1 &amp; All_India_Index_Upto_April23__1[[#This Row],[Month]])</f>
        <v>12</v>
      </c>
      <c r="AS190" s="19" t="str">
        <f>All_India_Index_Upto_April23__1[[#This Row],[MONTH IN NUM]]&amp;"/"&amp;All_India_Index_Upto_April23__1[[#This Row],[Year]]</f>
        <v>12/2017</v>
      </c>
      <c r="AT19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143.02142857142857</v>
      </c>
      <c r="AU19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1361.2607142857141</v>
      </c>
    </row>
    <row r="191" spans="1:47" x14ac:dyDescent="0.3">
      <c r="A191" t="s">
        <v>30</v>
      </c>
      <c r="B191">
        <v>2017</v>
      </c>
      <c r="C191" t="s">
        <v>43</v>
      </c>
      <c r="D191">
        <v>136.30000000000001</v>
      </c>
      <c r="E191">
        <v>142.5</v>
      </c>
      <c r="F191">
        <v>140.5</v>
      </c>
      <c r="G191">
        <v>141.5</v>
      </c>
      <c r="H191">
        <v>121.6</v>
      </c>
      <c r="I191">
        <v>147.30000000000001</v>
      </c>
      <c r="J191">
        <v>168</v>
      </c>
      <c r="K191">
        <v>135.80000000000001</v>
      </c>
      <c r="L191">
        <v>122.5</v>
      </c>
      <c r="M191">
        <v>136</v>
      </c>
      <c r="N191">
        <v>131.9</v>
      </c>
      <c r="O191">
        <v>151.4</v>
      </c>
      <c r="P191">
        <v>142.4</v>
      </c>
      <c r="Q191">
        <v>152.1</v>
      </c>
      <c r="R191">
        <v>148.19999999999999</v>
      </c>
      <c r="S191">
        <v>141.5</v>
      </c>
      <c r="T191">
        <v>147.30000000000001</v>
      </c>
      <c r="U191">
        <v>140.85</v>
      </c>
      <c r="V191">
        <v>141.1</v>
      </c>
      <c r="W191">
        <v>139.4</v>
      </c>
      <c r="X191">
        <v>135.80000000000001</v>
      </c>
      <c r="Y191">
        <v>121.6</v>
      </c>
      <c r="Z191">
        <v>133.69999999999999</v>
      </c>
      <c r="AA191">
        <v>141.5</v>
      </c>
      <c r="AB191">
        <v>128.1</v>
      </c>
      <c r="AC191">
        <v>131.69999999999999</v>
      </c>
      <c r="AD191">
        <v>140</v>
      </c>
      <c r="AE191">
        <v>140.70000000000002</v>
      </c>
      <c r="AF191">
        <v>145.66666666666666</v>
      </c>
      <c r="AG191">
        <v>140.125</v>
      </c>
      <c r="AH191" s="2">
        <f>All_India_Index_Upto_April23__1[[#This Row],[House]]/All_India_Index_Upto_April23__1[[#This Row],[TOTAL BROADER CATEGORIES]]</f>
        <v>0.10303371956936014</v>
      </c>
      <c r="AI191" s="2">
        <f>All_India_Index_Upto_April23__1[[#This Row],[Cloth]]/All_India_Index_Upto_April23__1[[#This Row],[TOTAL BROADER CATEGORIES]]</f>
        <v>0.10710849943933481</v>
      </c>
      <c r="AJ191" s="2">
        <f>All_India_Index_Upto_April23__1[[#This Row],[Food]]/All_India_Index_Upto_April23__1[[#This Row],[TOTAL BROADER CATEGORIES]]</f>
        <v>0.10345651627767331</v>
      </c>
      <c r="AK191" s="2">
        <f>All_India_Index_Upto_April23__1[[#This Row],[Miscellaneous]]/All_India_Index_Upto_April23__1[[#This Row],[TOTAL BROADER CATEGORIES]]</f>
        <v>9.6838828669293331E-2</v>
      </c>
      <c r="AL191" s="2">
        <f>All_India_Index_Upto_April23__1[[#This Row],[Personal care and effects]]/All_India_Index_Upto_April23__1[[#This Row],[TOTAL BROADER CATEGORIES]]</f>
        <v>9.4191753625941357E-2</v>
      </c>
      <c r="AM191" s="2">
        <f>All_India_Index_Upto_April23__1[[#This Row],[Education]]/All_India_Index_Upto_April23__1[[#This Row],[TOTAL BROADER CATEGORIES]]</f>
        <v>0.10404475517619596</v>
      </c>
      <c r="AN191" s="2">
        <f>All_India_Index_Upto_April23__1[[#This Row],[Recreation and amusement]]/All_India_Index_Upto_April23__1[[#This Row],[TOTAL BROADER CATEGORIES]]</f>
        <v>9.8309425915599991E-2</v>
      </c>
      <c r="AO191" s="2">
        <f>All_India_Index_Upto_April23__1[[#This Row],[Transport and communication]]/All_India_Index_Upto_April23__1[[#This Row],[TOTAL BROADER CATEGORIES]]</f>
        <v>8.9412312575444713E-2</v>
      </c>
      <c r="AP191" s="2">
        <f>All_India_Index_Upto_April23__1[[#This Row],[Health]]/All_India_Index_Upto_April23__1[[#This Row],[TOTAL BROADER CATEGORIES]]</f>
        <v>9.9853553024221997E-2</v>
      </c>
      <c r="AQ191" s="2">
        <f>All_India_Index_Upto_April23__1[[#This Row],[Fuel and light]]/All_India_Index_Upto_April23__1[[#This Row],[TOTAL BROADER CATEGORIES]]</f>
        <v>0.10375063572693462</v>
      </c>
      <c r="AR191">
        <f>MONTH(1 &amp; All_India_Index_Upto_April23__1[[#This Row],[Month]])</f>
        <v>11</v>
      </c>
      <c r="AS191" s="19" t="str">
        <f>All_India_Index_Upto_April23__1[[#This Row],[MONTH IN NUM]]&amp;"/"&amp;All_India_Index_Upto_April23__1[[#This Row],[Year]]</f>
        <v>11/2017</v>
      </c>
      <c r="AT19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142.83571428571432</v>
      </c>
      <c r="AU19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1359.9916666666663</v>
      </c>
    </row>
    <row r="192" spans="1:47" x14ac:dyDescent="0.3">
      <c r="A192" t="s">
        <v>32</v>
      </c>
      <c r="B192">
        <v>2017</v>
      </c>
      <c r="C192" t="s">
        <v>43</v>
      </c>
      <c r="D192">
        <v>134.30000000000001</v>
      </c>
      <c r="E192">
        <v>142.1</v>
      </c>
      <c r="F192">
        <v>146.69999999999999</v>
      </c>
      <c r="G192">
        <v>139.5</v>
      </c>
      <c r="H192">
        <v>115.2</v>
      </c>
      <c r="I192">
        <v>136.4</v>
      </c>
      <c r="J192">
        <v>185.2</v>
      </c>
      <c r="K192">
        <v>122.2</v>
      </c>
      <c r="L192">
        <v>123.9</v>
      </c>
      <c r="M192">
        <v>138.30000000000001</v>
      </c>
      <c r="N192">
        <v>125.4</v>
      </c>
      <c r="O192">
        <v>146</v>
      </c>
      <c r="P192">
        <v>141.5</v>
      </c>
      <c r="Q192">
        <v>156.19999999999999</v>
      </c>
      <c r="R192">
        <v>135</v>
      </c>
      <c r="S192">
        <v>125.4</v>
      </c>
      <c r="T192">
        <v>133.5</v>
      </c>
      <c r="U192">
        <v>138.6</v>
      </c>
      <c r="V192">
        <v>125.7</v>
      </c>
      <c r="W192">
        <v>128.80000000000001</v>
      </c>
      <c r="X192">
        <v>127.4</v>
      </c>
      <c r="Y192">
        <v>115.3</v>
      </c>
      <c r="Z192">
        <v>125.1</v>
      </c>
      <c r="AA192">
        <v>136.6</v>
      </c>
      <c r="AB192">
        <v>124.9</v>
      </c>
      <c r="AC192">
        <v>124.9</v>
      </c>
      <c r="AD192">
        <v>134.80000000000001</v>
      </c>
      <c r="AE192">
        <v>139.49285714285716</v>
      </c>
      <c r="AF192">
        <v>131.29999999999998</v>
      </c>
      <c r="AG192">
        <v>133.69999999999999</v>
      </c>
      <c r="AH192" s="2">
        <f>All_India_Index_Upto_April23__1[[#This Row],[House]]/All_India_Index_Upto_April23__1[[#This Row],[TOTAL BROADER CATEGORIES]]</f>
        <v>0.10409587631732611</v>
      </c>
      <c r="AI192" s="2">
        <f>All_India_Index_Upto_April23__1[[#This Row],[Cloth]]/All_India_Index_Upto_April23__1[[#This Row],[TOTAL BROADER CATEGORIES]]</f>
        <v>0.10222728915830157</v>
      </c>
      <c r="AJ192" s="2">
        <f>All_India_Index_Upto_April23__1[[#This Row],[Food]]/All_India_Index_Upto_April23__1[[#This Row],[TOTAL BROADER CATEGORIES]]</f>
        <v>0.10860606734699552</v>
      </c>
      <c r="AK192" s="2">
        <f>All_India_Index_Upto_April23__1[[#This Row],[Miscellaneous]]/All_India_Index_Upto_April23__1[[#This Row],[TOTAL BROADER CATEGORIES]]</f>
        <v>9.7244390067569436E-2</v>
      </c>
      <c r="AL192" s="2">
        <f>All_India_Index_Upto_April23__1[[#This Row],[Personal care and effects]]/All_India_Index_Upto_April23__1[[#This Row],[TOTAL BROADER CATEGORIES]]</f>
        <v>9.7244390067569436E-2</v>
      </c>
      <c r="AM192" s="2">
        <f>All_India_Index_Upto_April23__1[[#This Row],[Education]]/All_India_Index_Upto_April23__1[[#This Row],[TOTAL BROADER CATEGORIES]]</f>
        <v>0.10635375246781412</v>
      </c>
      <c r="AN192" s="2">
        <f>All_India_Index_Upto_April23__1[[#This Row],[Recreation and amusement]]/All_India_Index_Upto_April23__1[[#This Row],[TOTAL BROADER CATEGORIES]]</f>
        <v>9.7400105664154801E-2</v>
      </c>
      <c r="AO192" s="2">
        <f>All_India_Index_Upto_April23__1[[#This Row],[Transport and communication]]/All_India_Index_Upto_April23__1[[#This Row],[TOTAL BROADER CATEGORIES]]</f>
        <v>8.9770041431471215E-2</v>
      </c>
      <c r="AP192" s="2">
        <f>All_India_Index_Upto_April23__1[[#This Row],[Health]]/All_India_Index_Upto_April23__1[[#This Row],[TOTAL BROADER CATEGORIES]]</f>
        <v>9.9190835024886681E-2</v>
      </c>
      <c r="AQ192" s="2">
        <f>All_India_Index_Upto_April23__1[[#This Row],[Fuel and light]]/All_India_Index_Upto_April23__1[[#This Row],[TOTAL BROADER CATEGORIES]]</f>
        <v>9.7867252453910952E-2</v>
      </c>
      <c r="AR192">
        <f>MONTH(1 &amp; All_India_Index_Upto_April23__1[[#This Row],[Month]])</f>
        <v>11</v>
      </c>
      <c r="AS192" s="19" t="str">
        <f>All_India_Index_Upto_April23__1[[#This Row],[MONTH IN NUM]]&amp;"/"&amp;All_India_Index_Upto_April23__1[[#This Row],[Year]]</f>
        <v>11/2017</v>
      </c>
      <c r="AT19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131.94285714285712</v>
      </c>
      <c r="AU19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1284.3928571428573</v>
      </c>
    </row>
    <row r="193" spans="1:47" x14ac:dyDescent="0.3">
      <c r="A193" t="s">
        <v>33</v>
      </c>
      <c r="B193">
        <v>2017</v>
      </c>
      <c r="C193" t="s">
        <v>43</v>
      </c>
      <c r="D193">
        <v>135.69999999999999</v>
      </c>
      <c r="E193">
        <v>142.4</v>
      </c>
      <c r="F193">
        <v>142.9</v>
      </c>
      <c r="G193">
        <v>140.80000000000001</v>
      </c>
      <c r="H193">
        <v>119.2</v>
      </c>
      <c r="I193">
        <v>142.19999999999999</v>
      </c>
      <c r="J193">
        <v>173.8</v>
      </c>
      <c r="K193">
        <v>131.19999999999999</v>
      </c>
      <c r="L193">
        <v>123</v>
      </c>
      <c r="M193">
        <v>136.80000000000001</v>
      </c>
      <c r="N193">
        <v>129.19999999999999</v>
      </c>
      <c r="O193">
        <v>148.9</v>
      </c>
      <c r="P193">
        <v>142.1</v>
      </c>
      <c r="Q193">
        <v>153.19999999999999</v>
      </c>
      <c r="R193">
        <v>143</v>
      </c>
      <c r="S193">
        <v>134.80000000000001</v>
      </c>
      <c r="T193">
        <v>141.80000000000001</v>
      </c>
      <c r="U193">
        <v>138.6</v>
      </c>
      <c r="V193">
        <v>135.30000000000001</v>
      </c>
      <c r="W193">
        <v>134.4</v>
      </c>
      <c r="X193">
        <v>132.6</v>
      </c>
      <c r="Y193">
        <v>118.3</v>
      </c>
      <c r="Z193">
        <v>128.9</v>
      </c>
      <c r="AA193">
        <v>138.6</v>
      </c>
      <c r="AB193">
        <v>126.8</v>
      </c>
      <c r="AC193">
        <v>128.4</v>
      </c>
      <c r="AD193">
        <v>137.6</v>
      </c>
      <c r="AE193">
        <v>140.1</v>
      </c>
      <c r="AF193">
        <v>139.86666666666667</v>
      </c>
      <c r="AG193">
        <v>136.5</v>
      </c>
      <c r="AH193" s="2">
        <f>All_India_Index_Upto_April23__1[[#This Row],[House]]/All_India_Index_Upto_April23__1[[#This Row],[TOTAL BROADER CATEGORIES]]</f>
        <v>0.10299036744548679</v>
      </c>
      <c r="AI193" s="2">
        <f>All_India_Index_Upto_April23__1[[#This Row],[Cloth]]/All_India_Index_Upto_April23__1[[#This Row],[TOTAL BROADER CATEGORIES]]</f>
        <v>0.10553054500641333</v>
      </c>
      <c r="AJ193" s="2">
        <f>All_India_Index_Upto_April23__1[[#This Row],[Food]]/All_India_Index_Upto_April23__1[[#This Row],[TOTAL BROADER CATEGORIES]]</f>
        <v>0.10570659691657655</v>
      </c>
      <c r="AK193" s="2">
        <f>All_India_Index_Upto_April23__1[[#This Row],[Miscellaneous]]/All_India_Index_Upto_April23__1[[#This Row],[TOTAL BROADER CATEGORIES]]</f>
        <v>9.6878851135534835E-2</v>
      </c>
      <c r="AL193" s="2">
        <f>All_India_Index_Upto_April23__1[[#This Row],[Personal care and effects]]/All_India_Index_Upto_April23__1[[#This Row],[TOTAL BROADER CATEGORIES]]</f>
        <v>9.5671638037272716E-2</v>
      </c>
      <c r="AM193" s="2">
        <f>All_India_Index_Upto_April23__1[[#This Row],[Education]]/All_India_Index_Upto_April23__1[[#This Row],[TOTAL BROADER CATEGORIES]]</f>
        <v>0.10457483463695581</v>
      </c>
      <c r="AN193" s="2">
        <f>All_India_Index_Upto_April23__1[[#This Row],[Recreation and amusement]]/All_India_Index_Upto_April23__1[[#This Row],[TOTAL BROADER CATEGORIES]]</f>
        <v>9.7256105228741743E-2</v>
      </c>
      <c r="AO193" s="2">
        <f>All_India_Index_Upto_April23__1[[#This Row],[Transport and communication]]/All_India_Index_Upto_April23__1[[#This Row],[TOTAL BROADER CATEGORIES]]</f>
        <v>8.9258318452755211E-2</v>
      </c>
      <c r="AP193" s="2">
        <f>All_India_Index_Upto_April23__1[[#This Row],[Health]]/All_India_Index_Upto_April23__1[[#This Row],[TOTAL BROADER CATEGORIES]]</f>
        <v>0.10004778551847288</v>
      </c>
      <c r="AQ193" s="2">
        <f>All_India_Index_Upto_April23__1[[#This Row],[Fuel and light]]/All_India_Index_Upto_April23__1[[#This Row],[TOTAL BROADER CATEGORIES]]</f>
        <v>0.10208495762179021</v>
      </c>
      <c r="AR193">
        <f>MONTH(1 &amp; All_India_Index_Upto_April23__1[[#This Row],[Month]])</f>
        <v>11</v>
      </c>
      <c r="AS193" s="19" t="str">
        <f>All_India_Index_Upto_April23__1[[#This Row],[MONTH IN NUM]]&amp;"/"&amp;All_India_Index_Upto_April23__1[[#This Row],[Year]]</f>
        <v>11/2017</v>
      </c>
      <c r="AT19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138.07142857142858</v>
      </c>
      <c r="AU19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1325.3666666666666</v>
      </c>
    </row>
    <row r="194" spans="1:47" x14ac:dyDescent="0.3">
      <c r="A194" t="s">
        <v>33</v>
      </c>
      <c r="B194">
        <v>2017</v>
      </c>
      <c r="C194" t="s">
        <v>42</v>
      </c>
      <c r="D194">
        <v>135.30000000000001</v>
      </c>
      <c r="E194">
        <v>142.19999999999999</v>
      </c>
      <c r="F194">
        <v>131.19999999999999</v>
      </c>
      <c r="G194">
        <v>140.6</v>
      </c>
      <c r="H194">
        <v>119</v>
      </c>
      <c r="I194">
        <v>141.5</v>
      </c>
      <c r="J194">
        <v>162.6</v>
      </c>
      <c r="K194">
        <v>132.30000000000001</v>
      </c>
      <c r="L194">
        <v>121.8</v>
      </c>
      <c r="M194">
        <v>136.30000000000001</v>
      </c>
      <c r="N194">
        <v>128.69999999999999</v>
      </c>
      <c r="O194">
        <v>148.1</v>
      </c>
      <c r="P194">
        <v>140.1</v>
      </c>
      <c r="Q194">
        <v>151.6</v>
      </c>
      <c r="R194">
        <v>142</v>
      </c>
      <c r="S194">
        <v>134.1</v>
      </c>
      <c r="T194">
        <v>140.80000000000001</v>
      </c>
      <c r="U194">
        <v>137.30000000000001</v>
      </c>
      <c r="V194">
        <v>132.19999999999999</v>
      </c>
      <c r="W194">
        <v>133.6</v>
      </c>
      <c r="X194">
        <v>131.30000000000001</v>
      </c>
      <c r="Y194">
        <v>117.8</v>
      </c>
      <c r="Z194">
        <v>128.4</v>
      </c>
      <c r="AA194">
        <v>137.9</v>
      </c>
      <c r="AB194">
        <v>126.2</v>
      </c>
      <c r="AC194">
        <v>127.7</v>
      </c>
      <c r="AD194">
        <v>136.1</v>
      </c>
      <c r="AE194">
        <v>137.94999999999999</v>
      </c>
      <c r="AF194">
        <v>138.96666666666667</v>
      </c>
      <c r="AG194">
        <v>135.44999999999999</v>
      </c>
      <c r="AH194" s="2">
        <f>All_India_Index_Upto_April23__1[[#This Row],[House]]/All_India_Index_Upto_April23__1[[#This Row],[TOTAL BROADER CATEGORIES]]</f>
        <v>0.10309265272985589</v>
      </c>
      <c r="AI194" s="2">
        <f>All_India_Index_Upto_April23__1[[#This Row],[Cloth]]/All_India_Index_Upto_April23__1[[#This Row],[TOTAL BROADER CATEGORIES]]</f>
        <v>0.10576923076923078</v>
      </c>
      <c r="AJ194" s="2">
        <f>All_India_Index_Upto_April23__1[[#This Row],[Food]]/All_India_Index_Upto_April23__1[[#This Row],[TOTAL BROADER CATEGORIES]]</f>
        <v>0.1049954333265679</v>
      </c>
      <c r="AK194" s="2">
        <f>All_India_Index_Upto_April23__1[[#This Row],[Miscellaneous]]/All_India_Index_Upto_April23__1[[#This Row],[TOTAL BROADER CATEGORIES]]</f>
        <v>9.7194032880048728E-2</v>
      </c>
      <c r="AL194" s="2">
        <f>All_India_Index_Upto_April23__1[[#This Row],[Personal care and effects]]/All_India_Index_Upto_April23__1[[#This Row],[TOTAL BROADER CATEGORIES]]</f>
        <v>9.6052364522021524E-2</v>
      </c>
      <c r="AM194" s="2">
        <f>All_India_Index_Upto_April23__1[[#This Row],[Education]]/All_India_Index_Upto_April23__1[[#This Row],[TOTAL BROADER CATEGORIES]]</f>
        <v>0.10495737771463366</v>
      </c>
      <c r="AN194" s="2">
        <f>All_India_Index_Upto_April23__1[[#This Row],[Recreation and amusement]]/All_India_Index_Upto_April23__1[[#This Row],[TOTAL BROADER CATEGORIES]]</f>
        <v>9.7726811447128081E-2</v>
      </c>
      <c r="AO194" s="2">
        <f>All_India_Index_Upto_April23__1[[#This Row],[Transport and communication]]/All_India_Index_Upto_April23__1[[#This Row],[TOTAL BROADER CATEGORIES]]</f>
        <v>8.9659021717069215E-2</v>
      </c>
      <c r="AP194" s="2">
        <f>All_India_Index_Upto_April23__1[[#This Row],[Health]]/All_India_Index_Upto_April23__1[[#This Row],[TOTAL BROADER CATEGORIES]]</f>
        <v>9.9934036939314005E-2</v>
      </c>
      <c r="AQ194" s="2">
        <f>All_India_Index_Upto_April23__1[[#This Row],[Fuel and light]]/All_India_Index_Upto_April23__1[[#This Row],[TOTAL BROADER CATEGORIES]]</f>
        <v>0.1006190379541303</v>
      </c>
      <c r="AR194">
        <f>MONTH(1 &amp; All_India_Index_Upto_April23__1[[#This Row],[Month]])</f>
        <v>10</v>
      </c>
      <c r="AS194" s="19" t="str">
        <f>All_India_Index_Upto_April23__1[[#This Row],[MONTH IN NUM]]&amp;"/"&amp;All_India_Index_Upto_April23__1[[#This Row],[Year]]</f>
        <v>10/2017</v>
      </c>
      <c r="AT19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136.84285714285713</v>
      </c>
      <c r="AU19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1313.8666666666666</v>
      </c>
    </row>
    <row r="195" spans="1:47" x14ac:dyDescent="0.3">
      <c r="A195" t="s">
        <v>30</v>
      </c>
      <c r="B195">
        <v>2017</v>
      </c>
      <c r="C195" t="s">
        <v>42</v>
      </c>
      <c r="D195">
        <v>135.9</v>
      </c>
      <c r="E195">
        <v>141.9</v>
      </c>
      <c r="F195">
        <v>131</v>
      </c>
      <c r="G195">
        <v>141.5</v>
      </c>
      <c r="H195">
        <v>121.4</v>
      </c>
      <c r="I195">
        <v>146.69999999999999</v>
      </c>
      <c r="J195">
        <v>157.1</v>
      </c>
      <c r="K195">
        <v>136.4</v>
      </c>
      <c r="L195">
        <v>121.4</v>
      </c>
      <c r="M195">
        <v>135.6</v>
      </c>
      <c r="N195">
        <v>131.30000000000001</v>
      </c>
      <c r="O195">
        <v>150.30000000000001</v>
      </c>
      <c r="P195">
        <v>140.4</v>
      </c>
      <c r="Q195">
        <v>150.5</v>
      </c>
      <c r="R195">
        <v>147.19999999999999</v>
      </c>
      <c r="S195">
        <v>140.6</v>
      </c>
      <c r="T195">
        <v>146.19999999999999</v>
      </c>
      <c r="U195">
        <v>140.85</v>
      </c>
      <c r="V195">
        <v>138.1</v>
      </c>
      <c r="W195">
        <v>138.4</v>
      </c>
      <c r="X195">
        <v>134.19999999999999</v>
      </c>
      <c r="Y195">
        <v>121</v>
      </c>
      <c r="Z195">
        <v>133</v>
      </c>
      <c r="AA195">
        <v>140.1</v>
      </c>
      <c r="AB195">
        <v>127.4</v>
      </c>
      <c r="AC195">
        <v>130.69999999999999</v>
      </c>
      <c r="AD195">
        <v>138.30000000000001</v>
      </c>
      <c r="AE195">
        <v>138.67142857142855</v>
      </c>
      <c r="AF195">
        <v>144.66666666666666</v>
      </c>
      <c r="AG195">
        <v>139.625</v>
      </c>
      <c r="AH195" s="2">
        <f>All_India_Index_Upto_April23__1[[#This Row],[House]]/All_India_Index_Upto_April23__1[[#This Row],[TOTAL BROADER CATEGORIES]]</f>
        <v>0.1036206486793083</v>
      </c>
      <c r="AI195" s="2">
        <f>All_India_Index_Upto_April23__1[[#This Row],[Cloth]]/All_India_Index_Upto_April23__1[[#This Row],[TOTAL BROADER CATEGORIES]]</f>
        <v>0.10736224775128571</v>
      </c>
      <c r="AJ195" s="2">
        <f>All_India_Index_Upto_April23__1[[#This Row],[Food]]/All_India_Index_Upto_April23__1[[#This Row],[TOTAL BROADER CATEGORIES]]</f>
        <v>0.10291296961044077</v>
      </c>
      <c r="AK195" s="2">
        <f>All_India_Index_Upto_April23__1[[#This Row],[Miscellaneous]]/All_India_Index_Upto_April23__1[[#This Row],[TOTAL BROADER CATEGORIES]]</f>
        <v>9.6997090652716875E-2</v>
      </c>
      <c r="AL195" s="2">
        <f>All_India_Index_Upto_April23__1[[#This Row],[Personal care and effects]]/All_India_Index_Upto_April23__1[[#This Row],[TOTAL BROADER CATEGORIES]]</f>
        <v>9.4548043987422586E-2</v>
      </c>
      <c r="AM195" s="2">
        <f>All_India_Index_Upto_April23__1[[#This Row],[Education]]/All_India_Index_Upto_April23__1[[#This Row],[TOTAL BROADER CATEGORIES]]</f>
        <v>0.10397316297204005</v>
      </c>
      <c r="AN195" s="2">
        <f>All_India_Index_Upto_April23__1[[#This Row],[Recreation and amusement]]/All_India_Index_Upto_April23__1[[#This Row],[TOTAL BROADER CATEGORIES]]</f>
        <v>9.8704001964891708E-2</v>
      </c>
      <c r="AO195" s="2">
        <f>All_India_Index_Upto_April23__1[[#This Row],[Transport and communication]]/All_India_Index_Upto_April23__1[[#This Row],[TOTAL BROADER CATEGORIES]]</f>
        <v>8.979837772745787E-2</v>
      </c>
      <c r="AP195" s="2">
        <f>All_India_Index_Upto_April23__1[[#This Row],[Health]]/All_India_Index_Upto_April23__1[[#This Row],[TOTAL BROADER CATEGORIES]]</f>
        <v>9.9594564388635079E-2</v>
      </c>
      <c r="AQ195" s="2">
        <f>All_India_Index_Upto_April23__1[[#This Row],[Fuel and light]]/All_India_Index_Upto_April23__1[[#This Row],[TOTAL BROADER CATEGORIES]]</f>
        <v>0.10248889226580109</v>
      </c>
      <c r="AR195">
        <f>MONTH(1 &amp; All_India_Index_Upto_April23__1[[#This Row],[Month]])</f>
        <v>10</v>
      </c>
      <c r="AS195" s="19" t="str">
        <f>All_India_Index_Upto_April23__1[[#This Row],[MONTH IN NUM]]&amp;"/"&amp;All_India_Index_Upto_April23__1[[#This Row],[Year]]</f>
        <v>10/2017</v>
      </c>
      <c r="AT19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141.6357142857143</v>
      </c>
      <c r="AU19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1347.4630952380951</v>
      </c>
    </row>
    <row r="196" spans="1:47" x14ac:dyDescent="0.3">
      <c r="A196" t="s">
        <v>32</v>
      </c>
      <c r="B196">
        <v>2017</v>
      </c>
      <c r="C196" t="s">
        <v>42</v>
      </c>
      <c r="D196">
        <v>133.9</v>
      </c>
      <c r="E196">
        <v>142.80000000000001</v>
      </c>
      <c r="F196">
        <v>131.4</v>
      </c>
      <c r="G196">
        <v>139.1</v>
      </c>
      <c r="H196">
        <v>114.9</v>
      </c>
      <c r="I196">
        <v>135.6</v>
      </c>
      <c r="J196">
        <v>173.2</v>
      </c>
      <c r="K196">
        <v>124.1</v>
      </c>
      <c r="L196">
        <v>122.6</v>
      </c>
      <c r="M196">
        <v>137.80000000000001</v>
      </c>
      <c r="N196">
        <v>125.1</v>
      </c>
      <c r="O196">
        <v>145.5</v>
      </c>
      <c r="P196">
        <v>139.69999999999999</v>
      </c>
      <c r="Q196">
        <v>154.6</v>
      </c>
      <c r="R196">
        <v>134</v>
      </c>
      <c r="S196">
        <v>124.9</v>
      </c>
      <c r="T196">
        <v>132.6</v>
      </c>
      <c r="U196">
        <v>137.30000000000001</v>
      </c>
      <c r="V196">
        <v>122.6</v>
      </c>
      <c r="W196">
        <v>128.30000000000001</v>
      </c>
      <c r="X196">
        <v>126.6</v>
      </c>
      <c r="Y196">
        <v>115</v>
      </c>
      <c r="Z196">
        <v>124.8</v>
      </c>
      <c r="AA196">
        <v>136.30000000000001</v>
      </c>
      <c r="AB196">
        <v>124.6</v>
      </c>
      <c r="AC196">
        <v>124.5</v>
      </c>
      <c r="AD196">
        <v>133.5</v>
      </c>
      <c r="AE196">
        <v>137.16428571428568</v>
      </c>
      <c r="AF196">
        <v>130.5</v>
      </c>
      <c r="AG196">
        <v>132.80000000000001</v>
      </c>
      <c r="AH196" s="2">
        <f>All_India_Index_Upto_April23__1[[#This Row],[House]]/All_India_Index_Upto_April23__1[[#This Row],[TOTAL BROADER CATEGORIES]]</f>
        <v>0.1041679506502093</v>
      </c>
      <c r="AI196" s="2">
        <f>All_India_Index_Upto_April23__1[[#This Row],[Cloth]]/All_India_Index_Upto_April23__1[[#This Row],[TOTAL BROADER CATEGORIES]]</f>
        <v>0.10236383704708067</v>
      </c>
      <c r="AJ196" s="2">
        <f>All_India_Index_Upto_April23__1[[#This Row],[Food]]/All_India_Index_Upto_April23__1[[#This Row],[TOTAL BROADER CATEGORIES]]</f>
        <v>0.10759128422633221</v>
      </c>
      <c r="AK196" s="2">
        <f>All_India_Index_Upto_April23__1[[#This Row],[Miscellaneous]]/All_India_Index_Upto_April23__1[[#This Row],[TOTAL BROADER CATEGORIES]]</f>
        <v>9.7657453734571215E-2</v>
      </c>
      <c r="AL196" s="2">
        <f>All_India_Index_Upto_April23__1[[#This Row],[Personal care and effects]]/All_India_Index_Upto_April23__1[[#This Row],[TOTAL BROADER CATEGORIES]]</f>
        <v>9.7735893456446357E-2</v>
      </c>
      <c r="AM196" s="2">
        <f>All_India_Index_Upto_April23__1[[#This Row],[Education]]/All_India_Index_Upto_April23__1[[#This Row],[TOTAL BROADER CATEGORIES]]</f>
        <v>0.10691334091583982</v>
      </c>
      <c r="AN196" s="2">
        <f>All_India_Index_Upto_April23__1[[#This Row],[Recreation and amusement]]/All_India_Index_Upto_April23__1[[#This Row],[TOTAL BROADER CATEGORIES]]</f>
        <v>9.7892772900196684E-2</v>
      </c>
      <c r="AO196" s="2">
        <f>All_India_Index_Upto_April23__1[[#This Row],[Transport and communication]]/All_India_Index_Upto_April23__1[[#This Row],[TOTAL BROADER CATEGORIES]]</f>
        <v>9.0205680156431239E-2</v>
      </c>
      <c r="AP196" s="2">
        <f>All_India_Index_Upto_April23__1[[#This Row],[Health]]/All_India_Index_Upto_April23__1[[#This Row],[TOTAL BROADER CATEGORIES]]</f>
        <v>9.9304687893949514E-2</v>
      </c>
      <c r="AQ196" s="2">
        <f>All_India_Index_Upto_April23__1[[#This Row],[Fuel and light]]/All_India_Index_Upto_April23__1[[#This Row],[TOTAL BROADER CATEGORIES]]</f>
        <v>9.6167099018943214E-2</v>
      </c>
      <c r="AR196">
        <f>MONTH(1 &amp; All_India_Index_Upto_April23__1[[#This Row],[Month]])</f>
        <v>10</v>
      </c>
      <c r="AS196" s="19" t="str">
        <f>All_India_Index_Upto_April23__1[[#This Row],[MONTH IN NUM]]&amp;"/"&amp;All_India_Index_Upto_April23__1[[#This Row],[Year]]</f>
        <v>10/2017</v>
      </c>
      <c r="AT19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130.85714285714286</v>
      </c>
      <c r="AU19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1274.8642857142854</v>
      </c>
    </row>
    <row r="197" spans="1:47" x14ac:dyDescent="0.3">
      <c r="A197" t="s">
        <v>32</v>
      </c>
      <c r="B197">
        <v>2017</v>
      </c>
      <c r="C197" t="s">
        <v>41</v>
      </c>
      <c r="D197">
        <v>133.6</v>
      </c>
      <c r="E197">
        <v>143</v>
      </c>
      <c r="F197">
        <v>129.69999999999999</v>
      </c>
      <c r="G197">
        <v>138.69999999999999</v>
      </c>
      <c r="H197">
        <v>114.5</v>
      </c>
      <c r="I197">
        <v>137.5</v>
      </c>
      <c r="J197">
        <v>160.69999999999999</v>
      </c>
      <c r="K197">
        <v>124.5</v>
      </c>
      <c r="L197">
        <v>122.4</v>
      </c>
      <c r="M197">
        <v>137.30000000000001</v>
      </c>
      <c r="N197">
        <v>124.8</v>
      </c>
      <c r="O197">
        <v>145</v>
      </c>
      <c r="P197">
        <v>138</v>
      </c>
      <c r="Q197">
        <v>153.6</v>
      </c>
      <c r="R197">
        <v>133.30000000000001</v>
      </c>
      <c r="S197">
        <v>124.6</v>
      </c>
      <c r="T197">
        <v>132</v>
      </c>
      <c r="U197">
        <v>135.69999999999999</v>
      </c>
      <c r="V197">
        <v>120.6</v>
      </c>
      <c r="W197">
        <v>128.1</v>
      </c>
      <c r="X197">
        <v>126.1</v>
      </c>
      <c r="Y197">
        <v>115.7</v>
      </c>
      <c r="Z197">
        <v>124.5</v>
      </c>
      <c r="AA197">
        <v>135.9</v>
      </c>
      <c r="AB197">
        <v>124.4</v>
      </c>
      <c r="AC197">
        <v>124.5</v>
      </c>
      <c r="AD197">
        <v>132.4</v>
      </c>
      <c r="AE197">
        <v>135.94999999999999</v>
      </c>
      <c r="AF197">
        <v>129.96666666666667</v>
      </c>
      <c r="AG197">
        <v>131.89999999999998</v>
      </c>
      <c r="AH197" s="2">
        <f>All_India_Index_Upto_April23__1[[#This Row],[House]]/All_India_Index_Upto_April23__1[[#This Row],[TOTAL BROADER CATEGORIES]]</f>
        <v>0.10389780887739429</v>
      </c>
      <c r="AI197" s="2">
        <f>All_India_Index_Upto_April23__1[[#This Row],[Cloth]]/All_India_Index_Upto_April23__1[[#This Row],[TOTAL BROADER CATEGORIES]]</f>
        <v>0.10237491958881992</v>
      </c>
      <c r="AJ197" s="2">
        <f>All_India_Index_Upto_April23__1[[#This Row],[Food]]/All_India_Index_Upto_April23__1[[#This Row],[TOTAL BROADER CATEGORIES]]</f>
        <v>0.10708799936983893</v>
      </c>
      <c r="AK197" s="2">
        <f>All_India_Index_Upto_April23__1[[#This Row],[Miscellaneous]]/All_India_Index_Upto_April23__1[[#This Row],[TOTAL BROADER CATEGORIES]]</f>
        <v>9.8068818841816452E-2</v>
      </c>
      <c r="AL197" s="2">
        <f>All_India_Index_Upto_April23__1[[#This Row],[Personal care and effects]]/All_India_Index_Upto_April23__1[[#This Row],[TOTAL BROADER CATEGORIES]]</f>
        <v>9.7990048706200553E-2</v>
      </c>
      <c r="AM197" s="2">
        <f>All_India_Index_Upto_April23__1[[#This Row],[Education]]/All_India_Index_Upto_April23__1[[#This Row],[TOTAL BROADER CATEGORIES]]</f>
        <v>0.10704861430203098</v>
      </c>
      <c r="AN197" s="2">
        <f>All_India_Index_Upto_April23__1[[#This Row],[Recreation and amusement]]/All_India_Index_Upto_April23__1[[#This Row],[TOTAL BROADER CATEGORIES]]</f>
        <v>9.8068818841816452E-2</v>
      </c>
      <c r="AO197" s="2">
        <f>All_India_Index_Upto_April23__1[[#This Row],[Transport and communication]]/All_India_Index_Upto_April23__1[[#This Row],[TOTAL BROADER CATEGORIES]]</f>
        <v>9.1137046907615774E-2</v>
      </c>
      <c r="AP197" s="2">
        <f>All_India_Index_Upto_April23__1[[#This Row],[Health]]/All_India_Index_Upto_April23__1[[#This Row],[TOTAL BROADER CATEGORIES]]</f>
        <v>9.9329141011671118E-2</v>
      </c>
      <c r="AQ197" s="2">
        <f>All_India_Index_Upto_April23__1[[#This Row],[Fuel and light]]/All_India_Index_Upto_April23__1[[#This Row],[TOTAL BROADER CATEGORIES]]</f>
        <v>9.4996783552795699E-2</v>
      </c>
      <c r="AR197">
        <f>MONTH(1 &amp; All_India_Index_Upto_April23__1[[#This Row],[Month]])</f>
        <v>9</v>
      </c>
      <c r="AS197" s="19" t="str">
        <f>All_India_Index_Upto_April23__1[[#This Row],[MONTH IN NUM]]&amp;"/"&amp;All_India_Index_Upto_April23__1[[#This Row],[Year]]</f>
        <v>9/2017</v>
      </c>
      <c r="AT19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130.02857142857144</v>
      </c>
      <c r="AU19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1269.5166666666664</v>
      </c>
    </row>
    <row r="198" spans="1:47" x14ac:dyDescent="0.3">
      <c r="A198" t="s">
        <v>33</v>
      </c>
      <c r="B198">
        <v>2017</v>
      </c>
      <c r="C198" t="s">
        <v>41</v>
      </c>
      <c r="D198">
        <v>134.69999999999999</v>
      </c>
      <c r="E198">
        <v>142.4</v>
      </c>
      <c r="F198">
        <v>130.19999999999999</v>
      </c>
      <c r="G198">
        <v>139.6</v>
      </c>
      <c r="H198">
        <v>118.4</v>
      </c>
      <c r="I198">
        <v>143</v>
      </c>
      <c r="J198">
        <v>156.6</v>
      </c>
      <c r="K198">
        <v>132.9</v>
      </c>
      <c r="L198">
        <v>121.5</v>
      </c>
      <c r="M198">
        <v>135.6</v>
      </c>
      <c r="N198">
        <v>128.80000000000001</v>
      </c>
      <c r="O198">
        <v>147.30000000000001</v>
      </c>
      <c r="P198">
        <v>139</v>
      </c>
      <c r="Q198">
        <v>150.80000000000001</v>
      </c>
      <c r="R198">
        <v>141.1</v>
      </c>
      <c r="S198">
        <v>133.4</v>
      </c>
      <c r="T198">
        <v>140</v>
      </c>
      <c r="U198">
        <v>135.69999999999999</v>
      </c>
      <c r="V198">
        <v>131</v>
      </c>
      <c r="W198">
        <v>133.30000000000001</v>
      </c>
      <c r="X198">
        <v>130.6</v>
      </c>
      <c r="Y198">
        <v>118.3</v>
      </c>
      <c r="Z198">
        <v>127.9</v>
      </c>
      <c r="AA198">
        <v>137.4</v>
      </c>
      <c r="AB198">
        <v>125.7</v>
      </c>
      <c r="AC198">
        <v>127.5</v>
      </c>
      <c r="AD198">
        <v>135.19999999999999</v>
      </c>
      <c r="AE198">
        <v>137.19999999999999</v>
      </c>
      <c r="AF198">
        <v>138.16666666666666</v>
      </c>
      <c r="AG198">
        <v>134.5</v>
      </c>
      <c r="AH198" s="2">
        <f>All_India_Index_Upto_April23__1[[#This Row],[House]]/All_India_Index_Upto_April23__1[[#This Row],[TOTAL BROADER CATEGORIES]]</f>
        <v>0.10280778638401959</v>
      </c>
      <c r="AI198" s="2">
        <f>All_India_Index_Upto_April23__1[[#This Row],[Cloth]]/All_India_Index_Upto_April23__1[[#This Row],[TOTAL BROADER CATEGORIES]]</f>
        <v>0.10561047696697923</v>
      </c>
      <c r="AJ198" s="2">
        <f>All_India_Index_Upto_April23__1[[#This Row],[Food]]/All_India_Index_Upto_April23__1[[#This Row],[TOTAL BROADER CATEGORIES]]</f>
        <v>0.10487158581328986</v>
      </c>
      <c r="AK198" s="2">
        <f>All_India_Index_Upto_April23__1[[#This Row],[Miscellaneous]]/All_India_Index_Upto_April23__1[[#This Row],[TOTAL BROADER CATEGORIES]]</f>
        <v>9.7457195271096628E-2</v>
      </c>
      <c r="AL198" s="2">
        <f>All_India_Index_Upto_April23__1[[#This Row],[Personal care and effects]]/All_India_Index_Upto_April23__1[[#This Row],[TOTAL BROADER CATEGORIES]]</f>
        <v>9.6081328984916448E-2</v>
      </c>
      <c r="AM198" s="2">
        <f>All_India_Index_Upto_April23__1[[#This Row],[Education]]/All_India_Index_Upto_April23__1[[#This Row],[TOTAL BROADER CATEGORIES]]</f>
        <v>0.10502445984508767</v>
      </c>
      <c r="AN198" s="2">
        <f>All_India_Index_Upto_April23__1[[#This Row],[Recreation and amusement]]/All_India_Index_Upto_April23__1[[#This Row],[TOTAL BROADER CATEGORIES]]</f>
        <v>9.7762943334692237E-2</v>
      </c>
      <c r="AO198" s="2">
        <f>All_India_Index_Upto_April23__1[[#This Row],[Transport and communication]]/All_India_Index_Upto_April23__1[[#This Row],[TOTAL BROADER CATEGORIES]]</f>
        <v>9.0424989808397901E-2</v>
      </c>
      <c r="AP198" s="2">
        <f>All_India_Index_Upto_April23__1[[#This Row],[Health]]/All_India_Index_Upto_April23__1[[#This Row],[TOTAL BROADER CATEGORIES]]</f>
        <v>9.9826742763962514E-2</v>
      </c>
      <c r="AQ198" s="2">
        <f>All_India_Index_Upto_April23__1[[#This Row],[Fuel and light]]/All_India_Index_Upto_April23__1[[#This Row],[TOTAL BROADER CATEGORIES]]</f>
        <v>0.10013249082755811</v>
      </c>
      <c r="AR198">
        <f>MONTH(1 &amp; All_India_Index_Upto_April23__1[[#This Row],[Month]])</f>
        <v>9</v>
      </c>
      <c r="AS198" s="19" t="str">
        <f>All_India_Index_Upto_April23__1[[#This Row],[MONTH IN NUM]]&amp;"/"&amp;All_India_Index_Upto_April23__1[[#This Row],[Year]]</f>
        <v>9/2017</v>
      </c>
      <c r="AT19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135.98571428571429</v>
      </c>
      <c r="AU19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1308.2666666666664</v>
      </c>
    </row>
    <row r="199" spans="1:47" x14ac:dyDescent="0.3">
      <c r="A199" t="s">
        <v>30</v>
      </c>
      <c r="B199">
        <v>2017</v>
      </c>
      <c r="C199" t="s">
        <v>41</v>
      </c>
      <c r="D199">
        <v>135.19999999999999</v>
      </c>
      <c r="E199">
        <v>142</v>
      </c>
      <c r="F199">
        <v>130.5</v>
      </c>
      <c r="G199">
        <v>140.19999999999999</v>
      </c>
      <c r="H199">
        <v>120.7</v>
      </c>
      <c r="I199">
        <v>147.80000000000001</v>
      </c>
      <c r="J199">
        <v>154.5</v>
      </c>
      <c r="K199">
        <v>137.1</v>
      </c>
      <c r="L199">
        <v>121</v>
      </c>
      <c r="M199">
        <v>134.69999999999999</v>
      </c>
      <c r="N199">
        <v>131.69999999999999</v>
      </c>
      <c r="O199">
        <v>149.30000000000001</v>
      </c>
      <c r="P199">
        <v>139.6</v>
      </c>
      <c r="Q199">
        <v>149.80000000000001</v>
      </c>
      <c r="R199">
        <v>146.1</v>
      </c>
      <c r="S199">
        <v>139.69999999999999</v>
      </c>
      <c r="T199">
        <v>145.19999999999999</v>
      </c>
      <c r="U199">
        <v>140.85</v>
      </c>
      <c r="V199">
        <v>137.4</v>
      </c>
      <c r="W199">
        <v>137.9</v>
      </c>
      <c r="X199">
        <v>133.4</v>
      </c>
      <c r="Y199">
        <v>121.2</v>
      </c>
      <c r="Z199">
        <v>132.30000000000001</v>
      </c>
      <c r="AA199">
        <v>139.6</v>
      </c>
      <c r="AB199">
        <v>126.7</v>
      </c>
      <c r="AC199">
        <v>130.30000000000001</v>
      </c>
      <c r="AD199">
        <v>137.6</v>
      </c>
      <c r="AE199">
        <v>138.15</v>
      </c>
      <c r="AF199">
        <v>143.66666666666666</v>
      </c>
      <c r="AG199">
        <v>139.375</v>
      </c>
      <c r="AH199" s="2">
        <f>All_India_Index_Upto_April23__1[[#This Row],[House]]/All_India_Index_Upto_April23__1[[#This Row],[TOTAL BROADER CATEGORIES]]</f>
        <v>0.10384909128164369</v>
      </c>
      <c r="AI199" s="2">
        <f>All_India_Index_Upto_April23__1[[#This Row],[Cloth]]/All_India_Index_Upto_April23__1[[#This Row],[TOTAL BROADER CATEGORIES]]</f>
        <v>0.10704683609539832</v>
      </c>
      <c r="AJ199" s="2">
        <f>All_India_Index_Upto_April23__1[[#This Row],[Food]]/All_India_Index_Upto_April23__1[[#This Row],[TOTAL BROADER CATEGORIES]]</f>
        <v>0.10293633693674673</v>
      </c>
      <c r="AK199" s="2">
        <f>All_India_Index_Upto_April23__1[[#This Row],[Miscellaneous]]/All_India_Index_Upto_April23__1[[#This Row],[TOTAL BROADER CATEGORIES]]</f>
        <v>9.7087258073529498E-2</v>
      </c>
      <c r="AL199" s="2">
        <f>All_India_Index_Upto_April23__1[[#This Row],[Personal care and effects]]/All_India_Index_Upto_April23__1[[#This Row],[TOTAL BROADER CATEGORIES]]</f>
        <v>9.4404877957913941E-2</v>
      </c>
      <c r="AM199" s="2">
        <f>All_India_Index_Upto_April23__1[[#This Row],[Education]]/All_India_Index_Upto_April23__1[[#This Row],[TOTAL BROADER CATEGORIES]]</f>
        <v>0.10401674003886965</v>
      </c>
      <c r="AN199" s="2">
        <f>All_India_Index_Upto_April23__1[[#This Row],[Recreation and amusement]]/All_India_Index_Upto_April23__1[[#This Row],[TOTAL BROADER CATEGORIES]]</f>
        <v>9.8577469248871466E-2</v>
      </c>
      <c r="AO199" s="2">
        <f>All_India_Index_Upto_April23__1[[#This Row],[Transport and communication]]/All_India_Index_Upto_April23__1[[#This Row],[TOTAL BROADER CATEGORIES]]</f>
        <v>9.0306797225723517E-2</v>
      </c>
      <c r="AP199" s="2">
        <f>All_India_Index_Upto_April23__1[[#This Row],[Health]]/All_India_Index_Upto_April23__1[[#This Row],[TOTAL BROADER CATEGORIES]]</f>
        <v>9.9397085395309545E-2</v>
      </c>
      <c r="AQ199" s="2">
        <f>All_India_Index_Upto_April23__1[[#This Row],[Fuel and light]]/All_India_Index_Upto_April23__1[[#This Row],[TOTAL BROADER CATEGORIES]]</f>
        <v>0.1023775077459935</v>
      </c>
      <c r="AR199">
        <f>MONTH(1 &amp; All_India_Index_Upto_April23__1[[#This Row],[Month]])</f>
        <v>9</v>
      </c>
      <c r="AS199" s="19" t="str">
        <f>All_India_Index_Upto_April23__1[[#This Row],[MONTH IN NUM]]&amp;"/"&amp;All_India_Index_Upto_April23__1[[#This Row],[Year]]</f>
        <v>9/2017</v>
      </c>
      <c r="AT19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140.96428571428572</v>
      </c>
      <c r="AU19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1342.0916666666669</v>
      </c>
    </row>
    <row r="200" spans="1:47" x14ac:dyDescent="0.3">
      <c r="A200" t="s">
        <v>30</v>
      </c>
      <c r="B200">
        <v>2017</v>
      </c>
      <c r="C200" t="s">
        <v>40</v>
      </c>
      <c r="D200">
        <v>134.80000000000001</v>
      </c>
      <c r="E200">
        <v>143.1</v>
      </c>
      <c r="F200">
        <v>130</v>
      </c>
      <c r="G200">
        <v>139.4</v>
      </c>
      <c r="H200">
        <v>120.5</v>
      </c>
      <c r="I200">
        <v>148</v>
      </c>
      <c r="J200">
        <v>162.9</v>
      </c>
      <c r="K200">
        <v>137.4</v>
      </c>
      <c r="L200">
        <v>120.8</v>
      </c>
      <c r="M200">
        <v>134.69999999999999</v>
      </c>
      <c r="N200">
        <v>131.6</v>
      </c>
      <c r="O200">
        <v>148.69999999999999</v>
      </c>
      <c r="P200">
        <v>140.6</v>
      </c>
      <c r="Q200">
        <v>149</v>
      </c>
      <c r="R200">
        <v>145.30000000000001</v>
      </c>
      <c r="S200">
        <v>139.19999999999999</v>
      </c>
      <c r="T200">
        <v>144.5</v>
      </c>
      <c r="U200">
        <v>140.85</v>
      </c>
      <c r="V200">
        <v>136.4</v>
      </c>
      <c r="W200">
        <v>137.30000000000001</v>
      </c>
      <c r="X200">
        <v>133</v>
      </c>
      <c r="Y200">
        <v>120.3</v>
      </c>
      <c r="Z200">
        <v>131.5</v>
      </c>
      <c r="AA200">
        <v>140.19999999999999</v>
      </c>
      <c r="AB200">
        <v>125.4</v>
      </c>
      <c r="AC200">
        <v>129.69999999999999</v>
      </c>
      <c r="AD200">
        <v>137.80000000000001</v>
      </c>
      <c r="AE200">
        <v>138.67857142857142</v>
      </c>
      <c r="AF200">
        <v>143</v>
      </c>
      <c r="AG200">
        <v>139.07499999999999</v>
      </c>
      <c r="AH200" s="2">
        <f>All_India_Index_Upto_April23__1[[#This Row],[House]]/All_India_Index_Upto_April23__1[[#This Row],[TOTAL BROADER CATEGORIES]]</f>
        <v>0.10400047004655062</v>
      </c>
      <c r="AI200" s="2">
        <f>All_India_Index_Upto_April23__1[[#This Row],[Cloth]]/All_India_Index_Upto_April23__1[[#This Row],[TOTAL BROADER CATEGORIES]]</f>
        <v>0.10693559026896812</v>
      </c>
      <c r="AJ200" s="2">
        <f>All_India_Index_Upto_April23__1[[#This Row],[Food]]/All_India_Index_Upto_April23__1[[#This Row],[TOTAL BROADER CATEGORIES]]</f>
        <v>0.10370402023336743</v>
      </c>
      <c r="AK200" s="2">
        <f>All_India_Index_Upto_April23__1[[#This Row],[Miscellaneous]]/All_India_Index_Upto_April23__1[[#This Row],[TOTAL BROADER CATEGORIES]]</f>
        <v>9.6989832572623516E-2</v>
      </c>
      <c r="AL200" s="2">
        <f>All_India_Index_Upto_April23__1[[#This Row],[Personal care and effects]]/All_India_Index_Upto_April23__1[[#This Row],[TOTAL BROADER CATEGORIES]]</f>
        <v>9.3774286851248972E-2</v>
      </c>
      <c r="AM200" s="2">
        <f>All_India_Index_Upto_April23__1[[#This Row],[Education]]/All_India_Index_Upto_April23__1[[#This Row],[TOTAL BROADER CATEGORIES]]</f>
        <v>0.10484174654342188</v>
      </c>
      <c r="AN200" s="2">
        <f>All_India_Index_Upto_April23__1[[#This Row],[Recreation and amusement]]/All_India_Index_Upto_April23__1[[#This Row],[TOTAL BROADER CATEGORIES]]</f>
        <v>9.8335874967617531E-2</v>
      </c>
      <c r="AO200" s="2">
        <f>All_India_Index_Upto_April23__1[[#This Row],[Transport and communication]]/All_India_Index_Upto_April23__1[[#This Row],[TOTAL BROADER CATEGORIES]]</f>
        <v>8.9960500065432616E-2</v>
      </c>
      <c r="AP200" s="2">
        <f>All_India_Index_Upto_April23__1[[#This Row],[Health]]/All_India_Index_Upto_April23__1[[#This Row],[TOTAL BROADER CATEGORIES]]</f>
        <v>9.9457576963445871E-2</v>
      </c>
      <c r="AQ200" s="2">
        <f>All_India_Index_Upto_April23__1[[#This Row],[Fuel and light]]/All_India_Index_Upto_April23__1[[#This Row],[TOTAL BROADER CATEGORIES]]</f>
        <v>0.10200010148732344</v>
      </c>
      <c r="AR200">
        <f>MONTH(1 &amp; All_India_Index_Upto_April23__1[[#This Row],[Month]])</f>
        <v>8</v>
      </c>
      <c r="AS200" s="19" t="str">
        <f>All_India_Index_Upto_April23__1[[#This Row],[MONTH IN NUM]]&amp;"/"&amp;All_India_Index_Upto_April23__1[[#This Row],[Year]]</f>
        <v>8/2017</v>
      </c>
      <c r="AT20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140.53571428571428</v>
      </c>
      <c r="AU20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1337.2535714285714</v>
      </c>
    </row>
    <row r="201" spans="1:47" x14ac:dyDescent="0.3">
      <c r="A201" t="s">
        <v>32</v>
      </c>
      <c r="B201">
        <v>2017</v>
      </c>
      <c r="C201" t="s">
        <v>40</v>
      </c>
      <c r="D201">
        <v>133.19999999999999</v>
      </c>
      <c r="E201">
        <v>143.9</v>
      </c>
      <c r="F201">
        <v>128.30000000000001</v>
      </c>
      <c r="G201">
        <v>138.30000000000001</v>
      </c>
      <c r="H201">
        <v>114.1</v>
      </c>
      <c r="I201">
        <v>142.69999999999999</v>
      </c>
      <c r="J201">
        <v>179.8</v>
      </c>
      <c r="K201">
        <v>123.5</v>
      </c>
      <c r="L201">
        <v>122.1</v>
      </c>
      <c r="M201">
        <v>137.5</v>
      </c>
      <c r="N201">
        <v>124.6</v>
      </c>
      <c r="O201">
        <v>144.5</v>
      </c>
      <c r="P201">
        <v>140.5</v>
      </c>
      <c r="Q201">
        <v>152.1</v>
      </c>
      <c r="R201">
        <v>132.69999999999999</v>
      </c>
      <c r="S201">
        <v>124.3</v>
      </c>
      <c r="T201">
        <v>131.4</v>
      </c>
      <c r="U201">
        <v>134.4</v>
      </c>
      <c r="V201">
        <v>118.9</v>
      </c>
      <c r="W201">
        <v>127.7</v>
      </c>
      <c r="X201">
        <v>125.7</v>
      </c>
      <c r="Y201">
        <v>114.6</v>
      </c>
      <c r="Z201">
        <v>124.1</v>
      </c>
      <c r="AA201">
        <v>135.69999999999999</v>
      </c>
      <c r="AB201">
        <v>123.3</v>
      </c>
      <c r="AC201">
        <v>123.8</v>
      </c>
      <c r="AD201">
        <v>132.69999999999999</v>
      </c>
      <c r="AE201">
        <v>137.50714285714284</v>
      </c>
      <c r="AF201">
        <v>129.46666666666667</v>
      </c>
      <c r="AG201">
        <v>131.05000000000001</v>
      </c>
      <c r="AH201" s="2">
        <f>All_India_Index_Upto_April23__1[[#This Row],[House]]/All_India_Index_Upto_April23__1[[#This Row],[TOTAL BROADER CATEGORIES]]</f>
        <v>0.10366864306540198</v>
      </c>
      <c r="AI201" s="2">
        <f>All_India_Index_Upto_April23__1[[#This Row],[Cloth]]/All_India_Index_Upto_April23__1[[#This Row],[TOTAL BROADER CATEGORIES]]</f>
        <v>0.10241612861910754</v>
      </c>
      <c r="AJ201" s="2">
        <f>All_India_Index_Upto_April23__1[[#This Row],[Food]]/All_India_Index_Upto_April23__1[[#This Row],[TOTAL BROADER CATEGORIES]]</f>
        <v>0.10877664182983883</v>
      </c>
      <c r="AK201" s="2">
        <f>All_India_Index_Upto_April23__1[[#This Row],[Miscellaneous]]/All_India_Index_Upto_April23__1[[#This Row],[TOTAL BROADER CATEGORIES]]</f>
        <v>9.7933445337632694E-2</v>
      </c>
      <c r="AL201" s="2">
        <f>All_India_Index_Upto_April23__1[[#This Row],[Personal care and effects]]/All_India_Index_Upto_April23__1[[#This Row],[TOTAL BROADER CATEGORIES]]</f>
        <v>9.753791445985549E-2</v>
      </c>
      <c r="AM201" s="2">
        <f>All_India_Index_Upto_April23__1[[#This Row],[Education]]/All_India_Index_Upto_April23__1[[#This Row],[TOTAL BROADER CATEGORIES]]</f>
        <v>0.10734708022872985</v>
      </c>
      <c r="AN201" s="2">
        <f>All_India_Index_Upto_April23__1[[#This Row],[Recreation and amusement]]/All_India_Index_Upto_April23__1[[#This Row],[TOTAL BROADER CATEGORIES]]</f>
        <v>9.8170763864299002E-2</v>
      </c>
      <c r="AO201" s="2">
        <f>All_India_Index_Upto_April23__1[[#This Row],[Transport and communication]]/All_India_Index_Upto_April23__1[[#This Row],[TOTAL BROADER CATEGORIES]]</f>
        <v>9.0655677186532363E-2</v>
      </c>
      <c r="AP201" s="2">
        <f>All_India_Index_Upto_April23__1[[#This Row],[Health]]/All_India_Index_Upto_April23__1[[#This Row],[TOTAL BROADER CATEGORIES]]</f>
        <v>9.9436462673186024E-2</v>
      </c>
      <c r="AQ201" s="2">
        <f>All_India_Index_Upto_April23__1[[#This Row],[Fuel and light]]/All_India_Index_Upto_April23__1[[#This Row],[TOTAL BROADER CATEGORIES]]</f>
        <v>9.4057242735416213E-2</v>
      </c>
      <c r="AR201">
        <f>MONTH(1 &amp; All_India_Index_Upto_April23__1[[#This Row],[Month]])</f>
        <v>8</v>
      </c>
      <c r="AS201" s="19" t="str">
        <f>All_India_Index_Upto_April23__1[[#This Row],[MONTH IN NUM]]&amp;"/"&amp;All_India_Index_Upto_April23__1[[#This Row],[Year]]</f>
        <v>8/2017</v>
      </c>
      <c r="AT20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129.29999999999998</v>
      </c>
      <c r="AU20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1264.1238095238095</v>
      </c>
    </row>
    <row r="202" spans="1:47" x14ac:dyDescent="0.3">
      <c r="A202" t="s">
        <v>33</v>
      </c>
      <c r="B202">
        <v>2017</v>
      </c>
      <c r="C202" t="s">
        <v>40</v>
      </c>
      <c r="D202">
        <v>134.30000000000001</v>
      </c>
      <c r="E202">
        <v>143.4</v>
      </c>
      <c r="F202">
        <v>129.30000000000001</v>
      </c>
      <c r="G202">
        <v>139</v>
      </c>
      <c r="H202">
        <v>118.1</v>
      </c>
      <c r="I202">
        <v>145.5</v>
      </c>
      <c r="J202">
        <v>168.6</v>
      </c>
      <c r="K202">
        <v>132.69999999999999</v>
      </c>
      <c r="L202">
        <v>121.2</v>
      </c>
      <c r="M202">
        <v>135.6</v>
      </c>
      <c r="N202">
        <v>128.69999999999999</v>
      </c>
      <c r="O202">
        <v>146.80000000000001</v>
      </c>
      <c r="P202">
        <v>140.6</v>
      </c>
      <c r="Q202">
        <v>149.80000000000001</v>
      </c>
      <c r="R202">
        <v>140.30000000000001</v>
      </c>
      <c r="S202">
        <v>133</v>
      </c>
      <c r="T202">
        <v>139.30000000000001</v>
      </c>
      <c r="U202">
        <v>134.4</v>
      </c>
      <c r="V202">
        <v>129.80000000000001</v>
      </c>
      <c r="W202">
        <v>132.80000000000001</v>
      </c>
      <c r="X202">
        <v>130.19999999999999</v>
      </c>
      <c r="Y202">
        <v>117.3</v>
      </c>
      <c r="Z202">
        <v>127.3</v>
      </c>
      <c r="AA202">
        <v>137.6</v>
      </c>
      <c r="AB202">
        <v>124.5</v>
      </c>
      <c r="AC202">
        <v>126.8</v>
      </c>
      <c r="AD202">
        <v>135.4</v>
      </c>
      <c r="AE202">
        <v>138.1142857142857</v>
      </c>
      <c r="AF202">
        <v>137.53333333333333</v>
      </c>
      <c r="AG202">
        <v>133.60000000000002</v>
      </c>
      <c r="AH202" s="2">
        <f>All_India_Index_Upto_April23__1[[#This Row],[House]]/All_India_Index_Upto_April23__1[[#This Row],[TOTAL BROADER CATEGORIES]]</f>
        <v>0.10255248065444099</v>
      </c>
      <c r="AI202" s="2">
        <f>All_India_Index_Upto_April23__1[[#This Row],[Cloth]]/All_India_Index_Upto_April23__1[[#This Row],[TOTAL BROADER CATEGORIES]]</f>
        <v>0.10557174031442701</v>
      </c>
      <c r="AJ202" s="2">
        <f>All_India_Index_Upto_April23__1[[#This Row],[Food]]/All_India_Index_Upto_April23__1[[#This Row],[TOTAL BROADER CATEGORIES]]</f>
        <v>0.10601768423515133</v>
      </c>
      <c r="AK202" s="2">
        <f>All_India_Index_Upto_April23__1[[#This Row],[Miscellaneous]]/All_India_Index_Upto_April23__1[[#This Row],[TOTAL BROADER CATEGORIES]]</f>
        <v>9.7332743615143075E-2</v>
      </c>
      <c r="AL202" s="2">
        <f>All_India_Index_Upto_April23__1[[#This Row],[Personal care and effects]]/All_India_Index_Upto_April23__1[[#This Row],[TOTAL BROADER CATEGORIES]]</f>
        <v>9.556724432243939E-2</v>
      </c>
      <c r="AM202" s="2">
        <f>All_India_Index_Upto_April23__1[[#This Row],[Education]]/All_India_Index_Upto_April23__1[[#This Row],[TOTAL BROADER CATEGORIES]]</f>
        <v>0.10562291420696915</v>
      </c>
      <c r="AN202" s="2">
        <f>All_India_Index_Upto_April23__1[[#This Row],[Recreation and amusement]]/All_India_Index_Upto_April23__1[[#This Row],[TOTAL BROADER CATEGORIES]]</f>
        <v>9.7716547809209103E-2</v>
      </c>
      <c r="AO202" s="2">
        <f>All_India_Index_Upto_April23__1[[#This Row],[Transport and communication]]/All_India_Index_Upto_April23__1[[#This Row],[TOTAL BROADER CATEGORIES]]</f>
        <v>9.004046392788867E-2</v>
      </c>
      <c r="AP202" s="2">
        <f>All_India_Index_Upto_April23__1[[#This Row],[Health]]/All_India_Index_Upto_April23__1[[#This Row],[TOTAL BROADER CATEGORIES]]</f>
        <v>9.9942612134792025E-2</v>
      </c>
      <c r="AQ202" s="2">
        <f>All_India_Index_Upto_April23__1[[#This Row],[Fuel and light]]/All_India_Index_Upto_April23__1[[#This Row],[TOTAL BROADER CATEGORIES]]</f>
        <v>9.9635568779539219E-2</v>
      </c>
      <c r="AR202">
        <f>MONTH(1 &amp; All_India_Index_Upto_April23__1[[#This Row],[Month]])</f>
        <v>8</v>
      </c>
      <c r="AS202" s="19" t="str">
        <f>All_India_Index_Upto_April23__1[[#This Row],[MONTH IN NUM]]&amp;"/"&amp;All_India_Index_Upto_April23__1[[#This Row],[Year]]</f>
        <v>8/2017</v>
      </c>
      <c r="AT20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135.31428571428572</v>
      </c>
      <c r="AU20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1302.7476190476191</v>
      </c>
    </row>
    <row r="203" spans="1:47" x14ac:dyDescent="0.3">
      <c r="A203" t="s">
        <v>33</v>
      </c>
      <c r="B203">
        <v>2017</v>
      </c>
      <c r="C203" t="s">
        <v>39</v>
      </c>
      <c r="D203">
        <v>133.6</v>
      </c>
      <c r="E203">
        <v>145.69999999999999</v>
      </c>
      <c r="F203">
        <v>129.6</v>
      </c>
      <c r="G203">
        <v>138.5</v>
      </c>
      <c r="H203">
        <v>118.1</v>
      </c>
      <c r="I203">
        <v>141.80000000000001</v>
      </c>
      <c r="J203">
        <v>159.5</v>
      </c>
      <c r="K203">
        <v>133.6</v>
      </c>
      <c r="L203">
        <v>120.5</v>
      </c>
      <c r="M203">
        <v>135.19999999999999</v>
      </c>
      <c r="N203">
        <v>128.5</v>
      </c>
      <c r="O203">
        <v>145.80000000000001</v>
      </c>
      <c r="P203">
        <v>139</v>
      </c>
      <c r="Q203">
        <v>148.19999999999999</v>
      </c>
      <c r="R203">
        <v>139.30000000000001</v>
      </c>
      <c r="S203">
        <v>132.1</v>
      </c>
      <c r="T203">
        <v>138.30000000000001</v>
      </c>
      <c r="U203">
        <v>132.6</v>
      </c>
      <c r="V203">
        <v>129.4</v>
      </c>
      <c r="W203">
        <v>131.9</v>
      </c>
      <c r="X203">
        <v>129.4</v>
      </c>
      <c r="Y203">
        <v>116</v>
      </c>
      <c r="Z203">
        <v>126.6</v>
      </c>
      <c r="AA203">
        <v>136.80000000000001</v>
      </c>
      <c r="AB203">
        <v>123.6</v>
      </c>
      <c r="AC203">
        <v>125.9</v>
      </c>
      <c r="AD203">
        <v>134.19999999999999</v>
      </c>
      <c r="AE203">
        <v>136.97142857142856</v>
      </c>
      <c r="AF203">
        <v>136.56666666666666</v>
      </c>
      <c r="AG203">
        <v>132.25</v>
      </c>
      <c r="AH203" s="2">
        <f>All_India_Index_Upto_April23__1[[#This Row],[House]]/All_India_Index_Upto_April23__1[[#This Row],[TOTAL BROADER CATEGORIES]]</f>
        <v>0.1022429201218558</v>
      </c>
      <c r="AI203" s="2">
        <f>All_India_Index_Upto_April23__1[[#This Row],[Cloth]]/All_India_Index_Upto_April23__1[[#This Row],[TOTAL BROADER CATEGORIES]]</f>
        <v>0.10558014965072293</v>
      </c>
      <c r="AJ203" s="2">
        <f>All_India_Index_Upto_April23__1[[#This Row],[Food]]/All_India_Index_Upto_April23__1[[#This Row],[TOTAL BROADER CATEGORIES]]</f>
        <v>0.10589307244162607</v>
      </c>
      <c r="AK203" s="2">
        <f>All_India_Index_Upto_April23__1[[#This Row],[Miscellaneous]]/All_India_Index_Upto_April23__1[[#This Row],[TOTAL BROADER CATEGORIES]]</f>
        <v>9.7333713749275214E-2</v>
      </c>
      <c r="AL203" s="2">
        <f>All_India_Index_Upto_April23__1[[#This Row],[Personal care and effects]]/All_India_Index_Upto_April23__1[[#This Row],[TOTAL BROADER CATEGORIES]]</f>
        <v>9.5555576008025528E-2</v>
      </c>
      <c r="AM203" s="2">
        <f>All_India_Index_Upto_April23__1[[#This Row],[Education]]/All_India_Index_Upto_April23__1[[#This Row],[TOTAL BROADER CATEGORIES]]</f>
        <v>0.10576054043606711</v>
      </c>
      <c r="AN203" s="2">
        <f>All_India_Index_Upto_April23__1[[#This Row],[Recreation and amusement]]/All_India_Index_Upto_April23__1[[#This Row],[TOTAL BROADER CATEGORIES]]</f>
        <v>9.7874886105307701E-2</v>
      </c>
      <c r="AO203" s="2">
        <f>All_India_Index_Upto_April23__1[[#This Row],[Transport and communication]]/All_India_Index_Upto_April23__1[[#This Row],[TOTAL BROADER CATEGORIES]]</f>
        <v>8.9679990428244025E-2</v>
      </c>
      <c r="AP203" s="2">
        <f>All_India_Index_Upto_April23__1[[#This Row],[Health]]/All_India_Index_Upto_April23__1[[#This Row],[TOTAL BROADER CATEGORIES]]</f>
        <v>0.10003957552943775</v>
      </c>
      <c r="AQ203" s="2">
        <f>All_India_Index_Upto_April23__1[[#This Row],[Fuel and light]]/All_India_Index_Upto_April23__1[[#This Row],[TOTAL BROADER CATEGORIES]]</f>
        <v>0.10003957552943775</v>
      </c>
      <c r="AR203">
        <f>MONTH(1 &amp; All_India_Index_Upto_April23__1[[#This Row],[Month]])</f>
        <v>7</v>
      </c>
      <c r="AS203" s="19" t="str">
        <f>All_India_Index_Upto_April23__1[[#This Row],[MONTH IN NUM]]&amp;"/"&amp;All_India_Index_Upto_April23__1[[#This Row],[Year]]</f>
        <v>7/2017</v>
      </c>
      <c r="AT20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134.34285714285716</v>
      </c>
      <c r="AU20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1293.4880952380954</v>
      </c>
    </row>
    <row r="204" spans="1:47" x14ac:dyDescent="0.3">
      <c r="A204" t="s">
        <v>30</v>
      </c>
      <c r="B204">
        <v>2017</v>
      </c>
      <c r="C204" t="s">
        <v>39</v>
      </c>
      <c r="D204">
        <v>134</v>
      </c>
      <c r="E204">
        <v>144.19999999999999</v>
      </c>
      <c r="F204">
        <v>129.80000000000001</v>
      </c>
      <c r="G204">
        <v>139</v>
      </c>
      <c r="H204">
        <v>120.9</v>
      </c>
      <c r="I204">
        <v>143.9</v>
      </c>
      <c r="J204">
        <v>151.5</v>
      </c>
      <c r="K204">
        <v>138.1</v>
      </c>
      <c r="L204">
        <v>120</v>
      </c>
      <c r="M204">
        <v>133.9</v>
      </c>
      <c r="N204">
        <v>131.4</v>
      </c>
      <c r="O204">
        <v>147.69999999999999</v>
      </c>
      <c r="P204">
        <v>138.5</v>
      </c>
      <c r="Q204">
        <v>147.4</v>
      </c>
      <c r="R204">
        <v>144.30000000000001</v>
      </c>
      <c r="S204">
        <v>138.1</v>
      </c>
      <c r="T204">
        <v>143.5</v>
      </c>
      <c r="U204">
        <v>140.85</v>
      </c>
      <c r="V204">
        <v>135.30000000000001</v>
      </c>
      <c r="W204">
        <v>136.1</v>
      </c>
      <c r="X204">
        <v>132.1</v>
      </c>
      <c r="Y204">
        <v>119.1</v>
      </c>
      <c r="Z204">
        <v>130.6</v>
      </c>
      <c r="AA204">
        <v>138.6</v>
      </c>
      <c r="AB204">
        <v>124.4</v>
      </c>
      <c r="AC204">
        <v>128.6</v>
      </c>
      <c r="AD204">
        <v>136.19999999999999</v>
      </c>
      <c r="AE204">
        <v>137.16428571428574</v>
      </c>
      <c r="AF204">
        <v>141.96666666666667</v>
      </c>
      <c r="AG204">
        <v>138.47499999999999</v>
      </c>
      <c r="AH204" s="2">
        <f>All_India_Index_Upto_April23__1[[#This Row],[House]]/All_India_Index_Upto_April23__1[[#This Row],[TOTAL BROADER CATEGORIES]]</f>
        <v>0.1044065283364016</v>
      </c>
      <c r="AI204" s="2">
        <f>All_India_Index_Upto_April23__1[[#This Row],[Cloth]]/All_India_Index_Upto_April23__1[[#This Row],[TOTAL BROADER CATEGORIES]]</f>
        <v>0.10703915368230954</v>
      </c>
      <c r="AJ204" s="2">
        <f>All_India_Index_Upto_April23__1[[#This Row],[Food]]/All_India_Index_Upto_April23__1[[#This Row],[TOTAL BROADER CATEGORIES]]</f>
        <v>0.10341828404528514</v>
      </c>
      <c r="AK204" s="2">
        <f>All_India_Index_Upto_April23__1[[#This Row],[Miscellaneous]]/All_India_Index_Upto_April23__1[[#This Row],[TOTAL BROADER CATEGORIES]]</f>
        <v>9.6961036606327822E-2</v>
      </c>
      <c r="AL204" s="2">
        <f>All_India_Index_Upto_April23__1[[#This Row],[Personal care and effects]]/All_India_Index_Upto_April23__1[[#This Row],[TOTAL BROADER CATEGORIES]]</f>
        <v>9.3794346452777469E-2</v>
      </c>
      <c r="AM204" s="2">
        <f>All_India_Index_Upto_April23__1[[#This Row],[Education]]/All_India_Index_Upto_April23__1[[#This Row],[TOTAL BROADER CATEGORIES]]</f>
        <v>0.10450077506716202</v>
      </c>
      <c r="AN204" s="2">
        <f>All_India_Index_Upto_April23__1[[#This Row],[Recreation and amusement]]/All_India_Index_Upto_April23__1[[#This Row],[TOTAL BROADER CATEGORIES]]</f>
        <v>9.8468984298494655E-2</v>
      </c>
      <c r="AO204" s="2">
        <f>All_India_Index_Upto_April23__1[[#This Row],[Transport and communication]]/All_India_Index_Upto_April23__1[[#This Row],[TOTAL BROADER CATEGORIES]]</f>
        <v>8.9798285068535336E-2</v>
      </c>
      <c r="AP204" s="2">
        <f>All_India_Index_Upto_April23__1[[#This Row],[Health]]/All_India_Index_Upto_April23__1[[#This Row],[TOTAL BROADER CATEGORIES]]</f>
        <v>9.9599945067619794E-2</v>
      </c>
      <c r="AQ204" s="2">
        <f>All_India_Index_Upto_April23__1[[#This Row],[Fuel and light]]/All_India_Index_Upto_April23__1[[#This Row],[TOTAL BROADER CATEGORIES]]</f>
        <v>0.10201266137508674</v>
      </c>
      <c r="AR204">
        <f>MONTH(1 &amp; All_India_Index_Upto_April23__1[[#This Row],[Month]])</f>
        <v>7</v>
      </c>
      <c r="AS204" s="19" t="str">
        <f>All_India_Index_Upto_April23__1[[#This Row],[MONTH IN NUM]]&amp;"/"&amp;All_India_Index_Upto_April23__1[[#This Row],[Year]]</f>
        <v>7/2017</v>
      </c>
      <c r="AT20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139.53571428571428</v>
      </c>
      <c r="AU20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1326.3059523809522</v>
      </c>
    </row>
    <row r="205" spans="1:47" x14ac:dyDescent="0.3">
      <c r="A205" t="s">
        <v>32</v>
      </c>
      <c r="B205">
        <v>2017</v>
      </c>
      <c r="C205" t="s">
        <v>39</v>
      </c>
      <c r="D205">
        <v>132.80000000000001</v>
      </c>
      <c r="E205">
        <v>148.4</v>
      </c>
      <c r="F205">
        <v>129.4</v>
      </c>
      <c r="G205">
        <v>137.69999999999999</v>
      </c>
      <c r="H205">
        <v>113.4</v>
      </c>
      <c r="I205">
        <v>139.4</v>
      </c>
      <c r="J205">
        <v>175.1</v>
      </c>
      <c r="K205">
        <v>124.7</v>
      </c>
      <c r="L205">
        <v>121.5</v>
      </c>
      <c r="M205">
        <v>137.80000000000001</v>
      </c>
      <c r="N205">
        <v>124.4</v>
      </c>
      <c r="O205">
        <v>143.69999999999999</v>
      </c>
      <c r="P205">
        <v>139.80000000000001</v>
      </c>
      <c r="Q205">
        <v>150.5</v>
      </c>
      <c r="R205">
        <v>131.6</v>
      </c>
      <c r="S205">
        <v>123.7</v>
      </c>
      <c r="T205">
        <v>130.4</v>
      </c>
      <c r="U205">
        <v>132.6</v>
      </c>
      <c r="V205">
        <v>119.7</v>
      </c>
      <c r="W205">
        <v>127.2</v>
      </c>
      <c r="X205">
        <v>125</v>
      </c>
      <c r="Y205">
        <v>113.2</v>
      </c>
      <c r="Z205">
        <v>123.5</v>
      </c>
      <c r="AA205">
        <v>135.5</v>
      </c>
      <c r="AB205">
        <v>122.4</v>
      </c>
      <c r="AC205">
        <v>123</v>
      </c>
      <c r="AD205">
        <v>131.80000000000001</v>
      </c>
      <c r="AE205">
        <v>137.04285714285714</v>
      </c>
      <c r="AF205">
        <v>128.56666666666669</v>
      </c>
      <c r="AG205">
        <v>129.9</v>
      </c>
      <c r="AH205" s="2">
        <f>All_India_Index_Upto_April23__1[[#This Row],[House]]/All_India_Index_Upto_April23__1[[#This Row],[TOTAL BROADER CATEGORIES]]</f>
        <v>0.10327477852653894</v>
      </c>
      <c r="AI205" s="2">
        <f>All_India_Index_Upto_April23__1[[#This Row],[Cloth]]/All_India_Index_Upto_April23__1[[#This Row],[TOTAL BROADER CATEGORIES]]</f>
        <v>0.10221473461043386</v>
      </c>
      <c r="AJ205" s="2">
        <f>All_India_Index_Upto_April23__1[[#This Row],[Food]]/All_India_Index_Upto_April23__1[[#This Row],[TOTAL BROADER CATEGORIES]]</f>
        <v>0.10895358521995908</v>
      </c>
      <c r="AK205" s="2">
        <f>All_India_Index_Upto_April23__1[[#This Row],[Miscellaneous]]/All_India_Index_Upto_April23__1[[#This Row],[TOTAL BROADER CATEGORIES]]</f>
        <v>9.7789051260695065E-2</v>
      </c>
      <c r="AL205" s="2">
        <f>All_India_Index_Upto_April23__1[[#This Row],[Personal care and effects]]/All_India_Index_Upto_April23__1[[#This Row],[TOTAL BROADER CATEGORIES]]</f>
        <v>9.7312031498447776E-2</v>
      </c>
      <c r="AM205" s="2">
        <f>All_India_Index_Upto_April23__1[[#This Row],[Education]]/All_India_Index_Upto_April23__1[[#This Row],[TOTAL BROADER CATEGORIES]]</f>
        <v>0.10772696297418033</v>
      </c>
      <c r="AN205" s="2">
        <f>All_India_Index_Upto_April23__1[[#This Row],[Recreation and amusement]]/All_India_Index_Upto_April23__1[[#This Row],[TOTAL BROADER CATEGORIES]]</f>
        <v>9.8186567729234481E-2</v>
      </c>
      <c r="AO205" s="2">
        <f>All_India_Index_Upto_April23__1[[#This Row],[Transport and communication]]/All_India_Index_Upto_April23__1[[#This Row],[TOTAL BROADER CATEGORIES]]</f>
        <v>8.9997728477322611E-2</v>
      </c>
      <c r="AP205" s="2">
        <f>All_India_Index_Upto_April23__1[[#This Row],[Health]]/All_India_Index_Upto_April23__1[[#This Row],[TOTAL BROADER CATEGORIES]]</f>
        <v>9.9379117134852701E-2</v>
      </c>
      <c r="AQ205" s="2">
        <f>All_India_Index_Upto_April23__1[[#This Row],[Fuel and light]]/All_India_Index_Upto_April23__1[[#This Row],[TOTAL BROADER CATEGORIES]]</f>
        <v>9.5165442568334951E-2</v>
      </c>
      <c r="AR205">
        <f>MONTH(1 &amp; All_India_Index_Upto_April23__1[[#This Row],[Month]])</f>
        <v>7</v>
      </c>
      <c r="AS205" s="19" t="str">
        <f>All_India_Index_Upto_April23__1[[#This Row],[MONTH IN NUM]]&amp;"/"&amp;All_India_Index_Upto_April23__1[[#This Row],[Year]]</f>
        <v>7/2017</v>
      </c>
      <c r="AT20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128.67142857142858</v>
      </c>
      <c r="AU20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1257.8095238095241</v>
      </c>
    </row>
    <row r="206" spans="1:47" x14ac:dyDescent="0.3">
      <c r="A206" t="s">
        <v>32</v>
      </c>
      <c r="B206">
        <v>2017</v>
      </c>
      <c r="C206" t="s">
        <v>38</v>
      </c>
      <c r="D206">
        <v>132.9</v>
      </c>
      <c r="E206">
        <v>148.69999999999999</v>
      </c>
      <c r="F206">
        <v>128.30000000000001</v>
      </c>
      <c r="G206">
        <v>137.30000000000001</v>
      </c>
      <c r="H206">
        <v>113.5</v>
      </c>
      <c r="I206">
        <v>137.19999999999999</v>
      </c>
      <c r="J206">
        <v>142.19999999999999</v>
      </c>
      <c r="K206">
        <v>128.19999999999999</v>
      </c>
      <c r="L206">
        <v>120.9</v>
      </c>
      <c r="M206">
        <v>138.80000000000001</v>
      </c>
      <c r="N206">
        <v>124.2</v>
      </c>
      <c r="O206">
        <v>143.1</v>
      </c>
      <c r="P206">
        <v>135.69999999999999</v>
      </c>
      <c r="Q206">
        <v>148.6</v>
      </c>
      <c r="R206">
        <v>131.5</v>
      </c>
      <c r="S206">
        <v>123.2</v>
      </c>
      <c r="T206">
        <v>130.19999999999999</v>
      </c>
      <c r="U206">
        <v>131.4</v>
      </c>
      <c r="V206">
        <v>119</v>
      </c>
      <c r="W206">
        <v>126.8</v>
      </c>
      <c r="X206">
        <v>123.8</v>
      </c>
      <c r="Y206">
        <v>113.9</v>
      </c>
      <c r="Z206">
        <v>122.9</v>
      </c>
      <c r="AA206">
        <v>134.30000000000001</v>
      </c>
      <c r="AB206">
        <v>122.5</v>
      </c>
      <c r="AC206">
        <v>122.7</v>
      </c>
      <c r="AD206">
        <v>129.9</v>
      </c>
      <c r="AE206">
        <v>134.25714285714287</v>
      </c>
      <c r="AF206">
        <v>128.29999999999998</v>
      </c>
      <c r="AG206">
        <v>129.1</v>
      </c>
      <c r="AH206" s="2">
        <f>All_India_Index_Upto_April23__1[[#This Row],[House]]/All_India_Index_Upto_April23__1[[#This Row],[TOTAL BROADER CATEGORIES]]</f>
        <v>0.1032174796980115</v>
      </c>
      <c r="AI206" s="2">
        <f>All_India_Index_Upto_April23__1[[#This Row],[Cloth]]/All_India_Index_Upto_April23__1[[#This Row],[TOTAL BROADER CATEGORIES]]</f>
        <v>0.10257786712048701</v>
      </c>
      <c r="AJ206" s="2">
        <f>All_India_Index_Upto_April23__1[[#This Row],[Food]]/All_India_Index_Upto_April23__1[[#This Row],[TOTAL BROADER CATEGORIES]]</f>
        <v>0.10734069649241033</v>
      </c>
      <c r="AK206" s="2">
        <f>All_India_Index_Upto_April23__1[[#This Row],[Miscellaneous]]/All_India_Index_Upto_April23__1[[#This Row],[TOTAL BROADER CATEGORIES]]</f>
        <v>9.8100579077815733E-2</v>
      </c>
      <c r="AL206" s="2">
        <f>All_India_Index_Upto_April23__1[[#This Row],[Personal care and effects]]/All_India_Index_Upto_April23__1[[#This Row],[TOTAL BROADER CATEGORIES]]</f>
        <v>9.7940675933434612E-2</v>
      </c>
      <c r="AM206" s="2">
        <f>All_India_Index_Upto_April23__1[[#This Row],[Education]]/All_India_Index_Upto_April23__1[[#This Row],[TOTAL BROADER CATEGORIES]]</f>
        <v>0.10737496145192058</v>
      </c>
      <c r="AN206" s="2">
        <f>All_India_Index_Upto_April23__1[[#This Row],[Recreation and amusement]]/All_India_Index_Upto_April23__1[[#This Row],[TOTAL BROADER CATEGORIES]]</f>
        <v>9.8260482222196854E-2</v>
      </c>
      <c r="AO206" s="2">
        <f>All_India_Index_Upto_April23__1[[#This Row],[Transport and communication]]/All_India_Index_Upto_April23__1[[#This Row],[TOTAL BROADER CATEGORIES]]</f>
        <v>9.1064840725046559E-2</v>
      </c>
      <c r="AP206" s="2">
        <f>All_India_Index_Upto_April23__1[[#This Row],[Health]]/All_India_Index_Upto_April23__1[[#This Row],[TOTAL BROADER CATEGORIES]]</f>
        <v>9.8980046371911878E-2</v>
      </c>
      <c r="AQ206" s="2">
        <f>All_India_Index_Upto_April23__1[[#This Row],[Fuel and light]]/All_India_Index_Upto_April23__1[[#This Row],[TOTAL BROADER CATEGORIES]]</f>
        <v>9.5142370906765056E-2</v>
      </c>
      <c r="AR206">
        <f>MONTH(1 &amp; All_India_Index_Upto_April23__1[[#This Row],[Month]])</f>
        <v>6</v>
      </c>
      <c r="AS206" s="19" t="str">
        <f>All_India_Index_Upto_April23__1[[#This Row],[MONTH IN NUM]]&amp;"/"&amp;All_India_Index_Upto_April23__1[[#This Row],[Year]]</f>
        <v>6/2017</v>
      </c>
      <c r="AT20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128.05714285714288</v>
      </c>
      <c r="AU20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1250.7571428571428</v>
      </c>
    </row>
    <row r="207" spans="1:47" x14ac:dyDescent="0.3">
      <c r="A207" t="s">
        <v>33</v>
      </c>
      <c r="B207">
        <v>2017</v>
      </c>
      <c r="C207" t="s">
        <v>38</v>
      </c>
      <c r="D207">
        <v>133.30000000000001</v>
      </c>
      <c r="E207">
        <v>145.5</v>
      </c>
      <c r="F207">
        <v>128.1</v>
      </c>
      <c r="G207">
        <v>138.1</v>
      </c>
      <c r="H207">
        <v>118.2</v>
      </c>
      <c r="I207">
        <v>139.19999999999999</v>
      </c>
      <c r="J207">
        <v>133.30000000000001</v>
      </c>
      <c r="K207">
        <v>136.19999999999999</v>
      </c>
      <c r="L207">
        <v>119.6</v>
      </c>
      <c r="M207">
        <v>135.30000000000001</v>
      </c>
      <c r="N207">
        <v>127.8</v>
      </c>
      <c r="O207">
        <v>144.9</v>
      </c>
      <c r="P207">
        <v>135.19999999999999</v>
      </c>
      <c r="Q207">
        <v>146.5</v>
      </c>
      <c r="R207">
        <v>138.5</v>
      </c>
      <c r="S207">
        <v>131.69999999999999</v>
      </c>
      <c r="T207">
        <v>137.5</v>
      </c>
      <c r="U207">
        <v>131.4</v>
      </c>
      <c r="V207">
        <v>128.80000000000001</v>
      </c>
      <c r="W207">
        <v>131.19999999999999</v>
      </c>
      <c r="X207">
        <v>128.5</v>
      </c>
      <c r="Y207">
        <v>116.5</v>
      </c>
      <c r="Z207">
        <v>125.9</v>
      </c>
      <c r="AA207">
        <v>135.4</v>
      </c>
      <c r="AB207">
        <v>123.4</v>
      </c>
      <c r="AC207">
        <v>125.5</v>
      </c>
      <c r="AD207">
        <v>132</v>
      </c>
      <c r="AE207">
        <v>134.37142857142857</v>
      </c>
      <c r="AF207">
        <v>135.9</v>
      </c>
      <c r="AG207">
        <v>131.30000000000001</v>
      </c>
      <c r="AH207" s="2">
        <f>All_India_Index_Upto_April23__1[[#This Row],[House]]/All_India_Index_Upto_April23__1[[#This Row],[TOTAL BROADER CATEGORIES]]</f>
        <v>0.10213357039671074</v>
      </c>
      <c r="AI207" s="2">
        <f>All_India_Index_Upto_April23__1[[#This Row],[Cloth]]/All_India_Index_Upto_April23__1[[#This Row],[TOTAL BROADER CATEGORIES]]</f>
        <v>0.10571174574952773</v>
      </c>
      <c r="AJ207" s="2">
        <f>All_India_Index_Upto_April23__1[[#This Row],[Food]]/All_India_Index_Upto_April23__1[[#This Row],[TOTAL BROADER CATEGORIES]]</f>
        <v>0.10452272474719412</v>
      </c>
      <c r="AK207" s="2">
        <f>All_India_Index_Upto_April23__1[[#This Row],[Miscellaneous]]/All_India_Index_Upto_April23__1[[#This Row],[TOTAL BROADER CATEGORIES]]</f>
        <v>9.7621957995332811E-2</v>
      </c>
      <c r="AL207" s="2">
        <f>All_India_Index_Upto_April23__1[[#This Row],[Personal care and effects]]/All_India_Index_Upto_April23__1[[#This Row],[TOTAL BROADER CATEGORIES]]</f>
        <v>9.5988443160351142E-2</v>
      </c>
      <c r="AM207" s="2">
        <f>All_India_Index_Upto_April23__1[[#This Row],[Education]]/All_India_Index_Upto_April23__1[[#This Row],[TOTAL BROADER CATEGORIES]]</f>
        <v>0.10532281364596066</v>
      </c>
      <c r="AN207" s="2">
        <f>All_India_Index_Upto_April23__1[[#This Row],[Recreation and amusement]]/All_India_Index_Upto_April23__1[[#This Row],[TOTAL BROADER CATEGORIES]]</f>
        <v>9.7933103678186459E-2</v>
      </c>
      <c r="AO207" s="2">
        <f>All_India_Index_Upto_April23__1[[#This Row],[Transport and communication]]/All_India_Index_Upto_April23__1[[#This Row],[TOTAL BROADER CATEGORIES]]</f>
        <v>9.0621180131125675E-2</v>
      </c>
      <c r="AP207" s="2">
        <f>All_India_Index_Upto_April23__1[[#This Row],[Health]]/All_India_Index_Upto_April23__1[[#This Row],[TOTAL BROADER CATEGORIES]]</f>
        <v>9.9955550616735181E-2</v>
      </c>
      <c r="AQ207" s="2">
        <f>All_India_Index_Upto_April23__1[[#This Row],[Fuel and light]]/All_India_Index_Upto_April23__1[[#This Row],[TOTAL BROADER CATEGORIES]]</f>
        <v>0.10018890987887544</v>
      </c>
      <c r="AR207">
        <f>MONTH(1 &amp; All_India_Index_Upto_April23__1[[#This Row],[Month]])</f>
        <v>6</v>
      </c>
      <c r="AS207" s="19" t="str">
        <f>All_India_Index_Upto_April23__1[[#This Row],[MONTH IN NUM]]&amp;"/"&amp;All_India_Index_Upto_April23__1[[#This Row],[Year]]</f>
        <v>6/2017</v>
      </c>
      <c r="AT20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133.5</v>
      </c>
      <c r="AU20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1285.5714285714287</v>
      </c>
    </row>
    <row r="208" spans="1:47" x14ac:dyDescent="0.3">
      <c r="A208" t="s">
        <v>30</v>
      </c>
      <c r="B208">
        <v>2017</v>
      </c>
      <c r="C208" t="s">
        <v>38</v>
      </c>
      <c r="D208">
        <v>133.5</v>
      </c>
      <c r="E208">
        <v>143.69999999999999</v>
      </c>
      <c r="F208">
        <v>128</v>
      </c>
      <c r="G208">
        <v>138.6</v>
      </c>
      <c r="H208">
        <v>120.9</v>
      </c>
      <c r="I208">
        <v>140.9</v>
      </c>
      <c r="J208">
        <v>128.80000000000001</v>
      </c>
      <c r="K208">
        <v>140.19999999999999</v>
      </c>
      <c r="L208">
        <v>118.9</v>
      </c>
      <c r="M208">
        <v>133.5</v>
      </c>
      <c r="N208">
        <v>130.4</v>
      </c>
      <c r="O208">
        <v>146.5</v>
      </c>
      <c r="P208">
        <v>134.9</v>
      </c>
      <c r="Q208">
        <v>145.80000000000001</v>
      </c>
      <c r="R208">
        <v>143.1</v>
      </c>
      <c r="S208">
        <v>137.69999999999999</v>
      </c>
      <c r="T208">
        <v>142.30000000000001</v>
      </c>
      <c r="U208">
        <v>140.85</v>
      </c>
      <c r="V208">
        <v>134.80000000000001</v>
      </c>
      <c r="W208">
        <v>135.19999999999999</v>
      </c>
      <c r="X208">
        <v>131.30000000000001</v>
      </c>
      <c r="Y208">
        <v>119.4</v>
      </c>
      <c r="Z208">
        <v>129.80000000000001</v>
      </c>
      <c r="AA208">
        <v>136.9</v>
      </c>
      <c r="AB208">
        <v>124.1</v>
      </c>
      <c r="AC208">
        <v>128.1</v>
      </c>
      <c r="AD208">
        <v>133.9</v>
      </c>
      <c r="AE208">
        <v>134.61428571428573</v>
      </c>
      <c r="AF208">
        <v>141.03333333333333</v>
      </c>
      <c r="AG208">
        <v>138.02499999999998</v>
      </c>
      <c r="AH208" s="2">
        <f>All_India_Index_Upto_April23__1[[#This Row],[House]]/All_India_Index_Upto_April23__1[[#This Row],[TOTAL BROADER CATEGORIES]]</f>
        <v>0.10471729554607601</v>
      </c>
      <c r="AI208" s="2">
        <f>All_India_Index_Upto_April23__1[[#This Row],[Cloth]]/All_India_Index_Upto_April23__1[[#This Row],[TOTAL BROADER CATEGORIES]]</f>
        <v>0.10699966852754879</v>
      </c>
      <c r="AJ208" s="2">
        <f>All_India_Index_Upto_April23__1[[#This Row],[Food]]/All_India_Index_Upto_April23__1[[#This Row],[TOTAL BROADER CATEGORIES]]</f>
        <v>0.1021296427594043</v>
      </c>
      <c r="AK208" s="2">
        <f>All_India_Index_Upto_April23__1[[#This Row],[Miscellaneous]]/All_India_Index_Upto_April23__1[[#This Row],[TOTAL BROADER CATEGORIES]]</f>
        <v>9.7187361416064752E-2</v>
      </c>
      <c r="AL208" s="2">
        <f>All_India_Index_Upto_April23__1[[#This Row],[Personal care and effects]]/All_India_Index_Upto_April23__1[[#This Row],[TOTAL BROADER CATEGORIES]]</f>
        <v>9.4152627257873822E-2</v>
      </c>
      <c r="AM208" s="2">
        <f>All_India_Index_Upto_April23__1[[#This Row],[Education]]/All_India_Index_Upto_April23__1[[#This Row],[TOTAL BROADER CATEGORIES]]</f>
        <v>0.10386377656408483</v>
      </c>
      <c r="AN208" s="2">
        <f>All_India_Index_Upto_April23__1[[#This Row],[Recreation and amusement]]/All_India_Index_Upto_April23__1[[#This Row],[TOTAL BROADER CATEGORIES]]</f>
        <v>9.8477123433295913E-2</v>
      </c>
      <c r="AO208" s="2">
        <f>All_India_Index_Upto_April23__1[[#This Row],[Transport and communication]]/All_India_Index_Upto_April23__1[[#This Row],[TOTAL BROADER CATEGORIES]]</f>
        <v>9.0586814621999467E-2</v>
      </c>
      <c r="AP208" s="2">
        <f>All_India_Index_Upto_April23__1[[#This Row],[Health]]/All_India_Index_Upto_April23__1[[#This Row],[TOTAL BROADER CATEGORIES]]</f>
        <v>9.961514874261751E-2</v>
      </c>
      <c r="AQ208" s="2">
        <f>All_India_Index_Upto_April23__1[[#This Row],[Fuel and light]]/All_India_Index_Upto_April23__1[[#This Row],[TOTAL BROADER CATEGORIES]]</f>
        <v>0.10227054113103458</v>
      </c>
      <c r="AR208">
        <f>MONTH(1 &amp; All_India_Index_Upto_April23__1[[#This Row],[Month]])</f>
        <v>6</v>
      </c>
      <c r="AS208" s="19" t="str">
        <f>All_India_Index_Upto_April23__1[[#This Row],[MONTH IN NUM]]&amp;"/"&amp;All_India_Index_Upto_April23__1[[#This Row],[Year]]</f>
        <v>6/2017</v>
      </c>
      <c r="AT20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138.69285714285715</v>
      </c>
      <c r="AU20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1318.0726190476191</v>
      </c>
    </row>
    <row r="209" spans="1:47" x14ac:dyDescent="0.3">
      <c r="A209" t="s">
        <v>30</v>
      </c>
      <c r="B209">
        <v>2017</v>
      </c>
      <c r="C209" t="s">
        <v>37</v>
      </c>
      <c r="D209">
        <v>133.1</v>
      </c>
      <c r="E209">
        <v>140.30000000000001</v>
      </c>
      <c r="F209">
        <v>126.8</v>
      </c>
      <c r="G209">
        <v>138.19999999999999</v>
      </c>
      <c r="H209">
        <v>120.8</v>
      </c>
      <c r="I209">
        <v>140.19999999999999</v>
      </c>
      <c r="J209">
        <v>123.8</v>
      </c>
      <c r="K209">
        <v>141.80000000000001</v>
      </c>
      <c r="L209">
        <v>118.6</v>
      </c>
      <c r="M209">
        <v>134</v>
      </c>
      <c r="N209">
        <v>130.30000000000001</v>
      </c>
      <c r="O209">
        <v>145.80000000000001</v>
      </c>
      <c r="P209">
        <v>133.80000000000001</v>
      </c>
      <c r="Q209">
        <v>145.5</v>
      </c>
      <c r="R209">
        <v>142.5</v>
      </c>
      <c r="S209">
        <v>137.30000000000001</v>
      </c>
      <c r="T209">
        <v>141.80000000000001</v>
      </c>
      <c r="U209">
        <v>140.85</v>
      </c>
      <c r="V209">
        <v>135</v>
      </c>
      <c r="W209">
        <v>134.9</v>
      </c>
      <c r="X209">
        <v>131.4</v>
      </c>
      <c r="Y209">
        <v>119.4</v>
      </c>
      <c r="Z209">
        <v>129.4</v>
      </c>
      <c r="AA209">
        <v>136.30000000000001</v>
      </c>
      <c r="AB209">
        <v>123.7</v>
      </c>
      <c r="AC209">
        <v>127.9</v>
      </c>
      <c r="AD209">
        <v>133.30000000000001</v>
      </c>
      <c r="AE209">
        <v>133.78571428571425</v>
      </c>
      <c r="AF209">
        <v>140.53333333333333</v>
      </c>
      <c r="AG209">
        <v>137.875</v>
      </c>
      <c r="AH209" s="2">
        <f>All_India_Index_Upto_April23__1[[#This Row],[House]]/All_India_Index_Upto_April23__1[[#This Row],[TOTAL BROADER CATEGORIES]]</f>
        <v>0.10482446890836468</v>
      </c>
      <c r="AI209" s="2">
        <f>All_India_Index_Upto_April23__1[[#This Row],[Cloth]]/All_India_Index_Upto_April23__1[[#This Row],[TOTAL BROADER CATEGORIES]]</f>
        <v>0.1068455632318321</v>
      </c>
      <c r="AJ209" s="2">
        <f>All_India_Index_Upto_April23__1[[#This Row],[Food]]/All_India_Index_Upto_April23__1[[#This Row],[TOTAL BROADER CATEGORIES]]</f>
        <v>0.1017154411425292</v>
      </c>
      <c r="AK209" s="2">
        <f>All_India_Index_Upto_April23__1[[#This Row],[Miscellaneous]]/All_India_Index_Upto_April23__1[[#This Row],[TOTAL BROADER CATEGORIES]]</f>
        <v>9.7240613406200133E-2</v>
      </c>
      <c r="AL209" s="2">
        <f>All_India_Index_Upto_April23__1[[#This Row],[Personal care and effects]]/All_India_Index_Upto_April23__1[[#This Row],[TOTAL BROADER CATEGORIES]]</f>
        <v>9.4047411089499267E-2</v>
      </c>
      <c r="AM209" s="2">
        <f>All_India_Index_Upto_April23__1[[#This Row],[Education]]/All_India_Index_Upto_April23__1[[#This Row],[TOTAL BROADER CATEGORIES]]</f>
        <v>0.10362701803960186</v>
      </c>
      <c r="AN209" s="2">
        <f>All_India_Index_Upto_April23__1[[#This Row],[Recreation and amusement]]/All_India_Index_Upto_April23__1[[#This Row],[TOTAL BROADER CATEGORIES]]</f>
        <v>9.838104280502187E-2</v>
      </c>
      <c r="AO209" s="2">
        <f>All_India_Index_Upto_April23__1[[#This Row],[Transport and communication]]/All_India_Index_Upto_April23__1[[#This Row],[TOTAL BROADER CATEGORIES]]</f>
        <v>9.0778180146210294E-2</v>
      </c>
      <c r="AP209" s="2">
        <f>All_India_Index_Upto_April23__1[[#This Row],[Health]]/All_India_Index_Upto_April23__1[[#This Row],[TOTAL BROADER CATEGORIES]]</f>
        <v>9.9901615336784183E-2</v>
      </c>
      <c r="AQ209" s="2">
        <f>All_India_Index_Upto_April23__1[[#This Row],[Fuel and light]]/All_India_Index_Upto_April23__1[[#This Row],[TOTAL BROADER CATEGORIES]]</f>
        <v>0.10263864589395635</v>
      </c>
      <c r="AR209">
        <f>MONTH(1 &amp; All_India_Index_Upto_April23__1[[#This Row],[Month]])</f>
        <v>5</v>
      </c>
      <c r="AS209" s="19" t="str">
        <f>All_India_Index_Upto_April23__1[[#This Row],[MONTH IN NUM]]&amp;"/"&amp;All_India_Index_Upto_April23__1[[#This Row],[Year]]</f>
        <v>5/2017</v>
      </c>
      <c r="AT20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138.37857142857143</v>
      </c>
      <c r="AU20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1315.2940476190477</v>
      </c>
    </row>
    <row r="210" spans="1:47" x14ac:dyDescent="0.3">
      <c r="A210" t="s">
        <v>32</v>
      </c>
      <c r="B210">
        <v>2017</v>
      </c>
      <c r="C210" t="s">
        <v>37</v>
      </c>
      <c r="D210">
        <v>132.6</v>
      </c>
      <c r="E210">
        <v>144.1</v>
      </c>
      <c r="F210">
        <v>125.6</v>
      </c>
      <c r="G210">
        <v>136.80000000000001</v>
      </c>
      <c r="H210">
        <v>113.4</v>
      </c>
      <c r="I210">
        <v>135.19999999999999</v>
      </c>
      <c r="J210">
        <v>129.19999999999999</v>
      </c>
      <c r="K210">
        <v>131.5</v>
      </c>
      <c r="L210">
        <v>121</v>
      </c>
      <c r="M210">
        <v>139.9</v>
      </c>
      <c r="N210">
        <v>123.8</v>
      </c>
      <c r="O210">
        <v>142.9</v>
      </c>
      <c r="P210">
        <v>133.6</v>
      </c>
      <c r="Q210">
        <v>148.30000000000001</v>
      </c>
      <c r="R210">
        <v>131.5</v>
      </c>
      <c r="S210">
        <v>123.2</v>
      </c>
      <c r="T210">
        <v>130.19999999999999</v>
      </c>
      <c r="U210">
        <v>132.1</v>
      </c>
      <c r="V210">
        <v>120.1</v>
      </c>
      <c r="W210">
        <v>126.5</v>
      </c>
      <c r="X210">
        <v>123.6</v>
      </c>
      <c r="Y210">
        <v>114.3</v>
      </c>
      <c r="Z210">
        <v>122.8</v>
      </c>
      <c r="AA210">
        <v>133.80000000000001</v>
      </c>
      <c r="AB210">
        <v>122</v>
      </c>
      <c r="AC210">
        <v>122.6</v>
      </c>
      <c r="AD210">
        <v>129.30000000000001</v>
      </c>
      <c r="AE210">
        <v>132.70714285714286</v>
      </c>
      <c r="AF210">
        <v>128.29999999999998</v>
      </c>
      <c r="AG210">
        <v>129.30000000000001</v>
      </c>
      <c r="AH210" s="2">
        <f>All_India_Index_Upto_April23__1[[#This Row],[House]]/All_India_Index_Upto_April23__1[[#This Row],[TOTAL BROADER CATEGORIES]]</f>
        <v>0.10348080100153778</v>
      </c>
      <c r="AI210" s="2">
        <f>All_India_Index_Upto_April23__1[[#This Row],[Cloth]]/All_India_Index_Upto_April23__1[[#This Row],[TOTAL BROADER CATEGORIES]]</f>
        <v>0.1026804854485483</v>
      </c>
      <c r="AJ210" s="2">
        <f>All_India_Index_Upto_April23__1[[#This Row],[Food]]/All_India_Index_Upto_April23__1[[#This Row],[TOTAL BROADER CATEGORIES]]</f>
        <v>0.10620759042136617</v>
      </c>
      <c r="AK210" s="2">
        <f>All_India_Index_Upto_April23__1[[#This Row],[Miscellaneous]]/All_India_Index_Upto_April23__1[[#This Row],[TOTAL BROADER CATEGORIES]]</f>
        <v>9.8118686796508356E-2</v>
      </c>
      <c r="AL210" s="2">
        <f>All_India_Index_Upto_April23__1[[#This Row],[Personal care and effects]]/All_India_Index_Upto_April23__1[[#This Row],[TOTAL BROADER CATEGORIES]]</f>
        <v>9.7638497464714688E-2</v>
      </c>
      <c r="AM210" s="2">
        <f>All_India_Index_Upto_April23__1[[#This Row],[Education]]/All_India_Index_Upto_April23__1[[#This Row],[TOTAL BROADER CATEGORIES]]</f>
        <v>0.10708222098999037</v>
      </c>
      <c r="AN210" s="2">
        <f>All_India_Index_Upto_April23__1[[#This Row],[Recreation and amusement]]/All_India_Index_Upto_April23__1[[#This Row],[TOTAL BROADER CATEGORIES]]</f>
        <v>9.827874990710625E-2</v>
      </c>
      <c r="AO210" s="2">
        <f>All_India_Index_Upto_April23__1[[#This Row],[Transport and communication]]/All_India_Index_Upto_April23__1[[#This Row],[TOTAL BROADER CATEGORIES]]</f>
        <v>9.1476067706695807E-2</v>
      </c>
      <c r="AP210" s="2">
        <f>All_India_Index_Upto_April23__1[[#This Row],[Health]]/All_India_Index_Upto_April23__1[[#This Row],[TOTAL BROADER CATEGORIES]]</f>
        <v>9.8919002349497825E-2</v>
      </c>
      <c r="AQ210" s="2">
        <f>All_India_Index_Upto_April23__1[[#This Row],[Fuel and light]]/All_India_Index_Upto_April23__1[[#This Row],[TOTAL BROADER CATEGORIES]]</f>
        <v>9.6117897914034703E-2</v>
      </c>
      <c r="AR210">
        <f>MONTH(1 &amp; All_India_Index_Upto_April23__1[[#This Row],[Month]])</f>
        <v>5</v>
      </c>
      <c r="AS210" s="19" t="str">
        <f>All_India_Index_Upto_April23__1[[#This Row],[MONTH IN NUM]]&amp;"/"&amp;All_India_Index_Upto_April23__1[[#This Row],[Year]]</f>
        <v>5/2017</v>
      </c>
      <c r="AT21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128.20000000000002</v>
      </c>
      <c r="AU21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1249.5071428571425</v>
      </c>
    </row>
    <row r="211" spans="1:47" x14ac:dyDescent="0.3">
      <c r="A211" t="s">
        <v>33</v>
      </c>
      <c r="B211">
        <v>2017</v>
      </c>
      <c r="C211" t="s">
        <v>37</v>
      </c>
      <c r="D211">
        <v>132.9</v>
      </c>
      <c r="E211">
        <v>141.6</v>
      </c>
      <c r="F211">
        <v>126.3</v>
      </c>
      <c r="G211">
        <v>137.69999999999999</v>
      </c>
      <c r="H211">
        <v>118.1</v>
      </c>
      <c r="I211">
        <v>137.9</v>
      </c>
      <c r="J211">
        <v>125.6</v>
      </c>
      <c r="K211">
        <v>138.30000000000001</v>
      </c>
      <c r="L211">
        <v>119.4</v>
      </c>
      <c r="M211">
        <v>136</v>
      </c>
      <c r="N211">
        <v>127.6</v>
      </c>
      <c r="O211">
        <v>144.5</v>
      </c>
      <c r="P211">
        <v>133.69999999999999</v>
      </c>
      <c r="Q211">
        <v>146.19999999999999</v>
      </c>
      <c r="R211">
        <v>138.19999999999999</v>
      </c>
      <c r="S211">
        <v>131.4</v>
      </c>
      <c r="T211">
        <v>137.19999999999999</v>
      </c>
      <c r="U211">
        <v>132.1</v>
      </c>
      <c r="V211">
        <v>129.4</v>
      </c>
      <c r="W211">
        <v>130.9</v>
      </c>
      <c r="X211">
        <v>128.4</v>
      </c>
      <c r="Y211">
        <v>116.7</v>
      </c>
      <c r="Z211">
        <v>125.7</v>
      </c>
      <c r="AA211">
        <v>134.80000000000001</v>
      </c>
      <c r="AB211">
        <v>123</v>
      </c>
      <c r="AC211">
        <v>125.3</v>
      </c>
      <c r="AD211">
        <v>131.4</v>
      </c>
      <c r="AE211">
        <v>133.27142857142857</v>
      </c>
      <c r="AF211">
        <v>135.6</v>
      </c>
      <c r="AG211">
        <v>131.5</v>
      </c>
      <c r="AH211" s="2">
        <f>All_India_Index_Upto_April23__1[[#This Row],[House]]/All_India_Index_Upto_April23__1[[#This Row],[TOTAL BROADER CATEGORIES]]</f>
        <v>0.10244054442057934</v>
      </c>
      <c r="AI211" s="2">
        <f>All_India_Index_Upto_April23__1[[#This Row],[Cloth]]/All_India_Index_Upto_April23__1[[#This Row],[TOTAL BROADER CATEGORIES]]</f>
        <v>0.10563450816297003</v>
      </c>
      <c r="AJ211" s="2">
        <f>All_India_Index_Upto_April23__1[[#This Row],[Food]]/All_India_Index_Upto_April23__1[[#This Row],[TOTAL BROADER CATEGORIES]]</f>
        <v>0.10382051481798857</v>
      </c>
      <c r="AK211" s="2">
        <f>All_India_Index_Upto_April23__1[[#This Row],[Miscellaneous]]/All_India_Index_Upto_April23__1[[#This Row],[TOTAL BROADER CATEGORIES]]</f>
        <v>9.7610648029647085E-2</v>
      </c>
      <c r="AL211" s="2">
        <f>All_India_Index_Upto_April23__1[[#This Row],[Personal care and effects]]/All_India_Index_Upto_April23__1[[#This Row],[TOTAL BROADER CATEGORIES]]</f>
        <v>9.581891227172061E-2</v>
      </c>
      <c r="AM211" s="2">
        <f>All_India_Index_Upto_April23__1[[#This Row],[Education]]/All_India_Index_Upto_April23__1[[#This Row],[TOTAL BROADER CATEGORIES]]</f>
        <v>0.1050112957254304</v>
      </c>
      <c r="AN211" s="2">
        <f>All_India_Index_Upto_April23__1[[#This Row],[Recreation and amusement]]/All_India_Index_Upto_April23__1[[#This Row],[TOTAL BROADER CATEGORIES]]</f>
        <v>9.7922254248416912E-2</v>
      </c>
      <c r="AO211" s="2">
        <f>All_India_Index_Upto_April23__1[[#This Row],[Transport and communication]]/All_India_Index_Upto_April23__1[[#This Row],[TOTAL BROADER CATEGORIES]]</f>
        <v>9.0911114326095888E-2</v>
      </c>
      <c r="AP211" s="2">
        <f>All_India_Index_Upto_April23__1[[#This Row],[Health]]/All_India_Index_Upto_April23__1[[#This Row],[TOTAL BROADER CATEGORIES]]</f>
        <v>0.10002559622511323</v>
      </c>
      <c r="AQ211" s="2">
        <f>All_India_Index_Upto_April23__1[[#This Row],[Fuel and light]]/All_India_Index_Upto_April23__1[[#This Row],[TOTAL BROADER CATEGORIES]]</f>
        <v>0.10080461177203778</v>
      </c>
      <c r="AR211">
        <f>MONTH(1 &amp; All_India_Index_Upto_April23__1[[#This Row],[Month]])</f>
        <v>5</v>
      </c>
      <c r="AS211" s="19" t="str">
        <f>All_India_Index_Upto_April23__1[[#This Row],[MONTH IN NUM]]&amp;"/"&amp;All_India_Index_Upto_April23__1[[#This Row],[Year]]</f>
        <v>5/2017</v>
      </c>
      <c r="AT21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133.42857142857142</v>
      </c>
      <c r="AU21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1283.6714285714288</v>
      </c>
    </row>
    <row r="212" spans="1:47" x14ac:dyDescent="0.3">
      <c r="A212" t="s">
        <v>33</v>
      </c>
      <c r="B212">
        <v>2017</v>
      </c>
      <c r="C212" t="s">
        <v>36</v>
      </c>
      <c r="D212">
        <v>133</v>
      </c>
      <c r="E212">
        <v>139.4</v>
      </c>
      <c r="F212">
        <v>126.1</v>
      </c>
      <c r="G212">
        <v>137.19999999999999</v>
      </c>
      <c r="H212">
        <v>118.4</v>
      </c>
      <c r="I212">
        <v>139.9</v>
      </c>
      <c r="J212">
        <v>123.4</v>
      </c>
      <c r="K212">
        <v>140.9</v>
      </c>
      <c r="L212">
        <v>118.5</v>
      </c>
      <c r="M212">
        <v>136.5</v>
      </c>
      <c r="N212">
        <v>127.4</v>
      </c>
      <c r="O212">
        <v>144.19999999999999</v>
      </c>
      <c r="P212">
        <v>133.5</v>
      </c>
      <c r="Q212">
        <v>145.4</v>
      </c>
      <c r="R212">
        <v>138</v>
      </c>
      <c r="S212">
        <v>131.1</v>
      </c>
      <c r="T212">
        <v>137</v>
      </c>
      <c r="U212">
        <v>131.69999999999999</v>
      </c>
      <c r="V212">
        <v>129.80000000000001</v>
      </c>
      <c r="W212">
        <v>130.4</v>
      </c>
      <c r="X212">
        <v>128.1</v>
      </c>
      <c r="Y212">
        <v>116.6</v>
      </c>
      <c r="Z212">
        <v>125.1</v>
      </c>
      <c r="AA212">
        <v>134.5</v>
      </c>
      <c r="AB212">
        <v>123.1</v>
      </c>
      <c r="AC212">
        <v>125.1</v>
      </c>
      <c r="AD212">
        <v>131.1</v>
      </c>
      <c r="AE212">
        <v>133.12857142857143</v>
      </c>
      <c r="AF212">
        <v>135.36666666666667</v>
      </c>
      <c r="AG212">
        <v>131.05000000000001</v>
      </c>
      <c r="AH212" s="2">
        <f>All_India_Index_Upto_April23__1[[#This Row],[House]]/All_India_Index_Upto_April23__1[[#This Row],[TOTAL BROADER CATEGORIES]]</f>
        <v>0.10223543069421873</v>
      </c>
      <c r="AI212" s="2">
        <f>All_India_Index_Upto_April23__1[[#This Row],[Cloth]]/All_India_Index_Upto_April23__1[[#This Row],[TOTAL BROADER CATEGORIES]]</f>
        <v>0.10560297190619922</v>
      </c>
      <c r="AJ212" s="2">
        <f>All_India_Index_Upto_April23__1[[#This Row],[Food]]/All_India_Index_Upto_April23__1[[#This Row],[TOTAL BROADER CATEGORIES]]</f>
        <v>0.10385697701416299</v>
      </c>
      <c r="AK212" s="2">
        <f>All_India_Index_Upto_April23__1[[#This Row],[Miscellaneous]]/All_India_Index_Upto_April23__1[[#This Row],[TOTAL BROADER CATEGORIES]]</f>
        <v>9.759368469932668E-2</v>
      </c>
      <c r="AL212" s="2">
        <f>All_India_Index_Upto_April23__1[[#This Row],[Personal care and effects]]/All_India_Index_Upto_April23__1[[#This Row],[TOTAL BROADER CATEGORIES]]</f>
        <v>9.603343394474112E-2</v>
      </c>
      <c r="AM212" s="2">
        <f>All_India_Index_Upto_April23__1[[#This Row],[Education]]/All_India_Index_Upto_April23__1[[#This Row],[TOTAL BROADER CATEGORIES]]</f>
        <v>0.1049268632458788</v>
      </c>
      <c r="AN212" s="2">
        <f>All_India_Index_Upto_April23__1[[#This Row],[Recreation and amusement]]/All_India_Index_Upto_April23__1[[#This Row],[TOTAL BROADER CATEGORIES]]</f>
        <v>9.759368469932668E-2</v>
      </c>
      <c r="AO212" s="2">
        <f>All_India_Index_Upto_April23__1[[#This Row],[Transport and communication]]/All_India_Index_Upto_April23__1[[#This Row],[TOTAL BROADER CATEGORIES]]</f>
        <v>9.0962618992338054E-2</v>
      </c>
      <c r="AP212" s="2">
        <f>All_India_Index_Upto_April23__1[[#This Row],[Health]]/All_India_Index_Upto_April23__1[[#This Row],[TOTAL BROADER CATEGORIES]]</f>
        <v>9.9934060831205013E-2</v>
      </c>
      <c r="AQ212" s="2">
        <f>All_India_Index_Upto_April23__1[[#This Row],[Fuel and light]]/All_India_Index_Upto_April23__1[[#This Row],[TOTAL BROADER CATEGORIES]]</f>
        <v>0.10126027397260275</v>
      </c>
      <c r="AR212">
        <f>MONTH(1 &amp; All_India_Index_Upto_April23__1[[#This Row],[Month]])</f>
        <v>4</v>
      </c>
      <c r="AS212" s="19" t="str">
        <f>All_India_Index_Upto_April23__1[[#This Row],[MONTH IN NUM]]&amp;"/"&amp;All_India_Index_Upto_April23__1[[#This Row],[Year]]</f>
        <v>4/2017</v>
      </c>
      <c r="AT21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133.21428571428572</v>
      </c>
      <c r="AU21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1281.8452380952381</v>
      </c>
    </row>
    <row r="213" spans="1:47" x14ac:dyDescent="0.3">
      <c r="A213" t="s">
        <v>30</v>
      </c>
      <c r="B213">
        <v>2017</v>
      </c>
      <c r="C213" t="s">
        <v>36</v>
      </c>
      <c r="D213">
        <v>133.19999999999999</v>
      </c>
      <c r="E213">
        <v>138.69999999999999</v>
      </c>
      <c r="F213">
        <v>127.1</v>
      </c>
      <c r="G213">
        <v>137.69999999999999</v>
      </c>
      <c r="H213">
        <v>121.3</v>
      </c>
      <c r="I213">
        <v>141.80000000000001</v>
      </c>
      <c r="J213">
        <v>121.5</v>
      </c>
      <c r="K213">
        <v>144.5</v>
      </c>
      <c r="L213">
        <v>117.4</v>
      </c>
      <c r="M213">
        <v>134.1</v>
      </c>
      <c r="N213">
        <v>130</v>
      </c>
      <c r="O213">
        <v>145.5</v>
      </c>
      <c r="P213">
        <v>133.5</v>
      </c>
      <c r="Q213">
        <v>144.4</v>
      </c>
      <c r="R213">
        <v>142.4</v>
      </c>
      <c r="S213">
        <v>136.80000000000001</v>
      </c>
      <c r="T213">
        <v>141.6</v>
      </c>
      <c r="U213">
        <v>140.85</v>
      </c>
      <c r="V213">
        <v>135</v>
      </c>
      <c r="W213">
        <v>134.30000000000001</v>
      </c>
      <c r="X213">
        <v>131</v>
      </c>
      <c r="Y213">
        <v>119.2</v>
      </c>
      <c r="Z213">
        <v>128.30000000000001</v>
      </c>
      <c r="AA213">
        <v>135.69999999999999</v>
      </c>
      <c r="AB213">
        <v>123.7</v>
      </c>
      <c r="AC213">
        <v>127.5</v>
      </c>
      <c r="AD213">
        <v>132.9</v>
      </c>
      <c r="AE213">
        <v>133.62142857142857</v>
      </c>
      <c r="AF213">
        <v>140.26666666666668</v>
      </c>
      <c r="AG213">
        <v>137.57499999999999</v>
      </c>
      <c r="AH213" s="2">
        <f>All_India_Index_Upto_April23__1[[#This Row],[House]]/All_India_Index_Upto_April23__1[[#This Row],[TOTAL BROADER CATEGORIES]]</f>
        <v>0.10486993688547275</v>
      </c>
      <c r="AI213" s="2">
        <f>All_India_Index_Upto_April23__1[[#This Row],[Cloth]]/All_India_Index_Upto_April23__1[[#This Row],[TOTAL BROADER CATEGORIES]]</f>
        <v>0.10692172618912578</v>
      </c>
      <c r="AJ213" s="2">
        <f>All_India_Index_Upto_April23__1[[#This Row],[Food]]/All_India_Index_Upto_April23__1[[#This Row],[TOTAL BROADER CATEGORIES]]</f>
        <v>0.1018562295535702</v>
      </c>
      <c r="AK213" s="2">
        <f>All_India_Index_Upto_April23__1[[#This Row],[Miscellaneous]]/All_India_Index_Upto_April23__1[[#This Row],[TOTAL BROADER CATEGORIES]]</f>
        <v>9.7190019646721984E-2</v>
      </c>
      <c r="AL213" s="2">
        <f>All_India_Index_Upto_April23__1[[#This Row],[Personal care and effects]]/All_India_Index_Upto_April23__1[[#This Row],[TOTAL BROADER CATEGORIES]]</f>
        <v>9.4293375923917719E-2</v>
      </c>
      <c r="AM213" s="2">
        <f>All_India_Index_Upto_April23__1[[#This Row],[Education]]/All_India_Index_Upto_April23__1[[#This Row],[TOTAL BROADER CATEGORIES]]</f>
        <v>0.10344067189066801</v>
      </c>
      <c r="AN213" s="2">
        <f>All_India_Index_Upto_April23__1[[#This Row],[Recreation and amusement]]/All_India_Index_Upto_April23__1[[#This Row],[TOTAL BROADER CATEGORIES]]</f>
        <v>9.7799839377838677E-2</v>
      </c>
      <c r="AO213" s="2">
        <f>All_India_Index_Upto_April23__1[[#This Row],[Transport and communication]]/All_India_Index_Upto_April23__1[[#This Row],[TOTAL BROADER CATEGORIES]]</f>
        <v>9.0863139936386353E-2</v>
      </c>
      <c r="AP213" s="2">
        <f>All_India_Index_Upto_April23__1[[#This Row],[Health]]/All_India_Index_Upto_April23__1[[#This Row],[TOTAL BROADER CATEGORIES]]</f>
        <v>9.9857980970357488E-2</v>
      </c>
      <c r="AQ213" s="2">
        <f>All_India_Index_Upto_April23__1[[#This Row],[Fuel and light]]/All_India_Index_Upto_April23__1[[#This Row],[TOTAL BROADER CATEGORIES]]</f>
        <v>0.10290707962594092</v>
      </c>
      <c r="AR213">
        <f>MONTH(1 &amp; All_India_Index_Upto_April23__1[[#This Row],[Month]])</f>
        <v>4</v>
      </c>
      <c r="AS213" s="19" t="str">
        <f>All_India_Index_Upto_April23__1[[#This Row],[MONTH IN NUM]]&amp;"/"&amp;All_India_Index_Upto_April23__1[[#This Row],[Year]]</f>
        <v>4/2017</v>
      </c>
      <c r="AT21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138.09285714285713</v>
      </c>
      <c r="AU21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1311.8630952380954</v>
      </c>
    </row>
    <row r="214" spans="1:47" x14ac:dyDescent="0.3">
      <c r="A214" t="s">
        <v>32</v>
      </c>
      <c r="B214">
        <v>2017</v>
      </c>
      <c r="C214" t="s">
        <v>36</v>
      </c>
      <c r="D214">
        <v>132.69999999999999</v>
      </c>
      <c r="E214">
        <v>140.6</v>
      </c>
      <c r="F214">
        <v>124.5</v>
      </c>
      <c r="G214">
        <v>136.30000000000001</v>
      </c>
      <c r="H214">
        <v>113.5</v>
      </c>
      <c r="I214">
        <v>137.69999999999999</v>
      </c>
      <c r="J214">
        <v>127.1</v>
      </c>
      <c r="K214">
        <v>133.80000000000001</v>
      </c>
      <c r="L214">
        <v>120.8</v>
      </c>
      <c r="M214">
        <v>141.30000000000001</v>
      </c>
      <c r="N214">
        <v>123.8</v>
      </c>
      <c r="O214">
        <v>142.6</v>
      </c>
      <c r="P214">
        <v>133.4</v>
      </c>
      <c r="Q214">
        <v>148</v>
      </c>
      <c r="R214">
        <v>131.19999999999999</v>
      </c>
      <c r="S214">
        <v>123</v>
      </c>
      <c r="T214">
        <v>130</v>
      </c>
      <c r="U214">
        <v>131.69999999999999</v>
      </c>
      <c r="V214">
        <v>121.4</v>
      </c>
      <c r="W214">
        <v>126</v>
      </c>
      <c r="X214">
        <v>123.4</v>
      </c>
      <c r="Y214">
        <v>114.3</v>
      </c>
      <c r="Z214">
        <v>122.6</v>
      </c>
      <c r="AA214">
        <v>133.6</v>
      </c>
      <c r="AB214">
        <v>122.2</v>
      </c>
      <c r="AC214">
        <v>122.5</v>
      </c>
      <c r="AD214">
        <v>129.1</v>
      </c>
      <c r="AE214">
        <v>132.57857142857142</v>
      </c>
      <c r="AF214">
        <v>128.06666666666666</v>
      </c>
      <c r="AG214">
        <v>128.85</v>
      </c>
      <c r="AH214" s="2">
        <f>All_India_Index_Upto_April23__1[[#This Row],[House]]/All_India_Index_Upto_April23__1[[#This Row],[TOTAL BROADER CATEGORIES]]</f>
        <v>0.10312164150094895</v>
      </c>
      <c r="AI214" s="2">
        <f>All_India_Index_Upto_April23__1[[#This Row],[Cloth]]/All_India_Index_Upto_April23__1[[#This Row],[TOTAL BROADER CATEGORIES]]</f>
        <v>0.10249472167808714</v>
      </c>
      <c r="AJ214" s="2">
        <f>All_India_Index_Upto_April23__1[[#This Row],[Food]]/All_India_Index_Upto_April23__1[[#This Row],[TOTAL BROADER CATEGORIES]]</f>
        <v>0.10610570363651607</v>
      </c>
      <c r="AK214" s="2">
        <f>All_India_Index_Upto_April23__1[[#This Row],[Miscellaneous]]/All_India_Index_Upto_April23__1[[#This Row],[TOTAL BROADER CATEGORIES]]</f>
        <v>9.8039589319877732E-2</v>
      </c>
      <c r="AL214" s="2">
        <f>All_India_Index_Upto_April23__1[[#This Row],[Personal care and effects]]/All_India_Index_Upto_April23__1[[#This Row],[TOTAL BROADER CATEGORIES]]</f>
        <v>9.779949236644131E-2</v>
      </c>
      <c r="AM214" s="2">
        <f>All_India_Index_Upto_April23__1[[#This Row],[Education]]/All_India_Index_Upto_April23__1[[#This Row],[TOTAL BROADER CATEGORIES]]</f>
        <v>0.10692317659702584</v>
      </c>
      <c r="AN214" s="2">
        <f>All_India_Index_Upto_April23__1[[#This Row],[Recreation and amusement]]/All_India_Index_Upto_April23__1[[#This Row],[TOTAL BROADER CATEGORIES]]</f>
        <v>9.8119621637689877E-2</v>
      </c>
      <c r="AO214" s="2">
        <f>All_India_Index_Upto_April23__1[[#This Row],[Transport and communication]]/All_India_Index_Upto_April23__1[[#This Row],[TOTAL BROADER CATEGORIES]]</f>
        <v>9.1476939259281839E-2</v>
      </c>
      <c r="AP214" s="2">
        <f>All_India_Index_Upto_April23__1[[#This Row],[Health]]/All_India_Index_Upto_April23__1[[#This Row],[TOTAL BROADER CATEGORIES]]</f>
        <v>9.875988018018704E-2</v>
      </c>
      <c r="AQ214" s="2">
        <f>All_India_Index_Upto_April23__1[[#This Row],[Fuel and light]]/All_India_Index_Upto_April23__1[[#This Row],[TOTAL BROADER CATEGORIES]]</f>
        <v>9.7159233823944147E-2</v>
      </c>
      <c r="AR214">
        <f>MONTH(1 &amp; All_India_Index_Upto_April23__1[[#This Row],[Month]])</f>
        <v>4</v>
      </c>
      <c r="AS214" s="19" t="str">
        <f>All_India_Index_Upto_April23__1[[#This Row],[MONTH IN NUM]]&amp;"/"&amp;All_India_Index_Upto_April23__1[[#This Row],[Year]]</f>
        <v>4/2017</v>
      </c>
      <c r="AT21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128.12857142857143</v>
      </c>
      <c r="AU21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1249.4952380952382</v>
      </c>
    </row>
    <row r="215" spans="1:47" x14ac:dyDescent="0.3">
      <c r="A215" t="s">
        <v>32</v>
      </c>
      <c r="B215">
        <v>2017</v>
      </c>
      <c r="C215" t="s">
        <v>35</v>
      </c>
      <c r="D215">
        <v>132.69999999999999</v>
      </c>
      <c r="E215">
        <v>139.4</v>
      </c>
      <c r="F215">
        <v>128.4</v>
      </c>
      <c r="G215">
        <v>134.9</v>
      </c>
      <c r="H215">
        <v>114</v>
      </c>
      <c r="I215">
        <v>136.80000000000001</v>
      </c>
      <c r="J215">
        <v>122.2</v>
      </c>
      <c r="K215">
        <v>135.80000000000001</v>
      </c>
      <c r="L215">
        <v>120.3</v>
      </c>
      <c r="M215">
        <v>142.6</v>
      </c>
      <c r="N215">
        <v>123.6</v>
      </c>
      <c r="O215">
        <v>142.4</v>
      </c>
      <c r="P215">
        <v>132.6</v>
      </c>
      <c r="Q215">
        <v>147.5</v>
      </c>
      <c r="R215">
        <v>130.80000000000001</v>
      </c>
      <c r="S215">
        <v>122.8</v>
      </c>
      <c r="T215">
        <v>129.6</v>
      </c>
      <c r="U215">
        <v>131.1</v>
      </c>
      <c r="V215">
        <v>120.8</v>
      </c>
      <c r="W215">
        <v>125.6</v>
      </c>
      <c r="X215">
        <v>123.1</v>
      </c>
      <c r="Y215">
        <v>115.6</v>
      </c>
      <c r="Z215">
        <v>122.4</v>
      </c>
      <c r="AA215">
        <v>132.80000000000001</v>
      </c>
      <c r="AB215">
        <v>121.7</v>
      </c>
      <c r="AC215">
        <v>122.6</v>
      </c>
      <c r="AD215">
        <v>128.69999999999999</v>
      </c>
      <c r="AE215">
        <v>132.37142857142857</v>
      </c>
      <c r="AF215">
        <v>127.73333333333335</v>
      </c>
      <c r="AG215">
        <v>128.35</v>
      </c>
      <c r="AH215" s="2">
        <f>All_India_Index_Upto_April23__1[[#This Row],[House]]/All_India_Index_Upto_April23__1[[#This Row],[TOTAL BROADER CATEGORIES]]</f>
        <v>0.1028895026253457</v>
      </c>
      <c r="AI215" s="2">
        <f>All_India_Index_Upto_April23__1[[#This Row],[Cloth]]/All_India_Index_Upto_April23__1[[#This Row],[TOTAL BROADER CATEGORIES]]</f>
        <v>0.10239516272180881</v>
      </c>
      <c r="AJ215" s="2">
        <f>All_India_Index_Upto_April23__1[[#This Row],[Food]]/All_India_Index_Upto_April23__1[[#This Row],[TOTAL BROADER CATEGORIES]]</f>
        <v>0.10611320956385478</v>
      </c>
      <c r="AK215" s="2">
        <f>All_India_Index_Upto_April23__1[[#This Row],[Miscellaneous]]/All_India_Index_Upto_April23__1[[#This Row],[TOTAL BROADER CATEGORIES]]</f>
        <v>9.8280117038312298E-2</v>
      </c>
      <c r="AL215" s="2">
        <f>All_India_Index_Upto_April23__1[[#This Row],[Personal care and effects]]/All_India_Index_Upto_April23__1[[#This Row],[TOTAL BROADER CATEGORIES]]</f>
        <v>9.7558647989907071E-2</v>
      </c>
      <c r="AM215" s="2">
        <f>All_India_Index_Upto_April23__1[[#This Row],[Education]]/All_India_Index_Upto_April23__1[[#This Row],[TOTAL BROADER CATEGORIES]]</f>
        <v>0.10645676625357157</v>
      </c>
      <c r="AN215" s="2">
        <f>All_India_Index_Upto_April23__1[[#This Row],[Recreation and amusement]]/All_India_Index_Upto_April23__1[[#This Row],[TOTAL BROADER CATEGORIES]]</f>
        <v>9.8119790583111141E-2</v>
      </c>
      <c r="AO215" s="2">
        <f>All_India_Index_Upto_April23__1[[#This Row],[Transport and communication]]/All_India_Index_Upto_April23__1[[#This Row],[TOTAL BROADER CATEGORIES]]</f>
        <v>9.2668691106271628E-2</v>
      </c>
      <c r="AP215" s="2">
        <f>All_India_Index_Upto_April23__1[[#This Row],[Health]]/All_India_Index_Upto_April23__1[[#This Row],[TOTAL BROADER CATEGORIES]]</f>
        <v>9.8680933176315197E-2</v>
      </c>
      <c r="AQ215" s="2">
        <f>All_India_Index_Upto_April23__1[[#This Row],[Fuel and light]]/All_India_Index_Upto_April23__1[[#This Row],[TOTAL BROADER CATEGORIES]]</f>
        <v>9.6837178941501845E-2</v>
      </c>
      <c r="AR215">
        <f>MONTH(1 &amp; All_India_Index_Upto_April23__1[[#This Row],[Month]])</f>
        <v>3</v>
      </c>
      <c r="AS215" s="19" t="str">
        <f>All_India_Index_Upto_April23__1[[#This Row],[MONTH IN NUM]]&amp;"/"&amp;All_India_Index_Upto_April23__1[[#This Row],[Year]]</f>
        <v>3/2017</v>
      </c>
      <c r="AT21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127.64285714285714</v>
      </c>
      <c r="AU21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1247.4547619047619</v>
      </c>
    </row>
    <row r="216" spans="1:47" x14ac:dyDescent="0.3">
      <c r="A216" t="s">
        <v>33</v>
      </c>
      <c r="B216">
        <v>2017</v>
      </c>
      <c r="C216" t="s">
        <v>35</v>
      </c>
      <c r="D216">
        <v>133.30000000000001</v>
      </c>
      <c r="E216">
        <v>139</v>
      </c>
      <c r="F216">
        <v>128.6</v>
      </c>
      <c r="G216">
        <v>136.30000000000001</v>
      </c>
      <c r="H216">
        <v>118.8</v>
      </c>
      <c r="I216">
        <v>138.30000000000001</v>
      </c>
      <c r="J216">
        <v>120.5</v>
      </c>
      <c r="K216">
        <v>143.9</v>
      </c>
      <c r="L216">
        <v>118</v>
      </c>
      <c r="M216">
        <v>137.9</v>
      </c>
      <c r="N216">
        <v>127.2</v>
      </c>
      <c r="O216">
        <v>144</v>
      </c>
      <c r="P216">
        <v>133.1</v>
      </c>
      <c r="Q216">
        <v>145.1</v>
      </c>
      <c r="R216">
        <v>137.30000000000001</v>
      </c>
      <c r="S216">
        <v>130.6</v>
      </c>
      <c r="T216">
        <v>136.4</v>
      </c>
      <c r="U216">
        <v>131.1</v>
      </c>
      <c r="V216">
        <v>129.1</v>
      </c>
      <c r="W216">
        <v>130.1</v>
      </c>
      <c r="X216">
        <v>127.8</v>
      </c>
      <c r="Y216">
        <v>117.6</v>
      </c>
      <c r="Z216">
        <v>125</v>
      </c>
      <c r="AA216">
        <v>133.80000000000001</v>
      </c>
      <c r="AB216">
        <v>122.6</v>
      </c>
      <c r="AC216">
        <v>125.1</v>
      </c>
      <c r="AD216">
        <v>130.9</v>
      </c>
      <c r="AE216">
        <v>133.14285714285714</v>
      </c>
      <c r="AF216">
        <v>134.76666666666665</v>
      </c>
      <c r="AG216">
        <v>130.6</v>
      </c>
      <c r="AH216" s="2">
        <f>All_India_Index_Upto_April23__1[[#This Row],[House]]/All_India_Index_Upto_April23__1[[#This Row],[TOTAL BROADER CATEGORIES]]</f>
        <v>0.10207036178297486</v>
      </c>
      <c r="AI216" s="2">
        <f>All_India_Index_Upto_April23__1[[#This Row],[Cloth]]/All_India_Index_Upto_April23__1[[#This Row],[TOTAL BROADER CATEGORIES]]</f>
        <v>0.10532681793990999</v>
      </c>
      <c r="AJ216" s="2">
        <f>All_India_Index_Upto_April23__1[[#This Row],[Food]]/All_India_Index_Upto_April23__1[[#This Row],[TOTAL BROADER CATEGORIES]]</f>
        <v>0.10405773045475014</v>
      </c>
      <c r="AK216" s="2">
        <f>All_India_Index_Upto_April23__1[[#This Row],[Miscellaneous]]/All_India_Index_Upto_April23__1[[#This Row],[TOTAL BROADER CATEGORIES]]</f>
        <v>9.7771839655820481E-2</v>
      </c>
      <c r="AL216" s="2">
        <f>All_India_Index_Upto_April23__1[[#This Row],[Personal care and effects]]/All_India_Index_Upto_April23__1[[#This Row],[TOTAL BROADER CATEGORIES]]</f>
        <v>9.581796596165941E-2</v>
      </c>
      <c r="AM216" s="2">
        <f>All_India_Index_Upto_April23__1[[#This Row],[Education]]/All_India_Index_Upto_April23__1[[#This Row],[TOTAL BROADER CATEGORIES]]</f>
        <v>0.10457132011150105</v>
      </c>
      <c r="AN216" s="2">
        <f>All_India_Index_Upto_April23__1[[#This Row],[Recreation and amusement]]/All_India_Index_Upto_April23__1[[#This Row],[TOTAL BROADER CATEGORIES]]</f>
        <v>9.7693684708054049E-2</v>
      </c>
      <c r="AO216" s="2">
        <f>All_India_Index_Upto_April23__1[[#This Row],[Transport and communication]]/All_India_Index_Upto_April23__1[[#This Row],[TOTAL BROADER CATEGORIES]]</f>
        <v>9.1910218573337241E-2</v>
      </c>
      <c r="AP216" s="2">
        <f>All_India_Index_Upto_April23__1[[#This Row],[Health]]/All_India_Index_Upto_April23__1[[#This Row],[TOTAL BROADER CATEGORIES]]</f>
        <v>9.9882023245514456E-2</v>
      </c>
      <c r="AQ216" s="2">
        <f>All_India_Index_Upto_April23__1[[#This Row],[Fuel and light]]/All_India_Index_Upto_April23__1[[#This Row],[TOTAL BROADER CATEGORIES]]</f>
        <v>0.10089803756647822</v>
      </c>
      <c r="AR216">
        <f>MONTH(1 &amp; All_India_Index_Upto_April23__1[[#This Row],[Month]])</f>
        <v>3</v>
      </c>
      <c r="AS216" s="19" t="str">
        <f>All_India_Index_Upto_April23__1[[#This Row],[MONTH IN NUM]]&amp;"/"&amp;All_India_Index_Upto_April23__1[[#This Row],[Year]]</f>
        <v>3/2017</v>
      </c>
      <c r="AT21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132.62857142857143</v>
      </c>
      <c r="AU21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1279.5095238095239</v>
      </c>
    </row>
    <row r="217" spans="1:47" x14ac:dyDescent="0.3">
      <c r="A217" t="s">
        <v>30</v>
      </c>
      <c r="B217">
        <v>2017</v>
      </c>
      <c r="C217" t="s">
        <v>35</v>
      </c>
      <c r="D217">
        <v>133.6</v>
      </c>
      <c r="E217">
        <v>138.80000000000001</v>
      </c>
      <c r="F217">
        <v>128.80000000000001</v>
      </c>
      <c r="G217">
        <v>137.19999999999999</v>
      </c>
      <c r="H217">
        <v>121.6</v>
      </c>
      <c r="I217">
        <v>139.69999999999999</v>
      </c>
      <c r="J217">
        <v>119.7</v>
      </c>
      <c r="K217">
        <v>148</v>
      </c>
      <c r="L217">
        <v>116.9</v>
      </c>
      <c r="M217">
        <v>135.6</v>
      </c>
      <c r="N217">
        <v>129.80000000000001</v>
      </c>
      <c r="O217">
        <v>145.4</v>
      </c>
      <c r="P217">
        <v>133.4</v>
      </c>
      <c r="Q217">
        <v>144.19999999999999</v>
      </c>
      <c r="R217">
        <v>141.6</v>
      </c>
      <c r="S217">
        <v>136.19999999999999</v>
      </c>
      <c r="T217">
        <v>140.80000000000001</v>
      </c>
      <c r="U217">
        <v>140.85</v>
      </c>
      <c r="V217">
        <v>134.19999999999999</v>
      </c>
      <c r="W217">
        <v>134.1</v>
      </c>
      <c r="X217">
        <v>130.6</v>
      </c>
      <c r="Y217">
        <v>119.8</v>
      </c>
      <c r="Z217">
        <v>128.30000000000001</v>
      </c>
      <c r="AA217">
        <v>135.19999999999999</v>
      </c>
      <c r="AB217">
        <v>123.3</v>
      </c>
      <c r="AC217">
        <v>127.4</v>
      </c>
      <c r="AD217">
        <v>132.80000000000001</v>
      </c>
      <c r="AE217">
        <v>133.76428571428573</v>
      </c>
      <c r="AF217">
        <v>139.53333333333333</v>
      </c>
      <c r="AG217">
        <v>137.47499999999999</v>
      </c>
      <c r="AH217" s="2">
        <f>All_India_Index_Upto_April23__1[[#This Row],[House]]/All_India_Index_Upto_April23__1[[#This Row],[TOTAL BROADER CATEGORIES]]</f>
        <v>0.10497699631195566</v>
      </c>
      <c r="AI217" s="2">
        <f>All_India_Index_Upto_April23__1[[#This Row],[Cloth]]/All_India_Index_Upto_April23__1[[#This Row],[TOTAL BROADER CATEGORIES]]</f>
        <v>0.106548755910007</v>
      </c>
      <c r="AJ217" s="2">
        <f>All_India_Index_Upto_April23__1[[#This Row],[Food]]/All_India_Index_Upto_April23__1[[#This Row],[TOTAL BROADER CATEGORIES]]</f>
        <v>0.10214346556173819</v>
      </c>
      <c r="AK217" s="2">
        <f>All_India_Index_Upto_April23__1[[#This Row],[Miscellaneous]]/All_India_Index_Upto_April23__1[[#This Row],[TOTAL BROADER CATEGORIES]]</f>
        <v>9.7283646700441179E-2</v>
      </c>
      <c r="AL217" s="2">
        <f>All_India_Index_Upto_April23__1[[#This Row],[Personal care and effects]]/All_India_Index_Upto_April23__1[[#This Row],[TOTAL BROADER CATEGORIES]]</f>
        <v>9.4152854302703273E-2</v>
      </c>
      <c r="AM217" s="2">
        <f>All_India_Index_Upto_April23__1[[#This Row],[Education]]/All_India_Index_Upto_April23__1[[#This Row],[TOTAL BROADER CATEGORIES]]</f>
        <v>0.10323978833516205</v>
      </c>
      <c r="AN217" s="2">
        <f>All_India_Index_Upto_April23__1[[#This Row],[Recreation and amusement]]/All_India_Index_Upto_April23__1[[#This Row],[TOTAL BROADER CATEGORIES]]</f>
        <v>9.7970893812139748E-2</v>
      </c>
      <c r="AO217" s="2">
        <f>All_India_Index_Upto_April23__1[[#This Row],[Transport and communication]]/All_India_Index_Upto_April23__1[[#This Row],[TOTAL BROADER CATEGORIES]]</f>
        <v>9.1480226646097743E-2</v>
      </c>
      <c r="AP217" s="2">
        <f>All_India_Index_Upto_April23__1[[#This Row],[Health]]/All_India_Index_Upto_April23__1[[#This Row],[TOTAL BROADER CATEGORIES]]</f>
        <v>9.9727191986480515E-2</v>
      </c>
      <c r="AQ217" s="2">
        <f>All_India_Index_Upto_April23__1[[#This Row],[Fuel and light]]/All_India_Index_Upto_April23__1[[#This Row],[TOTAL BROADER CATEGORIES]]</f>
        <v>0.10247618043327476</v>
      </c>
      <c r="AR217">
        <f>MONTH(1 &amp; All_India_Index_Upto_April23__1[[#This Row],[Month]])</f>
        <v>3</v>
      </c>
      <c r="AS217" s="19" t="str">
        <f>All_India_Index_Upto_April23__1[[#This Row],[MONTH IN NUM]]&amp;"/"&amp;All_India_Index_Upto_April23__1[[#This Row],[Year]]</f>
        <v>3/2017</v>
      </c>
      <c r="AT21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137.56428571428572</v>
      </c>
      <c r="AU21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1309.5726190476189</v>
      </c>
    </row>
    <row r="218" spans="1:47" x14ac:dyDescent="0.3">
      <c r="A218" t="s">
        <v>30</v>
      </c>
      <c r="B218">
        <v>2017</v>
      </c>
      <c r="C218" t="s">
        <v>34</v>
      </c>
      <c r="D218">
        <v>133.30000000000001</v>
      </c>
      <c r="E218">
        <v>138.30000000000001</v>
      </c>
      <c r="F218">
        <v>129.30000000000001</v>
      </c>
      <c r="G218">
        <v>137.19999999999999</v>
      </c>
      <c r="H218">
        <v>122.1</v>
      </c>
      <c r="I218">
        <v>138.69999999999999</v>
      </c>
      <c r="J218">
        <v>119.1</v>
      </c>
      <c r="K218">
        <v>156.9</v>
      </c>
      <c r="L218">
        <v>116.2</v>
      </c>
      <c r="M218">
        <v>136</v>
      </c>
      <c r="N218">
        <v>129.4</v>
      </c>
      <c r="O218">
        <v>144.4</v>
      </c>
      <c r="P218">
        <v>133.6</v>
      </c>
      <c r="Q218">
        <v>143.69999999999999</v>
      </c>
      <c r="R218">
        <v>140.9</v>
      </c>
      <c r="S218">
        <v>135.80000000000001</v>
      </c>
      <c r="T218">
        <v>140.19999999999999</v>
      </c>
      <c r="U218">
        <v>140.85</v>
      </c>
      <c r="V218">
        <v>133.19999999999999</v>
      </c>
      <c r="W218">
        <v>133.6</v>
      </c>
      <c r="X218">
        <v>130.1</v>
      </c>
      <c r="Y218">
        <v>119.5</v>
      </c>
      <c r="Z218">
        <v>127.7</v>
      </c>
      <c r="AA218">
        <v>134.9</v>
      </c>
      <c r="AB218">
        <v>123.2</v>
      </c>
      <c r="AC218">
        <v>127</v>
      </c>
      <c r="AD218">
        <v>132.6</v>
      </c>
      <c r="AE218">
        <v>134.15714285714287</v>
      </c>
      <c r="AF218">
        <v>138.96666666666667</v>
      </c>
      <c r="AG218">
        <v>137.22499999999999</v>
      </c>
      <c r="AH218" s="2">
        <f>All_India_Index_Upto_April23__1[[#This Row],[House]]/All_India_Index_Upto_April23__1[[#This Row],[TOTAL BROADER CATEGORIES]]</f>
        <v>0.1050768598273286</v>
      </c>
      <c r="AI218" s="2">
        <f>All_India_Index_Upto_April23__1[[#This Row],[Cloth]]/All_India_Index_Upto_April23__1[[#This Row],[TOTAL BROADER CATEGORIES]]</f>
        <v>0.10641050066682041</v>
      </c>
      <c r="AJ218" s="2">
        <f>All_India_Index_Upto_April23__1[[#This Row],[Food]]/All_India_Index_Upto_April23__1[[#This Row],[TOTAL BROADER CATEGORIES]]</f>
        <v>0.10272771940123811</v>
      </c>
      <c r="AK218" s="2">
        <f>All_India_Index_Upto_April23__1[[#This Row],[Miscellaneous]]/All_India_Index_Upto_April23__1[[#This Row],[TOTAL BROADER CATEGORIES]]</f>
        <v>9.7247303319881448E-2</v>
      </c>
      <c r="AL218" s="2">
        <f>All_India_Index_Upto_April23__1[[#This Row],[Personal care and effects]]/All_India_Index_Upto_April23__1[[#This Row],[TOTAL BROADER CATEGORIES]]</f>
        <v>9.4337541488262955E-2</v>
      </c>
      <c r="AM218" s="2">
        <f>All_India_Index_Upto_April23__1[[#This Row],[Education]]/All_India_Index_Upto_April23__1[[#This Row],[TOTAL BROADER CATEGORIES]]</f>
        <v>0.10329654502245676</v>
      </c>
      <c r="AN218" s="2">
        <f>All_India_Index_Upto_April23__1[[#This Row],[Recreation and amusement]]/All_India_Index_Upto_April23__1[[#This Row],[TOTAL BROADER CATEGORIES]]</f>
        <v>9.77833120783375E-2</v>
      </c>
      <c r="AO218" s="2">
        <f>All_India_Index_Upto_April23__1[[#This Row],[Transport and communication]]/All_India_Index_Upto_April23__1[[#This Row],[TOTAL BROADER CATEGORIES]]</f>
        <v>9.1504352336423886E-2</v>
      </c>
      <c r="AP218" s="2">
        <f>All_India_Index_Upto_April23__1[[#This Row],[Health]]/All_India_Index_Upto_April23__1[[#This Row],[TOTAL BROADER CATEGORIES]]</f>
        <v>9.9621056393043916E-2</v>
      </c>
      <c r="AQ218" s="2">
        <f>All_India_Index_Upto_April23__1[[#This Row],[Fuel and light]]/All_India_Index_Upto_April23__1[[#This Row],[TOTAL BROADER CATEGORIES]]</f>
        <v>0.10199480946620637</v>
      </c>
      <c r="AR218">
        <f>MONTH(1 &amp; All_India_Index_Upto_April23__1[[#This Row],[Month]])</f>
        <v>2</v>
      </c>
      <c r="AS218" s="19" t="str">
        <f>All_India_Index_Upto_April23__1[[#This Row],[MONTH IN NUM]]&amp;"/"&amp;All_India_Index_Upto_April23__1[[#This Row],[Year]]</f>
        <v>2/2017</v>
      </c>
      <c r="AT21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137.06428571428572</v>
      </c>
      <c r="AU21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1305.9488095238096</v>
      </c>
    </row>
    <row r="219" spans="1:47" x14ac:dyDescent="0.3">
      <c r="A219" t="s">
        <v>32</v>
      </c>
      <c r="B219">
        <v>2017</v>
      </c>
      <c r="C219" t="s">
        <v>34</v>
      </c>
      <c r="D219">
        <v>132.80000000000001</v>
      </c>
      <c r="E219">
        <v>139.80000000000001</v>
      </c>
      <c r="F219">
        <v>129.30000000000001</v>
      </c>
      <c r="G219">
        <v>133.5</v>
      </c>
      <c r="H219">
        <v>114.3</v>
      </c>
      <c r="I219">
        <v>131.4</v>
      </c>
      <c r="J219">
        <v>120.2</v>
      </c>
      <c r="K219">
        <v>143.1</v>
      </c>
      <c r="L219">
        <v>119.5</v>
      </c>
      <c r="M219">
        <v>144</v>
      </c>
      <c r="N219">
        <v>123.4</v>
      </c>
      <c r="O219">
        <v>141.9</v>
      </c>
      <c r="P219">
        <v>132.1</v>
      </c>
      <c r="Q219">
        <v>146.30000000000001</v>
      </c>
      <c r="R219">
        <v>130.5</v>
      </c>
      <c r="S219">
        <v>122.5</v>
      </c>
      <c r="T219">
        <v>129.30000000000001</v>
      </c>
      <c r="U219">
        <v>130.5</v>
      </c>
      <c r="V219">
        <v>119.2</v>
      </c>
      <c r="W219">
        <v>125.3</v>
      </c>
      <c r="X219">
        <v>122.9</v>
      </c>
      <c r="Y219">
        <v>115.5</v>
      </c>
      <c r="Z219">
        <v>122.2</v>
      </c>
      <c r="AA219">
        <v>132.4</v>
      </c>
      <c r="AB219">
        <v>121.7</v>
      </c>
      <c r="AC219">
        <v>122.4</v>
      </c>
      <c r="AD219">
        <v>128.19999999999999</v>
      </c>
      <c r="AE219">
        <v>132.25714285714287</v>
      </c>
      <c r="AF219">
        <v>127.43333333333334</v>
      </c>
      <c r="AG219">
        <v>127.9</v>
      </c>
      <c r="AH219" s="2">
        <f>All_India_Index_Upto_April23__1[[#This Row],[House]]/All_India_Index_Upto_April23__1[[#This Row],[TOTAL BROADER CATEGORIES]]</f>
        <v>0.10282255749051554</v>
      </c>
      <c r="AI219" s="2">
        <f>All_India_Index_Upto_April23__1[[#This Row],[Cloth]]/All_India_Index_Upto_April23__1[[#This Row],[TOTAL BROADER CATEGORIES]]</f>
        <v>0.10244739048377401</v>
      </c>
      <c r="AJ219" s="2">
        <f>All_India_Index_Upto_April23__1[[#This Row],[Food]]/All_India_Index_Upto_April23__1[[#This Row],[TOTAL BROADER CATEGORIES]]</f>
        <v>0.10632539229835729</v>
      </c>
      <c r="AK219" s="2">
        <f>All_India_Index_Upto_April23__1[[#This Row],[Miscellaneous]]/All_India_Index_Upto_April23__1[[#This Row],[TOTAL BROADER CATEGORIES]]</f>
        <v>9.8400946339633324E-2</v>
      </c>
      <c r="AL219" s="2">
        <f>All_India_Index_Upto_April23__1[[#This Row],[Personal care and effects]]/All_India_Index_Upto_April23__1[[#This Row],[TOTAL BROADER CATEGORIES]]</f>
        <v>9.7838195829521038E-2</v>
      </c>
      <c r="AM219" s="2">
        <f>All_India_Index_Upto_April23__1[[#This Row],[Education]]/All_India_Index_Upto_April23__1[[#This Row],[TOTAL BROADER CATEGORIES]]</f>
        <v>0.10644023934123735</v>
      </c>
      <c r="AN219" s="2">
        <f>All_India_Index_Upto_April23__1[[#This Row],[Recreation and amusement]]/All_India_Index_Upto_April23__1[[#This Row],[TOTAL BROADER CATEGORIES]]</f>
        <v>9.8240160479601241E-2</v>
      </c>
      <c r="AO219" s="2">
        <f>All_India_Index_Upto_April23__1[[#This Row],[Transport and communication]]/All_India_Index_Upto_April23__1[[#This Row],[TOTAL BROADER CATEGORIES]]</f>
        <v>9.2853834168526536E-2</v>
      </c>
      <c r="AP219" s="2">
        <f>All_India_Index_Upto_April23__1[[#This Row],[Health]]/All_India_Index_Upto_April23__1[[#This Row],[TOTAL BROADER CATEGORIES]]</f>
        <v>9.8802910989713513E-2</v>
      </c>
      <c r="AQ219" s="2">
        <f>All_India_Index_Upto_April23__1[[#This Row],[Fuel and light]]/All_India_Index_Upto_April23__1[[#This Row],[TOTAL BROADER CATEGORIES]]</f>
        <v>9.5828372579120025E-2</v>
      </c>
      <c r="AR219">
        <f>MONTH(1 &amp; All_India_Index_Upto_April23__1[[#This Row],[Month]])</f>
        <v>2</v>
      </c>
      <c r="AS219" s="19" t="str">
        <f>All_India_Index_Upto_April23__1[[#This Row],[MONTH IN NUM]]&amp;"/"&amp;All_India_Index_Upto_April23__1[[#This Row],[Year]]</f>
        <v>2/2017</v>
      </c>
      <c r="AT21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127.10000000000001</v>
      </c>
      <c r="AU21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1243.8904761904764</v>
      </c>
    </row>
    <row r="220" spans="1:47" x14ac:dyDescent="0.3">
      <c r="A220" t="s">
        <v>33</v>
      </c>
      <c r="B220">
        <v>2017</v>
      </c>
      <c r="C220" t="s">
        <v>34</v>
      </c>
      <c r="D220">
        <v>133.1</v>
      </c>
      <c r="E220">
        <v>138.80000000000001</v>
      </c>
      <c r="F220">
        <v>129.30000000000001</v>
      </c>
      <c r="G220">
        <v>135.80000000000001</v>
      </c>
      <c r="H220">
        <v>119.2</v>
      </c>
      <c r="I220">
        <v>135.30000000000001</v>
      </c>
      <c r="J220">
        <v>119.5</v>
      </c>
      <c r="K220">
        <v>152.19999999999999</v>
      </c>
      <c r="L220">
        <v>117.3</v>
      </c>
      <c r="M220">
        <v>138.69999999999999</v>
      </c>
      <c r="N220">
        <v>126.9</v>
      </c>
      <c r="O220">
        <v>143.19999999999999</v>
      </c>
      <c r="P220">
        <v>133</v>
      </c>
      <c r="Q220">
        <v>144.4</v>
      </c>
      <c r="R220">
        <v>136.80000000000001</v>
      </c>
      <c r="S220">
        <v>130.30000000000001</v>
      </c>
      <c r="T220">
        <v>135.9</v>
      </c>
      <c r="U220">
        <v>130.5</v>
      </c>
      <c r="V220">
        <v>127.9</v>
      </c>
      <c r="W220">
        <v>129.69999999999999</v>
      </c>
      <c r="X220">
        <v>127.4</v>
      </c>
      <c r="Y220">
        <v>117.4</v>
      </c>
      <c r="Z220">
        <v>124.6</v>
      </c>
      <c r="AA220">
        <v>133.4</v>
      </c>
      <c r="AB220">
        <v>122.6</v>
      </c>
      <c r="AC220">
        <v>124.8</v>
      </c>
      <c r="AD220">
        <v>130.6</v>
      </c>
      <c r="AE220">
        <v>133.33571428571432</v>
      </c>
      <c r="AF220">
        <v>134.33333333333334</v>
      </c>
      <c r="AG220">
        <v>130.1</v>
      </c>
      <c r="AH220" s="2">
        <f>All_India_Index_Upto_April23__1[[#This Row],[House]]/All_India_Index_Upto_April23__1[[#This Row],[TOTAL BROADER CATEGORIES]]</f>
        <v>0.10196971252087744</v>
      </c>
      <c r="AI220" s="2">
        <f>All_India_Index_Upto_April23__1[[#This Row],[Cloth]]/All_India_Index_Upto_April23__1[[#This Row],[TOTAL BROADER CATEGORIES]]</f>
        <v>0.10528771239024755</v>
      </c>
      <c r="AJ220" s="2">
        <f>All_India_Index_Upto_April23__1[[#This Row],[Food]]/All_India_Index_Upto_April23__1[[#This Row],[TOTAL BROADER CATEGORIES]]</f>
        <v>0.10450579903520478</v>
      </c>
      <c r="AK220" s="2">
        <f>All_India_Index_Upto_April23__1[[#This Row],[Miscellaneous]]/All_India_Index_Upto_April23__1[[#This Row],[TOTAL BROADER CATEGORIES]]</f>
        <v>9.7815681188358997E-2</v>
      </c>
      <c r="AL220" s="2">
        <f>All_India_Index_Upto_April23__1[[#This Row],[Personal care and effects]]/All_India_Index_Upto_April23__1[[#This Row],[TOTAL BROADER CATEGORIES]]</f>
        <v>9.6091366295615488E-2</v>
      </c>
      <c r="AM220" s="2">
        <f>All_India_Index_Upto_April23__1[[#This Row],[Education]]/All_India_Index_Upto_April23__1[[#This Row],[TOTAL BROADER CATEGORIES]]</f>
        <v>0.10455618485999273</v>
      </c>
      <c r="AN220" s="2">
        <f>All_India_Index_Upto_April23__1[[#This Row],[Recreation and amusement]]/All_India_Index_Upto_April23__1[[#This Row],[TOTAL BROADER CATEGORIES]]</f>
        <v>9.7658925289018678E-2</v>
      </c>
      <c r="AO220" s="2">
        <f>All_India_Index_Upto_April23__1[[#This Row],[Transport and communication]]/All_India_Index_Upto_April23__1[[#This Row],[TOTAL BROADER CATEGORIES]]</f>
        <v>9.2015712912767209E-2</v>
      </c>
      <c r="AP220" s="2">
        <f>All_India_Index_Upto_April23__1[[#This Row],[Health]]/All_India_Index_Upto_April23__1[[#This Row],[TOTAL BROADER CATEGORIES]]</f>
        <v>9.9853507879783157E-2</v>
      </c>
      <c r="AQ220" s="2">
        <f>All_India_Index_Upto_April23__1[[#This Row],[Fuel and light]]/All_India_Index_Upto_April23__1[[#This Row],[TOTAL BROADER CATEGORIES]]</f>
        <v>0.10024539762813395</v>
      </c>
      <c r="AR220">
        <f>MONTH(1 &amp; All_India_Index_Upto_April23__1[[#This Row],[Month]])</f>
        <v>2</v>
      </c>
      <c r="AS220" s="19" t="str">
        <f>All_India_Index_Upto_April23__1[[#This Row],[MONTH IN NUM]]&amp;"/"&amp;All_India_Index_Upto_April23__1[[#This Row],[Year]]</f>
        <v>2/2017</v>
      </c>
      <c r="AT22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132.07142857142858</v>
      </c>
      <c r="AU22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1275.8690476190477</v>
      </c>
    </row>
    <row r="221" spans="1:47" x14ac:dyDescent="0.3">
      <c r="A221" t="s">
        <v>33</v>
      </c>
      <c r="B221">
        <v>2017</v>
      </c>
      <c r="C221" t="s">
        <v>31</v>
      </c>
      <c r="D221">
        <v>132.80000000000001</v>
      </c>
      <c r="E221">
        <v>138.19999999999999</v>
      </c>
      <c r="F221">
        <v>132.19999999999999</v>
      </c>
      <c r="G221">
        <v>135.4</v>
      </c>
      <c r="H221">
        <v>119.1</v>
      </c>
      <c r="I221">
        <v>133</v>
      </c>
      <c r="J221">
        <v>119.4</v>
      </c>
      <c r="K221">
        <v>159.5</v>
      </c>
      <c r="L221">
        <v>115.6</v>
      </c>
      <c r="M221">
        <v>139.6</v>
      </c>
      <c r="N221">
        <v>126.6</v>
      </c>
      <c r="O221">
        <v>142.80000000000001</v>
      </c>
      <c r="P221">
        <v>133.1</v>
      </c>
      <c r="Q221">
        <v>143.80000000000001</v>
      </c>
      <c r="R221">
        <v>136.6</v>
      </c>
      <c r="S221">
        <v>130.19999999999999</v>
      </c>
      <c r="T221">
        <v>135.6</v>
      </c>
      <c r="U221">
        <v>129.6</v>
      </c>
      <c r="V221">
        <v>126.8</v>
      </c>
      <c r="W221">
        <v>129.4</v>
      </c>
      <c r="X221">
        <v>127.1</v>
      </c>
      <c r="Y221">
        <v>117</v>
      </c>
      <c r="Z221">
        <v>124.2</v>
      </c>
      <c r="AA221">
        <v>133.30000000000001</v>
      </c>
      <c r="AB221">
        <v>121.7</v>
      </c>
      <c r="AC221">
        <v>124.4</v>
      </c>
      <c r="AD221">
        <v>130.30000000000001</v>
      </c>
      <c r="AE221">
        <v>133.64999999999995</v>
      </c>
      <c r="AF221">
        <v>134.13333333333333</v>
      </c>
      <c r="AG221">
        <v>129.5</v>
      </c>
      <c r="AH221" s="2">
        <f>All_India_Index_Upto_April23__1[[#This Row],[House]]/All_India_Index_Upto_April23__1[[#This Row],[TOTAL BROADER CATEGORIES]]</f>
        <v>0.10182552059444087</v>
      </c>
      <c r="AI221" s="2">
        <f>All_India_Index_Upto_April23__1[[#This Row],[Cloth]]/All_India_Index_Upto_April23__1[[#This Row],[TOTAL BROADER CATEGORIES]]</f>
        <v>0.10546869880875935</v>
      </c>
      <c r="AJ221" s="2">
        <f>All_India_Index_Upto_April23__1[[#This Row],[Food]]/All_India_Index_Upto_April23__1[[#This Row],[TOTAL BROADER CATEGORIES]]</f>
        <v>0.10508865503820092</v>
      </c>
      <c r="AK221" s="2">
        <f>All_India_Index_Upto_April23__1[[#This Row],[Miscellaneous]]/All_India_Index_Upto_April23__1[[#This Row],[TOTAL BROADER CATEGORIES]]</f>
        <v>9.7815403567169473E-2</v>
      </c>
      <c r="AL221" s="2">
        <f>All_India_Index_Upto_April23__1[[#This Row],[Personal care and effects]]/All_India_Index_Upto_April23__1[[#This Row],[TOTAL BROADER CATEGORIES]]</f>
        <v>9.569240043508459E-2</v>
      </c>
      <c r="AM221" s="2">
        <f>All_India_Index_Upto_April23__1[[#This Row],[Education]]/All_India_Index_Upto_April23__1[[#This Row],[TOTAL BROADER CATEGORIES]]</f>
        <v>0.10481345092848626</v>
      </c>
      <c r="AN221" s="2">
        <f>All_India_Index_Upto_April23__1[[#This Row],[Recreation and amusement]]/All_India_Index_Upto_April23__1[[#This Row],[TOTAL BROADER CATEGORIES]]</f>
        <v>9.7658144075903924E-2</v>
      </c>
      <c r="AO221" s="2">
        <f>All_India_Index_Upto_April23__1[[#This Row],[Transport and communication]]/All_India_Index_Upto_April23__1[[#This Row],[TOTAL BROADER CATEGORIES]]</f>
        <v>9.1996802390344273E-2</v>
      </c>
      <c r="AP221" s="2">
        <f>All_India_Index_Upto_April23__1[[#This Row],[Health]]/All_India_Index_Upto_April23__1[[#This Row],[TOTAL BROADER CATEGORIES]]</f>
        <v>9.9938406699254329E-2</v>
      </c>
      <c r="AQ221" s="2">
        <f>All_India_Index_Upto_April23__1[[#This Row],[Fuel and light]]/All_India_Index_Upto_April23__1[[#This Row],[TOTAL BROADER CATEGORIES]]</f>
        <v>9.9702517462356005E-2</v>
      </c>
      <c r="AR221">
        <f>MONTH(1 &amp; All_India_Index_Upto_April23__1[[#This Row],[Month]])</f>
        <v>1</v>
      </c>
      <c r="AS221" s="19" t="str">
        <f>All_India_Index_Upto_April23__1[[#This Row],[MONTH IN NUM]]&amp;"/"&amp;All_India_Index_Upto_April23__1[[#This Row],[Year]]</f>
        <v>1/2017</v>
      </c>
      <c r="AT22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131.64285714285717</v>
      </c>
      <c r="AU22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1271.7833333333333</v>
      </c>
    </row>
    <row r="222" spans="1:47" x14ac:dyDescent="0.3">
      <c r="A222" t="s">
        <v>30</v>
      </c>
      <c r="B222">
        <v>2017</v>
      </c>
      <c r="C222" t="s">
        <v>31</v>
      </c>
      <c r="D222">
        <v>133.1</v>
      </c>
      <c r="E222">
        <v>137.80000000000001</v>
      </c>
      <c r="F222">
        <v>131.9</v>
      </c>
      <c r="G222">
        <v>136.69999999999999</v>
      </c>
      <c r="H222">
        <v>122</v>
      </c>
      <c r="I222">
        <v>136</v>
      </c>
      <c r="J222">
        <v>119.8</v>
      </c>
      <c r="K222">
        <v>161.69999999999999</v>
      </c>
      <c r="L222">
        <v>114.8</v>
      </c>
      <c r="M222">
        <v>136.9</v>
      </c>
      <c r="N222">
        <v>129</v>
      </c>
      <c r="O222">
        <v>143.9</v>
      </c>
      <c r="P222">
        <v>133.69999999999999</v>
      </c>
      <c r="Q222">
        <v>143.1</v>
      </c>
      <c r="R222">
        <v>140.69999999999999</v>
      </c>
      <c r="S222">
        <v>135.80000000000001</v>
      </c>
      <c r="T222">
        <v>140</v>
      </c>
      <c r="U222">
        <v>140.85</v>
      </c>
      <c r="V222">
        <v>132.1</v>
      </c>
      <c r="W222">
        <v>133.19999999999999</v>
      </c>
      <c r="X222">
        <v>129.9</v>
      </c>
      <c r="Y222">
        <v>119.1</v>
      </c>
      <c r="Z222">
        <v>127</v>
      </c>
      <c r="AA222">
        <v>134.6</v>
      </c>
      <c r="AB222">
        <v>122.3</v>
      </c>
      <c r="AC222">
        <v>126.6</v>
      </c>
      <c r="AD222">
        <v>132.4</v>
      </c>
      <c r="AE222">
        <v>134.31428571428572</v>
      </c>
      <c r="AF222">
        <v>138.83333333333334</v>
      </c>
      <c r="AG222">
        <v>137.02499999999998</v>
      </c>
      <c r="AH222" s="2">
        <f>All_India_Index_Upto_April23__1[[#This Row],[House]]/All_India_Index_Upto_April23__1[[#This Row],[TOTAL BROADER CATEGORIES]]</f>
        <v>0.10526031811934093</v>
      </c>
      <c r="AI222" s="2">
        <f>All_India_Index_Upto_April23__1[[#This Row],[Cloth]]/All_India_Index_Upto_April23__1[[#This Row],[TOTAL BROADER CATEGORIES]]</f>
        <v>0.1066494496058031</v>
      </c>
      <c r="AJ222" s="2">
        <f>All_India_Index_Upto_April23__1[[#This Row],[Food]]/All_India_Index_Upto_April23__1[[#This Row],[TOTAL BROADER CATEGORIES]]</f>
        <v>0.10317799264555931</v>
      </c>
      <c r="AK222" s="2">
        <f>All_India_Index_Upto_April23__1[[#This Row],[Miscellaneous]]/All_India_Index_Upto_April23__1[[#This Row],[TOTAL BROADER CATEGORIES]]</f>
        <v>9.725200710752463E-2</v>
      </c>
      <c r="AL222" s="2">
        <f>All_India_Index_Upto_April23__1[[#This Row],[Personal care and effects]]/All_India_Index_Upto_April23__1[[#This Row],[TOTAL BROADER CATEGORIES]]</f>
        <v>9.3948818872434933E-2</v>
      </c>
      <c r="AM222" s="2">
        <f>All_India_Index_Upto_April23__1[[#This Row],[Education]]/All_India_Index_Upto_April23__1[[#This Row],[TOTAL BROADER CATEGORIES]]</f>
        <v>0.10339747359141245</v>
      </c>
      <c r="AN222" s="2">
        <f>All_India_Index_Upto_April23__1[[#This Row],[Recreation and amusement]]/All_India_Index_Upto_April23__1[[#This Row],[TOTAL BROADER CATEGORIES]]</f>
        <v>9.7559280431719034E-2</v>
      </c>
      <c r="AO222" s="2">
        <f>All_India_Index_Upto_April23__1[[#This Row],[Transport and communication]]/All_India_Index_Upto_April23__1[[#This Row],[TOTAL BROADER CATEGORIES]]</f>
        <v>9.149063227887981E-2</v>
      </c>
      <c r="AP222" s="2">
        <f>All_India_Index_Upto_April23__1[[#This Row],[Health]]/All_India_Index_Upto_April23__1[[#This Row],[TOTAL BROADER CATEGORIES]]</f>
        <v>9.9787012032128364E-2</v>
      </c>
      <c r="AQ222" s="2">
        <f>All_India_Index_Upto_April23__1[[#This Row],[Fuel and light]]/All_India_Index_Upto_April23__1[[#This Row],[TOTAL BROADER CATEGORIES]]</f>
        <v>0.10147701531519751</v>
      </c>
      <c r="AR222">
        <f>MONTH(1 &amp; All_India_Index_Upto_April23__1[[#This Row],[Month]])</f>
        <v>1</v>
      </c>
      <c r="AS222" s="19" t="str">
        <f>All_India_Index_Upto_April23__1[[#This Row],[MONTH IN NUM]]&amp;"/"&amp;All_India_Index_Upto_April23__1[[#This Row],[Year]]</f>
        <v>1/2017</v>
      </c>
      <c r="AT22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136.75</v>
      </c>
      <c r="AU22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1301.7726190476189</v>
      </c>
    </row>
    <row r="223" spans="1:47" x14ac:dyDescent="0.3">
      <c r="A223" t="s">
        <v>32</v>
      </c>
      <c r="B223">
        <v>2017</v>
      </c>
      <c r="C223" t="s">
        <v>31</v>
      </c>
      <c r="D223">
        <v>132.19999999999999</v>
      </c>
      <c r="E223">
        <v>138.9</v>
      </c>
      <c r="F223">
        <v>132.6</v>
      </c>
      <c r="G223">
        <v>133.1</v>
      </c>
      <c r="H223">
        <v>114</v>
      </c>
      <c r="I223">
        <v>129.6</v>
      </c>
      <c r="J223">
        <v>118.7</v>
      </c>
      <c r="K223">
        <v>155.1</v>
      </c>
      <c r="L223">
        <v>117.3</v>
      </c>
      <c r="M223">
        <v>144.9</v>
      </c>
      <c r="N223">
        <v>123.2</v>
      </c>
      <c r="O223">
        <v>141.6</v>
      </c>
      <c r="P223">
        <v>132</v>
      </c>
      <c r="Q223">
        <v>145.6</v>
      </c>
      <c r="R223">
        <v>130.19999999999999</v>
      </c>
      <c r="S223">
        <v>122.3</v>
      </c>
      <c r="T223">
        <v>129</v>
      </c>
      <c r="U223">
        <v>129.6</v>
      </c>
      <c r="V223">
        <v>118</v>
      </c>
      <c r="W223">
        <v>125.1</v>
      </c>
      <c r="X223">
        <v>122.6</v>
      </c>
      <c r="Y223">
        <v>115.2</v>
      </c>
      <c r="Z223">
        <v>122</v>
      </c>
      <c r="AA223">
        <v>132.4</v>
      </c>
      <c r="AB223">
        <v>120.9</v>
      </c>
      <c r="AC223">
        <v>122.1</v>
      </c>
      <c r="AD223">
        <v>127.8</v>
      </c>
      <c r="AE223">
        <v>132.77142857142857</v>
      </c>
      <c r="AF223">
        <v>127.16666666666667</v>
      </c>
      <c r="AG223">
        <v>127.35</v>
      </c>
      <c r="AH223" s="2">
        <f>All_India_Index_Upto_April23__1[[#This Row],[House]]/All_India_Index_Upto_April23__1[[#This Row],[TOTAL BROADER CATEGORIES]]</f>
        <v>0.10266120286753486</v>
      </c>
      <c r="AI223" s="2">
        <f>All_India_Index_Upto_April23__1[[#This Row],[Cloth]]/All_India_Index_Upto_April23__1[[#This Row],[TOTAL BROADER CATEGORIES]]</f>
        <v>0.10251341157954338</v>
      </c>
      <c r="AJ223" s="2">
        <f>All_India_Index_Upto_April23__1[[#This Row],[Food]]/All_India_Index_Upto_April23__1[[#This Row],[TOTAL BROADER CATEGORIES]]</f>
        <v>0.10703160238385429</v>
      </c>
      <c r="AK223" s="2">
        <f>All_India_Index_Upto_April23__1[[#This Row],[Miscellaneous]]/All_India_Index_Upto_April23__1[[#This Row],[TOTAL BROADER CATEGORIES]]</f>
        <v>9.842899780232435E-2</v>
      </c>
      <c r="AL223" s="2">
        <f>All_India_Index_Upto_April23__1[[#This Row],[Personal care and effects]]/All_India_Index_Upto_April23__1[[#This Row],[TOTAL BROADER CATEGORIES]]</f>
        <v>9.7461636644561964E-2</v>
      </c>
      <c r="AM223" s="2">
        <f>All_India_Index_Upto_April23__1[[#This Row],[Education]]/All_India_Index_Upto_April23__1[[#This Row],[TOTAL BROADER CATEGORIES]]</f>
        <v>0.10673218107311831</v>
      </c>
      <c r="AN223" s="2">
        <f>All_India_Index_Upto_April23__1[[#This Row],[Recreation and amusement]]/All_India_Index_Upto_April23__1[[#This Row],[TOTAL BROADER CATEGORIES]]</f>
        <v>9.8348384372510825E-2</v>
      </c>
      <c r="AO223" s="2">
        <f>All_India_Index_Upto_April23__1[[#This Row],[Transport and communication]]/All_India_Index_Upto_April23__1[[#This Row],[TOTAL BROADER CATEGORIES]]</f>
        <v>9.2866671145190552E-2</v>
      </c>
      <c r="AP223" s="2">
        <f>All_India_Index_Upto_April23__1[[#This Row],[Health]]/All_India_Index_Upto_April23__1[[#This Row],[TOTAL BROADER CATEGORIES]]</f>
        <v>9.8832064951392018E-2</v>
      </c>
      <c r="AQ223" s="2">
        <f>All_India_Index_Upto_April23__1[[#This Row],[Fuel and light]]/All_India_Index_Upto_April23__1[[#This Row],[TOTAL BROADER CATEGORIES]]</f>
        <v>9.5123847179969481E-2</v>
      </c>
      <c r="AR223">
        <f>MONTH(1 &amp; All_India_Index_Upto_April23__1[[#This Row],[Month]])</f>
        <v>1</v>
      </c>
      <c r="AS223" s="19" t="str">
        <f>All_India_Index_Upto_April23__1[[#This Row],[MONTH IN NUM]]&amp;"/"&amp;All_India_Index_Upto_April23__1[[#This Row],[Year]]</f>
        <v>1/2017</v>
      </c>
      <c r="AT22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126.65714285714284</v>
      </c>
      <c r="AU22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1240.4880952380952</v>
      </c>
    </row>
    <row r="224" spans="1:47" x14ac:dyDescent="0.3">
      <c r="A224" t="s">
        <v>32</v>
      </c>
      <c r="B224">
        <v>2016</v>
      </c>
      <c r="C224" t="s">
        <v>44</v>
      </c>
      <c r="D224">
        <v>131.6</v>
      </c>
      <c r="E224">
        <v>138.19999999999999</v>
      </c>
      <c r="F224">
        <v>134.9</v>
      </c>
      <c r="G224">
        <v>133.1</v>
      </c>
      <c r="H224">
        <v>113.5</v>
      </c>
      <c r="I224">
        <v>129.30000000000001</v>
      </c>
      <c r="J224">
        <v>121.1</v>
      </c>
      <c r="K224">
        <v>170.3</v>
      </c>
      <c r="L224">
        <v>115.5</v>
      </c>
      <c r="M224">
        <v>145.5</v>
      </c>
      <c r="N224">
        <v>123.1</v>
      </c>
      <c r="O224">
        <v>140.9</v>
      </c>
      <c r="P224">
        <v>132.80000000000001</v>
      </c>
      <c r="Q224">
        <v>145</v>
      </c>
      <c r="R224">
        <v>130</v>
      </c>
      <c r="S224">
        <v>122.2</v>
      </c>
      <c r="T224">
        <v>128.80000000000001</v>
      </c>
      <c r="U224">
        <v>128.5</v>
      </c>
      <c r="V224">
        <v>117.8</v>
      </c>
      <c r="W224">
        <v>125</v>
      </c>
      <c r="X224">
        <v>122.3</v>
      </c>
      <c r="Y224">
        <v>113.7</v>
      </c>
      <c r="Z224">
        <v>121.8</v>
      </c>
      <c r="AA224">
        <v>132.30000000000001</v>
      </c>
      <c r="AB224">
        <v>119.9</v>
      </c>
      <c r="AC224">
        <v>121.4</v>
      </c>
      <c r="AD224">
        <v>127.6</v>
      </c>
      <c r="AE224">
        <v>133.91428571428571</v>
      </c>
      <c r="AF224">
        <v>127</v>
      </c>
      <c r="AG224">
        <v>126.75</v>
      </c>
      <c r="AH224" s="2">
        <f>All_India_Index_Upto_April23__1[[#This Row],[House]]/All_India_Index_Upto_April23__1[[#This Row],[TOTAL BROADER CATEGORIES]]</f>
        <v>0.10247688567287092</v>
      </c>
      <c r="AI224" s="2">
        <f>All_India_Index_Upto_April23__1[[#This Row],[Cloth]]/All_India_Index_Upto_April23__1[[#This Row],[TOTAL BROADER CATEGORIES]]</f>
        <v>0.10267900970772866</v>
      </c>
      <c r="AJ224" s="2">
        <f>All_India_Index_Upto_April23__1[[#This Row],[Food]]/All_India_Index_Upto_April23__1[[#This Row],[TOTAL BROADER CATEGORIES]]</f>
        <v>0.1082691830146511</v>
      </c>
      <c r="AK224" s="2">
        <f>All_India_Index_Upto_April23__1[[#This Row],[Miscellaneous]]/All_India_Index_Upto_April23__1[[#This Row],[TOTAL BROADER CATEGORIES]]</f>
        <v>9.8151431326915423E-2</v>
      </c>
      <c r="AL224" s="2">
        <f>All_India_Index_Upto_April23__1[[#This Row],[Personal care and effects]]/All_India_Index_Upto_April23__1[[#This Row],[TOTAL BROADER CATEGORIES]]</f>
        <v>9.6938687117769026E-2</v>
      </c>
      <c r="AM224" s="2">
        <f>All_India_Index_Upto_April23__1[[#This Row],[Education]]/All_India_Index_Upto_April23__1[[#This Row],[TOTAL BROADER CATEGORIES]]</f>
        <v>0.10696403924671261</v>
      </c>
      <c r="AN224" s="2">
        <f>All_India_Index_Upto_April23__1[[#This Row],[Recreation and amusement]]/All_India_Index_Upto_April23__1[[#This Row],[TOTAL BROADER CATEGORIES]]</f>
        <v>9.8474829782687789E-2</v>
      </c>
      <c r="AO224" s="2">
        <f>All_India_Index_Upto_April23__1[[#This Row],[Transport and communication]]/All_India_Index_Upto_April23__1[[#This Row],[TOTAL BROADER CATEGORIES]]</f>
        <v>9.192601105329723E-2</v>
      </c>
      <c r="AP224" s="2">
        <f>All_India_Index_Upto_April23__1[[#This Row],[Health]]/All_India_Index_Upto_April23__1[[#This Row],[TOTAL BROADER CATEGORIES]]</f>
        <v>9.8879077852403255E-2</v>
      </c>
      <c r="AQ224" s="2">
        <f>All_India_Index_Upto_April23__1[[#This Row],[Fuel and light]]/All_India_Index_Upto_April23__1[[#This Row],[TOTAL BROADER CATEGORIES]]</f>
        <v>9.5240845224964052E-2</v>
      </c>
      <c r="AR224">
        <f>MONTH(1 &amp; All_India_Index_Upto_April23__1[[#This Row],[Month]])</f>
        <v>12</v>
      </c>
      <c r="AS224" s="19" t="str">
        <f>All_India_Index_Upto_April23__1[[#This Row],[MONTH IN NUM]]&amp;"/"&amp;All_India_Index_Upto_April23__1[[#This Row],[Year]]</f>
        <v>12/2016</v>
      </c>
      <c r="AT22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126.37142857142859</v>
      </c>
      <c r="AU22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1236.8642857142856</v>
      </c>
    </row>
    <row r="225" spans="1:47" x14ac:dyDescent="0.3">
      <c r="A225" t="s">
        <v>33</v>
      </c>
      <c r="B225">
        <v>2016</v>
      </c>
      <c r="C225" t="s">
        <v>44</v>
      </c>
      <c r="D225">
        <v>132.30000000000001</v>
      </c>
      <c r="E225">
        <v>137.6</v>
      </c>
      <c r="F225">
        <v>132.9</v>
      </c>
      <c r="G225">
        <v>135.1</v>
      </c>
      <c r="H225">
        <v>118.6</v>
      </c>
      <c r="I225">
        <v>132.69999999999999</v>
      </c>
      <c r="J225">
        <v>125.3</v>
      </c>
      <c r="K225">
        <v>168.7</v>
      </c>
      <c r="L225">
        <v>114.4</v>
      </c>
      <c r="M225">
        <v>140.19999999999999</v>
      </c>
      <c r="N225">
        <v>126.6</v>
      </c>
      <c r="O225">
        <v>142.30000000000001</v>
      </c>
      <c r="P225">
        <v>134</v>
      </c>
      <c r="Q225">
        <v>143.1</v>
      </c>
      <c r="R225">
        <v>136.30000000000001</v>
      </c>
      <c r="S225">
        <v>129.80000000000001</v>
      </c>
      <c r="T225">
        <v>135.4</v>
      </c>
      <c r="U225">
        <v>128.5</v>
      </c>
      <c r="V225">
        <v>126.6</v>
      </c>
      <c r="W225">
        <v>129.19999999999999</v>
      </c>
      <c r="X225">
        <v>126.9</v>
      </c>
      <c r="Y225">
        <v>116</v>
      </c>
      <c r="Z225">
        <v>124.2</v>
      </c>
      <c r="AA225">
        <v>133.1</v>
      </c>
      <c r="AB225">
        <v>121.1</v>
      </c>
      <c r="AC225">
        <v>123.9</v>
      </c>
      <c r="AD225">
        <v>130.4</v>
      </c>
      <c r="AE225">
        <v>134.55714285714285</v>
      </c>
      <c r="AF225">
        <v>133.83333333333334</v>
      </c>
      <c r="AG225">
        <v>128.85</v>
      </c>
      <c r="AH225" s="2">
        <f>All_India_Index_Upto_April23__1[[#This Row],[House]]/All_India_Index_Upto_April23__1[[#This Row],[TOTAL BROADER CATEGORIES]]</f>
        <v>0.10153340450321482</v>
      </c>
      <c r="AI225" s="2">
        <f>All_India_Index_Upto_April23__1[[#This Row],[Cloth]]/All_India_Index_Upto_April23__1[[#This Row],[TOTAL BROADER CATEGORIES]]</f>
        <v>0.10546025587386046</v>
      </c>
      <c r="AJ225" s="2">
        <f>All_India_Index_Upto_April23__1[[#This Row],[Food]]/All_India_Index_Upto_April23__1[[#This Row],[TOTAL BROADER CATEGORIES]]</f>
        <v>0.10603061555693558</v>
      </c>
      <c r="AK225" s="2">
        <f>All_India_Index_Upto_April23__1[[#This Row],[Miscellaneous]]/All_India_Index_Upto_April23__1[[#This Row],[TOTAL BROADER CATEGORIES]]</f>
        <v>9.7632819696921364E-2</v>
      </c>
      <c r="AL225" s="2">
        <f>All_India_Index_Upto_April23__1[[#This Row],[Personal care and effects]]/All_India_Index_Upto_April23__1[[#This Row],[TOTAL BROADER CATEGORIES]]</f>
        <v>9.5426428291341209E-2</v>
      </c>
      <c r="AM225" s="2">
        <f>All_India_Index_Upto_April23__1[[#This Row],[Education]]/All_India_Index_Upto_April23__1[[#This Row],[TOTAL BROADER CATEGORIES]]</f>
        <v>0.10488239145811326</v>
      </c>
      <c r="AN225" s="2">
        <f>All_India_Index_Upto_April23__1[[#This Row],[Recreation and amusement]]/All_India_Index_Upto_April23__1[[#This Row],[TOTAL BROADER CATEGORIES]]</f>
        <v>9.7869218776090672E-2</v>
      </c>
      <c r="AO225" s="2">
        <f>All_India_Index_Upto_April23__1[[#This Row],[Transport and communication]]/All_India_Index_Upto_April23__1[[#This Row],[TOTAL BROADER CATEGORIES]]</f>
        <v>9.1407643945463107E-2</v>
      </c>
      <c r="AP225" s="2">
        <f>All_India_Index_Upto_April23__1[[#This Row],[Health]]/All_India_Index_Upto_April23__1[[#This Row],[TOTAL BROADER CATEGORIES]]</f>
        <v>9.9996810488614377E-2</v>
      </c>
      <c r="AQ225" s="2">
        <f>All_India_Index_Upto_April23__1[[#This Row],[Fuel and light]]/All_India_Index_Upto_April23__1[[#This Row],[TOTAL BROADER CATEGORIES]]</f>
        <v>9.9760411409445068E-2</v>
      </c>
      <c r="AR225">
        <f>MONTH(1 &amp; All_India_Index_Upto_April23__1[[#This Row],[Month]])</f>
        <v>12</v>
      </c>
      <c r="AS225" s="19" t="str">
        <f>All_India_Index_Upto_April23__1[[#This Row],[MONTH IN NUM]]&amp;"/"&amp;All_India_Index_Upto_April23__1[[#This Row],[Year]]</f>
        <v>12/2016</v>
      </c>
      <c r="AT22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131.27142857142854</v>
      </c>
      <c r="AU22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1269.0404761904763</v>
      </c>
    </row>
    <row r="226" spans="1:47" x14ac:dyDescent="0.3">
      <c r="A226" t="s">
        <v>30</v>
      </c>
      <c r="B226">
        <v>2016</v>
      </c>
      <c r="C226" t="s">
        <v>44</v>
      </c>
      <c r="D226">
        <v>132.6</v>
      </c>
      <c r="E226">
        <v>137.30000000000001</v>
      </c>
      <c r="F226">
        <v>131.6</v>
      </c>
      <c r="G226">
        <v>136.30000000000001</v>
      </c>
      <c r="H226">
        <v>121.6</v>
      </c>
      <c r="I226">
        <v>135.6</v>
      </c>
      <c r="J226">
        <v>127.5</v>
      </c>
      <c r="K226">
        <v>167.9</v>
      </c>
      <c r="L226">
        <v>113.8</v>
      </c>
      <c r="M226">
        <v>137.5</v>
      </c>
      <c r="N226">
        <v>129.1</v>
      </c>
      <c r="O226">
        <v>143.6</v>
      </c>
      <c r="P226">
        <v>134.69999999999999</v>
      </c>
      <c r="Q226">
        <v>142.4</v>
      </c>
      <c r="R226">
        <v>140.4</v>
      </c>
      <c r="S226">
        <v>135.19999999999999</v>
      </c>
      <c r="T226">
        <v>139.69999999999999</v>
      </c>
      <c r="U226">
        <v>140.85</v>
      </c>
      <c r="V226">
        <v>132</v>
      </c>
      <c r="W226">
        <v>132.9</v>
      </c>
      <c r="X226">
        <v>129.69999999999999</v>
      </c>
      <c r="Y226">
        <v>118.6</v>
      </c>
      <c r="Z226">
        <v>127.3</v>
      </c>
      <c r="AA226">
        <v>134.19999999999999</v>
      </c>
      <c r="AB226">
        <v>121.9</v>
      </c>
      <c r="AC226">
        <v>126.3</v>
      </c>
      <c r="AD226">
        <v>132.80000000000001</v>
      </c>
      <c r="AE226">
        <v>135.10714285714286</v>
      </c>
      <c r="AF226">
        <v>138.43333333333334</v>
      </c>
      <c r="AG226">
        <v>136.875</v>
      </c>
      <c r="AH226" s="2">
        <f>All_India_Index_Upto_April23__1[[#This Row],[House]]/All_India_Index_Upto_April23__1[[#This Row],[TOTAL BROADER CATEGORIES]]</f>
        <v>0.10525482240565974</v>
      </c>
      <c r="AI226" s="2">
        <f>All_India_Index_Upto_April23__1[[#This Row],[Cloth]]/All_India_Index_Upto_April23__1[[#This Row],[TOTAL BROADER CATEGORIES]]</f>
        <v>0.10645315737003468</v>
      </c>
      <c r="AJ226" s="2">
        <f>All_India_Index_Upto_April23__1[[#This Row],[Food]]/All_India_Index_Upto_April23__1[[#This Row],[TOTAL BROADER CATEGORIES]]</f>
        <v>0.10389536677380583</v>
      </c>
      <c r="AK226" s="2">
        <f>All_India_Index_Upto_April23__1[[#This Row],[Miscellaneous]]/All_India_Index_Upto_April23__1[[#This Row],[TOTAL BROADER CATEGORIES]]</f>
        <v>9.7122805989660818E-2</v>
      </c>
      <c r="AL226" s="2">
        <f>All_India_Index_Upto_April23__1[[#This Row],[Personal care and effects]]/All_India_Index_Upto_April23__1[[#This Row],[TOTAL BROADER CATEGORIES]]</f>
        <v>9.3739271972602178E-2</v>
      </c>
      <c r="AM226" s="2">
        <f>All_India_Index_Upto_April23__1[[#This Row],[Education]]/All_India_Index_Upto_April23__1[[#This Row],[TOTAL BROADER CATEGORIES]]</f>
        <v>0.10319778752028885</v>
      </c>
      <c r="AN226" s="2">
        <f>All_India_Index_Upto_April23__1[[#This Row],[Recreation and amusement]]/All_India_Index_Upto_April23__1[[#This Row],[TOTAL BROADER CATEGORIES]]</f>
        <v>9.7891790993537786E-2</v>
      </c>
      <c r="AO226" s="2">
        <f>All_India_Index_Upto_April23__1[[#This Row],[Transport and communication]]/All_India_Index_Upto_April23__1[[#This Row],[TOTAL BROADER CATEGORIES]]</f>
        <v>9.1201621459808174E-2</v>
      </c>
      <c r="AP226" s="2">
        <f>All_India_Index_Upto_April23__1[[#This Row],[Health]]/All_India_Index_Upto_April23__1[[#This Row],[TOTAL BROADER CATEGORIES]]</f>
        <v>9.9737355002842504E-2</v>
      </c>
      <c r="AQ226" s="2">
        <f>All_India_Index_Upto_April23__1[[#This Row],[Fuel and light]]/All_India_Index_Upto_April23__1[[#This Row],[TOTAL BROADER CATEGORIES]]</f>
        <v>0.10150602051175953</v>
      </c>
      <c r="AR226">
        <f>MONTH(1 &amp; All_India_Index_Upto_April23__1[[#This Row],[Month]])</f>
        <v>12</v>
      </c>
      <c r="AS226" s="19" t="str">
        <f>All_India_Index_Upto_April23__1[[#This Row],[MONTH IN NUM]]&amp;"/"&amp;All_India_Index_Upto_April23__1[[#This Row],[Year]]</f>
        <v>12/2016</v>
      </c>
      <c r="AT22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136.46428571428572</v>
      </c>
      <c r="AU22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1300.4154761904761</v>
      </c>
    </row>
    <row r="227" spans="1:47" x14ac:dyDescent="0.3">
      <c r="A227" t="s">
        <v>30</v>
      </c>
      <c r="B227">
        <v>2016</v>
      </c>
      <c r="C227" t="s">
        <v>43</v>
      </c>
      <c r="D227">
        <v>132</v>
      </c>
      <c r="E227">
        <v>137.4</v>
      </c>
      <c r="F227">
        <v>130.6</v>
      </c>
      <c r="G227">
        <v>136.19999999999999</v>
      </c>
      <c r="H227">
        <v>121.1</v>
      </c>
      <c r="I227">
        <v>136.9</v>
      </c>
      <c r="J227">
        <v>141.80000000000001</v>
      </c>
      <c r="K227">
        <v>170</v>
      </c>
      <c r="L227">
        <v>113.4</v>
      </c>
      <c r="M227">
        <v>136.80000000000001</v>
      </c>
      <c r="N227">
        <v>128.69999999999999</v>
      </c>
      <c r="O227">
        <v>143.1</v>
      </c>
      <c r="P227">
        <v>136.6</v>
      </c>
      <c r="Q227">
        <v>141.19999999999999</v>
      </c>
      <c r="R227">
        <v>139.9</v>
      </c>
      <c r="S227">
        <v>134.5</v>
      </c>
      <c r="T227">
        <v>139.19999999999999</v>
      </c>
      <c r="U227">
        <v>140.85</v>
      </c>
      <c r="V227">
        <v>130.30000000000001</v>
      </c>
      <c r="W227">
        <v>132.1</v>
      </c>
      <c r="X227">
        <v>129.1</v>
      </c>
      <c r="Y227">
        <v>118.2</v>
      </c>
      <c r="Z227">
        <v>126.9</v>
      </c>
      <c r="AA227">
        <v>133.69999999999999</v>
      </c>
      <c r="AB227">
        <v>123.5</v>
      </c>
      <c r="AC227">
        <v>126.1</v>
      </c>
      <c r="AD227">
        <v>133.6</v>
      </c>
      <c r="AE227">
        <v>136.12857142857143</v>
      </c>
      <c r="AF227">
        <v>137.86666666666665</v>
      </c>
      <c r="AG227">
        <v>136.47499999999999</v>
      </c>
      <c r="AH227" s="2">
        <f>All_India_Index_Upto_April23__1[[#This Row],[House]]/All_India_Index_Upto_April23__1[[#This Row],[TOTAL BROADER CATEGORIES]]</f>
        <v>0.10512064129285581</v>
      </c>
      <c r="AI227" s="2">
        <f>All_India_Index_Upto_April23__1[[#This Row],[Cloth]]/All_India_Index_Upto_April23__1[[#This Row],[TOTAL BROADER CATEGORIES]]</f>
        <v>0.1061925804206513</v>
      </c>
      <c r="AJ227" s="2">
        <f>All_India_Index_Upto_April23__1[[#This Row],[Food]]/All_India_Index_Upto_April23__1[[#This Row],[TOTAL BROADER CATEGORIES]]</f>
        <v>0.10485380272468774</v>
      </c>
      <c r="AK227" s="2">
        <f>All_India_Index_Upto_April23__1[[#This Row],[Miscellaneous]]/All_India_Index_Upto_April23__1[[#This Row],[TOTAL BROADER CATEGORIES]]</f>
        <v>9.7129238813182764E-2</v>
      </c>
      <c r="AL227" s="2">
        <f>All_India_Index_Upto_April23__1[[#This Row],[Personal care and effects]]/All_India_Index_Upto_April23__1[[#This Row],[TOTAL BROADER CATEGORIES]]</f>
        <v>9.5126574095385177E-2</v>
      </c>
      <c r="AM227" s="2">
        <f>All_India_Index_Upto_April23__1[[#This Row],[Education]]/All_India_Index_Upto_April23__1[[#This Row],[TOTAL BROADER CATEGORIES]]</f>
        <v>0.10298318183443723</v>
      </c>
      <c r="AN227" s="2">
        <f>All_India_Index_Upto_April23__1[[#This Row],[Recreation and amusement]]/All_India_Index_Upto_April23__1[[#This Row],[TOTAL BROADER CATEGORIES]]</f>
        <v>9.7745443341735877E-2</v>
      </c>
      <c r="AO227" s="2">
        <f>All_India_Index_Upto_April23__1[[#This Row],[Transport and communication]]/All_India_Index_Upto_April23__1[[#This Row],[TOTAL BROADER CATEGORIES]]</f>
        <v>9.1044219093720874E-2</v>
      </c>
      <c r="AP227" s="2">
        <f>All_India_Index_Upto_April23__1[[#This Row],[Health]]/All_India_Index_Upto_April23__1[[#This Row],[TOTAL BROADER CATEGORIES]]</f>
        <v>9.94400057952569E-2</v>
      </c>
      <c r="AQ227" s="2">
        <f>All_India_Index_Upto_April23__1[[#This Row],[Fuel and light]]/All_India_Index_Upto_April23__1[[#This Row],[TOTAL BROADER CATEGORIES]]</f>
        <v>0.10036431258808656</v>
      </c>
      <c r="AR227">
        <f>MONTH(1 &amp; All_India_Index_Upto_April23__1[[#This Row],[Month]])</f>
        <v>11</v>
      </c>
      <c r="AS227" s="19" t="str">
        <f>All_India_Index_Upto_April23__1[[#This Row],[MONTH IN NUM]]&amp;"/"&amp;All_India_Index_Upto_April23__1[[#This Row],[Year]]</f>
        <v>11/2016</v>
      </c>
      <c r="AT22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135.79285714285712</v>
      </c>
      <c r="AU22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1298.2702380952378</v>
      </c>
    </row>
    <row r="228" spans="1:47" x14ac:dyDescent="0.3">
      <c r="A228" t="s">
        <v>32</v>
      </c>
      <c r="B228">
        <v>2016</v>
      </c>
      <c r="C228" t="s">
        <v>43</v>
      </c>
      <c r="D228">
        <v>130.19999999999999</v>
      </c>
      <c r="E228">
        <v>138.5</v>
      </c>
      <c r="F228">
        <v>134.1</v>
      </c>
      <c r="G228">
        <v>132.9</v>
      </c>
      <c r="H228">
        <v>112.6</v>
      </c>
      <c r="I228">
        <v>130.80000000000001</v>
      </c>
      <c r="J228">
        <v>142</v>
      </c>
      <c r="K228">
        <v>174.9</v>
      </c>
      <c r="L228">
        <v>115.6</v>
      </c>
      <c r="M228">
        <v>145.4</v>
      </c>
      <c r="N228">
        <v>122.7</v>
      </c>
      <c r="O228">
        <v>140.30000000000001</v>
      </c>
      <c r="P228">
        <v>135.19999999999999</v>
      </c>
      <c r="Q228">
        <v>144.30000000000001</v>
      </c>
      <c r="R228">
        <v>129.6</v>
      </c>
      <c r="S228">
        <v>122.1</v>
      </c>
      <c r="T228">
        <v>128.5</v>
      </c>
      <c r="U228">
        <v>129.1</v>
      </c>
      <c r="V228">
        <v>116.2</v>
      </c>
      <c r="W228">
        <v>124.7</v>
      </c>
      <c r="X228">
        <v>122.1</v>
      </c>
      <c r="Y228">
        <v>113.4</v>
      </c>
      <c r="Z228">
        <v>121.7</v>
      </c>
      <c r="AA228">
        <v>132.1</v>
      </c>
      <c r="AB228">
        <v>121.3</v>
      </c>
      <c r="AC228">
        <v>121.3</v>
      </c>
      <c r="AD228">
        <v>128.5</v>
      </c>
      <c r="AE228">
        <v>135.67857142857142</v>
      </c>
      <c r="AF228">
        <v>126.73333333333333</v>
      </c>
      <c r="AG228">
        <v>126.9</v>
      </c>
      <c r="AH228" s="2">
        <f>All_India_Index_Upto_April23__1[[#This Row],[House]]/All_India_Index_Upto_April23__1[[#This Row],[TOTAL BROADER CATEGORIES]]</f>
        <v>0.10255275507828358</v>
      </c>
      <c r="AI228" s="2">
        <f>All_India_Index_Upto_April23__1[[#This Row],[Cloth]]/All_India_Index_Upto_April23__1[[#This Row],[TOTAL BROADER CATEGORIES]]</f>
        <v>0.10241806535530186</v>
      </c>
      <c r="AJ228" s="2">
        <f>All_India_Index_Upto_April23__1[[#This Row],[Food]]/All_India_Index_Upto_April23__1[[#This Row],[TOTAL BROADER CATEGORIES]]</f>
        <v>0.10964705520162087</v>
      </c>
      <c r="AK228" s="2">
        <f>All_India_Index_Upto_April23__1[[#This Row],[Miscellaneous]]/All_India_Index_Upto_April23__1[[#This Row],[TOTAL BROADER CATEGORIES]]</f>
        <v>9.8027180386097701E-2</v>
      </c>
      <c r="AL228" s="2">
        <f>All_India_Index_Upto_April23__1[[#This Row],[Personal care and effects]]/All_India_Index_Upto_April23__1[[#This Row],[TOTAL BROADER CATEGORIES]]</f>
        <v>9.8027180386097701E-2</v>
      </c>
      <c r="AM228" s="2">
        <f>All_India_Index_Upto_April23__1[[#This Row],[Education]]/All_India_Index_Upto_April23__1[[#This Row],[TOTAL BROADER CATEGORIES]]</f>
        <v>0.10675507443531332</v>
      </c>
      <c r="AN228" s="2">
        <f>All_India_Index_Upto_April23__1[[#This Row],[Recreation and amusement]]/All_India_Index_Upto_April23__1[[#This Row],[TOTAL BROADER CATEGORIES]]</f>
        <v>9.8350435721253834E-2</v>
      </c>
      <c r="AO228" s="2">
        <f>All_India_Index_Upto_April23__1[[#This Row],[Transport and communication]]/All_India_Index_Upto_April23__1[[#This Row],[TOTAL BROADER CATEGORIES]]</f>
        <v>9.1642887516764054E-2</v>
      </c>
      <c r="AP228" s="2">
        <f>All_India_Index_Upto_April23__1[[#This Row],[Health]]/All_India_Index_Upto_April23__1[[#This Row],[TOTAL BROADER CATEGORIES]]</f>
        <v>9.8673691056409968E-2</v>
      </c>
      <c r="AQ228" s="2">
        <f>All_India_Index_Upto_April23__1[[#This Row],[Fuel and light]]/All_India_Index_Upto_April23__1[[#This Row],[TOTAL BROADER CATEGORIES]]</f>
        <v>9.3905674862856989E-2</v>
      </c>
      <c r="AR228">
        <f>MONTH(1 &amp; All_India_Index_Upto_April23__1[[#This Row],[Month]])</f>
        <v>11</v>
      </c>
      <c r="AS228" s="19" t="str">
        <f>All_India_Index_Upto_April23__1[[#This Row],[MONTH IN NUM]]&amp;"/"&amp;All_India_Index_Upto_April23__1[[#This Row],[Year]]</f>
        <v>11/2016</v>
      </c>
      <c r="AT22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126.04285714285716</v>
      </c>
      <c r="AU22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1237.4119047619049</v>
      </c>
    </row>
    <row r="229" spans="1:47" x14ac:dyDescent="0.3">
      <c r="A229" t="s">
        <v>33</v>
      </c>
      <c r="B229">
        <v>2016</v>
      </c>
      <c r="C229" t="s">
        <v>43</v>
      </c>
      <c r="D229">
        <v>131.4</v>
      </c>
      <c r="E229">
        <v>137.80000000000001</v>
      </c>
      <c r="F229">
        <v>132</v>
      </c>
      <c r="G229">
        <v>135</v>
      </c>
      <c r="H229">
        <v>118</v>
      </c>
      <c r="I229">
        <v>134.1</v>
      </c>
      <c r="J229">
        <v>141.9</v>
      </c>
      <c r="K229">
        <v>171.7</v>
      </c>
      <c r="L229">
        <v>114.1</v>
      </c>
      <c r="M229">
        <v>139.69999999999999</v>
      </c>
      <c r="N229">
        <v>126.2</v>
      </c>
      <c r="O229">
        <v>141.80000000000001</v>
      </c>
      <c r="P229">
        <v>136.1</v>
      </c>
      <c r="Q229">
        <v>142</v>
      </c>
      <c r="R229">
        <v>135.80000000000001</v>
      </c>
      <c r="S229">
        <v>129.30000000000001</v>
      </c>
      <c r="T229">
        <v>135</v>
      </c>
      <c r="U229">
        <v>129.1</v>
      </c>
      <c r="V229">
        <v>125</v>
      </c>
      <c r="W229">
        <v>128.6</v>
      </c>
      <c r="X229">
        <v>126.4</v>
      </c>
      <c r="Y229">
        <v>115.7</v>
      </c>
      <c r="Z229">
        <v>124</v>
      </c>
      <c r="AA229">
        <v>132.80000000000001</v>
      </c>
      <c r="AB229">
        <v>122.6</v>
      </c>
      <c r="AC229">
        <v>123.8</v>
      </c>
      <c r="AD229">
        <v>131.19999999999999</v>
      </c>
      <c r="AE229">
        <v>135.84285714285713</v>
      </c>
      <c r="AF229">
        <v>133.36666666666667</v>
      </c>
      <c r="AG229">
        <v>128.85</v>
      </c>
      <c r="AH229" s="2">
        <f>All_India_Index_Upto_April23__1[[#This Row],[House]]/All_India_Index_Upto_April23__1[[#This Row],[TOTAL BROADER CATEGORIES]]</f>
        <v>0.10158791539878093</v>
      </c>
      <c r="AI229" s="2">
        <f>All_India_Index_Upto_April23__1[[#This Row],[Cloth]]/All_India_Index_Upto_April23__1[[#This Row],[TOTAL BROADER CATEGORIES]]</f>
        <v>0.10514894567598565</v>
      </c>
      <c r="AJ229" s="2">
        <f>All_India_Index_Upto_April23__1[[#This Row],[Food]]/All_India_Index_Upto_April23__1[[#This Row],[TOTAL BROADER CATEGORIES]]</f>
        <v>0.10710122374045211</v>
      </c>
      <c r="AK229" s="2">
        <f>All_India_Index_Upto_April23__1[[#This Row],[Miscellaneous]]/All_India_Index_Upto_April23__1[[#This Row],[TOTAL BROADER CATEGORIES]]</f>
        <v>9.7606394461537294E-2</v>
      </c>
      <c r="AL229" s="2">
        <f>All_India_Index_Upto_April23__1[[#This Row],[Personal care and effects]]/All_India_Index_Upto_April23__1[[#This Row],[TOTAL BROADER CATEGORIES]]</f>
        <v>9.6660290476449681E-2</v>
      </c>
      <c r="AM229" s="2">
        <f>All_India_Index_Upto_April23__1[[#This Row],[Education]]/All_India_Index_Upto_April23__1[[#This Row],[TOTAL BROADER CATEGORIES]]</f>
        <v>0.1047021743496943</v>
      </c>
      <c r="AN229" s="2">
        <f>All_India_Index_Upto_April23__1[[#This Row],[Recreation and amusement]]/All_India_Index_Upto_April23__1[[#This Row],[TOTAL BROADER CATEGORIES]]</f>
        <v>9.7764078459051884E-2</v>
      </c>
      <c r="AO229" s="2">
        <f>All_India_Index_Upto_April23__1[[#This Row],[Transport and communication]]/All_India_Index_Upto_April23__1[[#This Row],[TOTAL BROADER CATEGORIES]]</f>
        <v>9.1220192562196004E-2</v>
      </c>
      <c r="AP229" s="2">
        <f>All_India_Index_Upto_April23__1[[#This Row],[Health]]/All_India_Index_Upto_April23__1[[#This Row],[TOTAL BROADER CATEGORIES]]</f>
        <v>9.9656286429227095E-2</v>
      </c>
      <c r="AQ229" s="2">
        <f>All_India_Index_Upto_April23__1[[#This Row],[Fuel and light]]/All_India_Index_Upto_April23__1[[#This Row],[TOTAL BROADER CATEGORIES]]</f>
        <v>9.8552498446624892E-2</v>
      </c>
      <c r="AR229">
        <f>MONTH(1 &amp; All_India_Index_Upto_April23__1[[#This Row],[Month]])</f>
        <v>11</v>
      </c>
      <c r="AS229" s="19" t="str">
        <f>All_India_Index_Upto_April23__1[[#This Row],[MONTH IN NUM]]&amp;"/"&amp;All_India_Index_Upto_April23__1[[#This Row],[Year]]</f>
        <v>11/2016</v>
      </c>
      <c r="AT22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130.79999999999998</v>
      </c>
      <c r="AU22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1268.359523809524</v>
      </c>
    </row>
    <row r="230" spans="1:47" x14ac:dyDescent="0.3">
      <c r="A230" t="s">
        <v>33</v>
      </c>
      <c r="B230">
        <v>2016</v>
      </c>
      <c r="C230" t="s">
        <v>42</v>
      </c>
      <c r="D230">
        <v>130.5</v>
      </c>
      <c r="E230">
        <v>137.9</v>
      </c>
      <c r="F230">
        <v>130.19999999999999</v>
      </c>
      <c r="G230">
        <v>134.80000000000001</v>
      </c>
      <c r="H230">
        <v>117.8</v>
      </c>
      <c r="I230">
        <v>134.69999999999999</v>
      </c>
      <c r="J230">
        <v>151.19999999999999</v>
      </c>
      <c r="K230">
        <v>172.1</v>
      </c>
      <c r="L230">
        <v>114.1</v>
      </c>
      <c r="M230">
        <v>139.30000000000001</v>
      </c>
      <c r="N230">
        <v>126.1</v>
      </c>
      <c r="O230">
        <v>141.1</v>
      </c>
      <c r="P230">
        <v>137</v>
      </c>
      <c r="Q230">
        <v>141.80000000000001</v>
      </c>
      <c r="R230">
        <v>135.5</v>
      </c>
      <c r="S230">
        <v>129.1</v>
      </c>
      <c r="T230">
        <v>134.5</v>
      </c>
      <c r="U230">
        <v>128.69999999999999</v>
      </c>
      <c r="V230">
        <v>124.3</v>
      </c>
      <c r="W230">
        <v>128.4</v>
      </c>
      <c r="X230">
        <v>126.1</v>
      </c>
      <c r="Y230">
        <v>115.2</v>
      </c>
      <c r="Z230">
        <v>123.5</v>
      </c>
      <c r="AA230">
        <v>132.4</v>
      </c>
      <c r="AB230">
        <v>122.1</v>
      </c>
      <c r="AC230">
        <v>123.4</v>
      </c>
      <c r="AD230">
        <v>131.4</v>
      </c>
      <c r="AE230">
        <v>136.32857142857139</v>
      </c>
      <c r="AF230">
        <v>133.03333333333333</v>
      </c>
      <c r="AG230">
        <v>128.55000000000001</v>
      </c>
      <c r="AH230" s="2">
        <f>All_India_Index_Upto_April23__1[[#This Row],[House]]/All_India_Index_Upto_April23__1[[#This Row],[TOTAL BROADER CATEGORIES]]</f>
        <v>0.10162763075915321</v>
      </c>
      <c r="AI230" s="2">
        <f>All_India_Index_Upto_April23__1[[#This Row],[Cloth]]/All_India_Index_Upto_April23__1[[#This Row],[TOTAL BROADER CATEGORIES]]</f>
        <v>0.10517201461423062</v>
      </c>
      <c r="AJ230" s="2">
        <f>All_India_Index_Upto_April23__1[[#This Row],[Food]]/All_India_Index_Upto_April23__1[[#This Row],[TOTAL BROADER CATEGORIES]]</f>
        <v>0.1077771273361781</v>
      </c>
      <c r="AK230" s="2">
        <f>All_India_Index_Upto_April23__1[[#This Row],[Miscellaneous]]/All_India_Index_Upto_April23__1[[#This Row],[TOTAL BROADER CATEGORIES]]</f>
        <v>9.7556200977670204E-2</v>
      </c>
      <c r="AL230" s="2">
        <f>All_India_Index_Upto_April23__1[[#This Row],[Personal care and effects]]/All_India_Index_Upto_April23__1[[#This Row],[TOTAL BROADER CATEGORIES]]</f>
        <v>9.6528461421179337E-2</v>
      </c>
      <c r="AM230" s="2">
        <f>All_India_Index_Upto_April23__1[[#This Row],[Education]]/All_India_Index_Upto_April23__1[[#This Row],[TOTAL BROADER CATEGORIES]]</f>
        <v>0.10467132098414535</v>
      </c>
      <c r="AN230" s="2">
        <f>All_India_Index_Upto_April23__1[[#This Row],[Recreation and amusement]]/All_India_Index_Upto_April23__1[[#This Row],[TOTAL BROADER CATEGORIES]]</f>
        <v>9.7635257866631034E-2</v>
      </c>
      <c r="AO230" s="2">
        <f>All_India_Index_Upto_April23__1[[#This Row],[Transport and communication]]/All_India_Index_Upto_April23__1[[#This Row],[TOTAL BROADER CATEGORIES]]</f>
        <v>9.107353608288174E-2</v>
      </c>
      <c r="AP230" s="2">
        <f>All_India_Index_Upto_April23__1[[#This Row],[Health]]/All_India_Index_Upto_April23__1[[#This Row],[TOTAL BROADER CATEGORIES]]</f>
        <v>9.969073697961274E-2</v>
      </c>
      <c r="AQ230" s="2">
        <f>All_India_Index_Upto_April23__1[[#This Row],[Fuel and light]]/All_India_Index_Upto_April23__1[[#This Row],[TOTAL BROADER CATEGORIES]]</f>
        <v>9.8267712978317712E-2</v>
      </c>
      <c r="AR230">
        <f>MONTH(1 &amp; All_India_Index_Upto_April23__1[[#This Row],[Month]])</f>
        <v>10</v>
      </c>
      <c r="AS230" s="19" t="str">
        <f>All_India_Index_Upto_April23__1[[#This Row],[MONTH IN NUM]]&amp;"/"&amp;All_India_Index_Upto_April23__1[[#This Row],[Year]]</f>
        <v>10/2016</v>
      </c>
      <c r="AT23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130.41428571428571</v>
      </c>
      <c r="AU23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1264.9119047619047</v>
      </c>
    </row>
    <row r="231" spans="1:47" x14ac:dyDescent="0.3">
      <c r="A231" t="s">
        <v>30</v>
      </c>
      <c r="B231">
        <v>2016</v>
      </c>
      <c r="C231" t="s">
        <v>42</v>
      </c>
      <c r="D231">
        <v>131.30000000000001</v>
      </c>
      <c r="E231">
        <v>137.6</v>
      </c>
      <c r="F231">
        <v>130.1</v>
      </c>
      <c r="G231">
        <v>136</v>
      </c>
      <c r="H231">
        <v>120.8</v>
      </c>
      <c r="I231">
        <v>138.4</v>
      </c>
      <c r="J231">
        <v>149.19999999999999</v>
      </c>
      <c r="K231">
        <v>170.2</v>
      </c>
      <c r="L231">
        <v>113.4</v>
      </c>
      <c r="M231">
        <v>136.30000000000001</v>
      </c>
      <c r="N231">
        <v>128.69999999999999</v>
      </c>
      <c r="O231">
        <v>142.4</v>
      </c>
      <c r="P231">
        <v>137.4</v>
      </c>
      <c r="Q231">
        <v>140.9</v>
      </c>
      <c r="R231">
        <v>139.6</v>
      </c>
      <c r="S231">
        <v>134.30000000000001</v>
      </c>
      <c r="T231">
        <v>138.80000000000001</v>
      </c>
      <c r="U231">
        <v>140.85</v>
      </c>
      <c r="V231">
        <v>129.80000000000001</v>
      </c>
      <c r="W231">
        <v>131.80000000000001</v>
      </c>
      <c r="X231">
        <v>128.69999999999999</v>
      </c>
      <c r="Y231">
        <v>117.8</v>
      </c>
      <c r="Z231">
        <v>126.5</v>
      </c>
      <c r="AA231">
        <v>133</v>
      </c>
      <c r="AB231">
        <v>123</v>
      </c>
      <c r="AC231">
        <v>125.7</v>
      </c>
      <c r="AD231">
        <v>133.80000000000001</v>
      </c>
      <c r="AE231">
        <v>136.62142857142859</v>
      </c>
      <c r="AF231">
        <v>137.56666666666666</v>
      </c>
      <c r="AG231">
        <v>136.32499999999999</v>
      </c>
      <c r="AH231" s="2">
        <f>All_India_Index_Upto_April23__1[[#This Row],[House]]/All_India_Index_Upto_April23__1[[#This Row],[TOTAL BROADER CATEGORIES]]</f>
        <v>0.10526920577195853</v>
      </c>
      <c r="AI231" s="2">
        <f>All_India_Index_Upto_April23__1[[#This Row],[Cloth]]/All_India_Index_Upto_April23__1[[#This Row],[TOTAL BROADER CATEGORIES]]</f>
        <v>0.1062280120351789</v>
      </c>
      <c r="AJ231" s="2">
        <f>All_India_Index_Upto_April23__1[[#This Row],[Food]]/All_India_Index_Upto_April23__1[[#This Row],[TOTAL BROADER CATEGORIES]]</f>
        <v>0.10549810582904569</v>
      </c>
      <c r="AK231" s="2">
        <f>All_India_Index_Upto_April23__1[[#This Row],[Miscellaneous]]/All_India_Index_Upto_April23__1[[#This Row],[TOTAL BROADER CATEGORIES]]</f>
        <v>9.70646555329924E-2</v>
      </c>
      <c r="AL231" s="2">
        <f>All_India_Index_Upto_April23__1[[#This Row],[Personal care and effects]]/All_India_Index_Upto_April23__1[[#This Row],[TOTAL BROADER CATEGORIES]]</f>
        <v>9.4979734531090418E-2</v>
      </c>
      <c r="AM231" s="2">
        <f>All_India_Index_Upto_April23__1[[#This Row],[Education]]/All_India_Index_Upto_April23__1[[#This Row],[TOTAL BROADER CATEGORIES]]</f>
        <v>0.10270166416776444</v>
      </c>
      <c r="AN231" s="2">
        <f>All_India_Index_Upto_April23__1[[#This Row],[Recreation and amusement]]/All_India_Index_Upto_April23__1[[#This Row],[TOTAL BROADER CATEGORIES]]</f>
        <v>9.7682409903926321E-2</v>
      </c>
      <c r="AO231" s="2">
        <f>All_India_Index_Upto_April23__1[[#This Row],[Transport and communication]]/All_India_Index_Upto_April23__1[[#This Row],[TOTAL BROADER CATEGORIES]]</f>
        <v>9.096433112001992E-2</v>
      </c>
      <c r="AP231" s="2">
        <f>All_India_Index_Upto_April23__1[[#This Row],[Health]]/All_India_Index_Upto_April23__1[[#This Row],[TOTAL BROADER CATEGORIES]]</f>
        <v>9.9381234423994602E-2</v>
      </c>
      <c r="AQ231" s="2">
        <f>All_India_Index_Upto_April23__1[[#This Row],[Fuel and light]]/All_India_Index_Upto_April23__1[[#This Row],[TOTAL BROADER CATEGORIES]]</f>
        <v>0.10023064668402876</v>
      </c>
      <c r="AR231">
        <f>MONTH(1 &amp; All_India_Index_Upto_April23__1[[#This Row],[Month]])</f>
        <v>10</v>
      </c>
      <c r="AS231" s="19" t="str">
        <f>All_India_Index_Upto_April23__1[[#This Row],[MONTH IN NUM]]&amp;"/"&amp;All_India_Index_Upto_April23__1[[#This Row],[Year]]</f>
        <v>10/2016</v>
      </c>
      <c r="AT23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135.44999999999999</v>
      </c>
      <c r="AU23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1295.0130952380953</v>
      </c>
    </row>
    <row r="232" spans="1:47" x14ac:dyDescent="0.3">
      <c r="A232" t="s">
        <v>32</v>
      </c>
      <c r="B232">
        <v>2016</v>
      </c>
      <c r="C232" t="s">
        <v>42</v>
      </c>
      <c r="D232">
        <v>128.69999999999999</v>
      </c>
      <c r="E232">
        <v>138.4</v>
      </c>
      <c r="F232">
        <v>130.30000000000001</v>
      </c>
      <c r="G232">
        <v>132.69999999999999</v>
      </c>
      <c r="H232">
        <v>112.5</v>
      </c>
      <c r="I232">
        <v>130.4</v>
      </c>
      <c r="J232">
        <v>155.1</v>
      </c>
      <c r="K232">
        <v>175.7</v>
      </c>
      <c r="L232">
        <v>115.4</v>
      </c>
      <c r="M232">
        <v>145.30000000000001</v>
      </c>
      <c r="N232">
        <v>122.5</v>
      </c>
      <c r="O232">
        <v>139.6</v>
      </c>
      <c r="P232">
        <v>136.30000000000001</v>
      </c>
      <c r="Q232">
        <v>144.30000000000001</v>
      </c>
      <c r="R232">
        <v>129.1</v>
      </c>
      <c r="S232">
        <v>121.9</v>
      </c>
      <c r="T232">
        <v>128</v>
      </c>
      <c r="U232">
        <v>128.69999999999999</v>
      </c>
      <c r="V232">
        <v>115.2</v>
      </c>
      <c r="W232">
        <v>124.5</v>
      </c>
      <c r="X232">
        <v>121.8</v>
      </c>
      <c r="Y232">
        <v>112.8</v>
      </c>
      <c r="Z232">
        <v>121.2</v>
      </c>
      <c r="AA232">
        <v>131.9</v>
      </c>
      <c r="AB232">
        <v>120.8</v>
      </c>
      <c r="AC232">
        <v>120.9</v>
      </c>
      <c r="AD232">
        <v>128.6</v>
      </c>
      <c r="AE232">
        <v>136.22857142857143</v>
      </c>
      <c r="AF232">
        <v>126.33333333333333</v>
      </c>
      <c r="AG232">
        <v>126.6</v>
      </c>
      <c r="AH232" s="2">
        <f>All_India_Index_Upto_April23__1[[#This Row],[House]]/All_India_Index_Upto_April23__1[[#This Row],[TOTAL BROADER CATEGORIES]]</f>
        <v>0.10261299162453201</v>
      </c>
      <c r="AI232" s="2">
        <f>All_India_Index_Upto_April23__1[[#This Row],[Cloth]]/All_India_Index_Upto_April23__1[[#This Row],[TOTAL BROADER CATEGORIES]]</f>
        <v>0.10239685051526495</v>
      </c>
      <c r="AJ232" s="2">
        <f>All_India_Index_Upto_April23__1[[#This Row],[Food]]/All_India_Index_Upto_April23__1[[#This Row],[TOTAL BROADER CATEGORIES]]</f>
        <v>0.11041722953413871</v>
      </c>
      <c r="AK232" s="2">
        <f>All_India_Index_Upto_April23__1[[#This Row],[Miscellaneous]]/All_India_Index_Upto_April23__1[[#This Row],[TOTAL BROADER CATEGORIES]]</f>
        <v>9.7992975413948816E-2</v>
      </c>
      <c r="AL232" s="2">
        <f>All_India_Index_Upto_April23__1[[#This Row],[Personal care and effects]]/All_India_Index_Upto_April23__1[[#This Row],[TOTAL BROADER CATEGORIES]]</f>
        <v>9.7911922497973675E-2</v>
      </c>
      <c r="AM232" s="2">
        <f>All_India_Index_Upto_April23__1[[#This Row],[Education]]/All_India_Index_Upto_April23__1[[#This Row],[TOTAL BROADER CATEGORIES]]</f>
        <v>0.10690879617121464</v>
      </c>
      <c r="AN232" s="2">
        <f>All_India_Index_Upto_April23__1[[#This Row],[Recreation and amusement]]/All_India_Index_Upto_April23__1[[#This Row],[TOTAL BROADER CATEGORIES]]</f>
        <v>9.8236134161874253E-2</v>
      </c>
      <c r="AO232" s="2">
        <f>All_India_Index_Upto_April23__1[[#This Row],[Transport and communication]]/All_India_Index_Upto_April23__1[[#This Row],[TOTAL BROADER CATEGORIES]]</f>
        <v>9.1427689219962166E-2</v>
      </c>
      <c r="AP232" s="2">
        <f>All_India_Index_Upto_April23__1[[#This Row],[Health]]/All_India_Index_Upto_April23__1[[#This Row],[TOTAL BROADER CATEGORIES]]</f>
        <v>9.8722451657725113E-2</v>
      </c>
      <c r="AQ232" s="2">
        <f>All_India_Index_Upto_April23__1[[#This Row],[Fuel and light]]/All_India_Index_Upto_April23__1[[#This Row],[TOTAL BROADER CATEGORIES]]</f>
        <v>9.3372959203365621E-2</v>
      </c>
      <c r="AR232">
        <f>MONTH(1 &amp; All_India_Index_Upto_April23__1[[#This Row],[Month]])</f>
        <v>10</v>
      </c>
      <c r="AS232" s="19" t="str">
        <f>All_India_Index_Upto_April23__1[[#This Row],[MONTH IN NUM]]&amp;"/"&amp;All_India_Index_Upto_April23__1[[#This Row],[Year]]</f>
        <v>10/2016</v>
      </c>
      <c r="AT23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125.61428571428571</v>
      </c>
      <c r="AU23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1233.7619047619048</v>
      </c>
    </row>
    <row r="233" spans="1:47" x14ac:dyDescent="0.3">
      <c r="A233" t="s">
        <v>32</v>
      </c>
      <c r="B233">
        <v>2016</v>
      </c>
      <c r="C233" t="s">
        <v>41</v>
      </c>
      <c r="D233">
        <v>128.1</v>
      </c>
      <c r="E233">
        <v>137.69999999999999</v>
      </c>
      <c r="F233">
        <v>130.6</v>
      </c>
      <c r="G233">
        <v>132.6</v>
      </c>
      <c r="H233">
        <v>111.9</v>
      </c>
      <c r="I233">
        <v>132.5</v>
      </c>
      <c r="J233">
        <v>152.9</v>
      </c>
      <c r="K233">
        <v>173.6</v>
      </c>
      <c r="L233">
        <v>115.1</v>
      </c>
      <c r="M233">
        <v>144.80000000000001</v>
      </c>
      <c r="N233">
        <v>122.1</v>
      </c>
      <c r="O233">
        <v>138.80000000000001</v>
      </c>
      <c r="P233">
        <v>135.69999999999999</v>
      </c>
      <c r="Q233">
        <v>143.9</v>
      </c>
      <c r="R233">
        <v>128.69999999999999</v>
      </c>
      <c r="S233">
        <v>121.6</v>
      </c>
      <c r="T233">
        <v>127.7</v>
      </c>
      <c r="U233">
        <v>127.9</v>
      </c>
      <c r="V233">
        <v>114.8</v>
      </c>
      <c r="W233">
        <v>124.3</v>
      </c>
      <c r="X233">
        <v>121.4</v>
      </c>
      <c r="Y233">
        <v>111.8</v>
      </c>
      <c r="Z233">
        <v>120.8</v>
      </c>
      <c r="AA233">
        <v>131.6</v>
      </c>
      <c r="AB233">
        <v>121.2</v>
      </c>
      <c r="AC233">
        <v>120.5</v>
      </c>
      <c r="AD233">
        <v>128</v>
      </c>
      <c r="AE233">
        <v>135.73571428571427</v>
      </c>
      <c r="AF233">
        <v>126</v>
      </c>
      <c r="AG233">
        <v>126.1</v>
      </c>
      <c r="AH233" s="2">
        <f>All_India_Index_Upto_April23__1[[#This Row],[House]]/All_India_Index_Upto_April23__1[[#This Row],[TOTAL BROADER CATEGORIES]]</f>
        <v>0.10252568368846222</v>
      </c>
      <c r="AI233" s="2">
        <f>All_India_Index_Upto_April23__1[[#This Row],[Cloth]]/All_India_Index_Upto_April23__1[[#This Row],[TOTAL BROADER CATEGORIES]]</f>
        <v>0.10244437862606059</v>
      </c>
      <c r="AJ233" s="2">
        <f>All_India_Index_Upto_April23__1[[#This Row],[Food]]/All_India_Index_Upto_April23__1[[#This Row],[TOTAL BROADER CATEGORIES]]</f>
        <v>0.11036000720130551</v>
      </c>
      <c r="AK233" s="2">
        <f>All_India_Index_Upto_April23__1[[#This Row],[Miscellaneous]]/All_India_Index_Upto_April23__1[[#This Row],[TOTAL BROADER CATEGORIES]]</f>
        <v>9.7972600193970652E-2</v>
      </c>
      <c r="AL233" s="2">
        <f>All_India_Index_Upto_April23__1[[#This Row],[Personal care and effects]]/All_India_Index_Upto_April23__1[[#This Row],[TOTAL BROADER CATEGORIES]]</f>
        <v>9.8541735630782099E-2</v>
      </c>
      <c r="AM233" s="2">
        <f>All_India_Index_Upto_April23__1[[#This Row],[Education]]/All_India_Index_Upto_April23__1[[#This Row],[TOTAL BROADER CATEGORIES]]</f>
        <v>0.10699746212055217</v>
      </c>
      <c r="AN233" s="2">
        <f>All_India_Index_Upto_April23__1[[#This Row],[Recreation and amusement]]/All_India_Index_Upto_April23__1[[#This Row],[TOTAL BROADER CATEGORIES]]</f>
        <v>9.8216515381175554E-2</v>
      </c>
      <c r="AO233" s="2">
        <f>All_India_Index_Upto_April23__1[[#This Row],[Transport and communication]]/All_India_Index_Upto_April23__1[[#This Row],[TOTAL BROADER CATEGORIES]]</f>
        <v>9.0899059765028364E-2</v>
      </c>
      <c r="AP233" s="2">
        <f>All_India_Index_Upto_April23__1[[#This Row],[Health]]/All_India_Index_Upto_April23__1[[#This Row],[TOTAL BROADER CATEGORIES]]</f>
        <v>9.8704345755585371E-2</v>
      </c>
      <c r="AQ233" s="2">
        <f>All_India_Index_Upto_April23__1[[#This Row],[Fuel and light]]/All_India_Index_Upto_April23__1[[#This Row],[TOTAL BROADER CATEGORIES]]</f>
        <v>9.3338211637077423E-2</v>
      </c>
      <c r="AR233">
        <f>MONTH(1 &amp; All_India_Index_Upto_April23__1[[#This Row],[Month]])</f>
        <v>9</v>
      </c>
      <c r="AS233" s="19" t="str">
        <f>All_India_Index_Upto_April23__1[[#This Row],[MONTH IN NUM]]&amp;"/"&amp;All_India_Index_Upto_April23__1[[#This Row],[Year]]</f>
        <v>9/2016</v>
      </c>
      <c r="AT23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125.22857142857144</v>
      </c>
      <c r="AU23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1229.9357142857143</v>
      </c>
    </row>
    <row r="234" spans="1:47" x14ac:dyDescent="0.3">
      <c r="A234" t="s">
        <v>33</v>
      </c>
      <c r="B234">
        <v>2016</v>
      </c>
      <c r="C234" t="s">
        <v>41</v>
      </c>
      <c r="D234">
        <v>129.9</v>
      </c>
      <c r="E234">
        <v>138</v>
      </c>
      <c r="F234">
        <v>130.5</v>
      </c>
      <c r="G234">
        <v>134.4</v>
      </c>
      <c r="H234">
        <v>117.2</v>
      </c>
      <c r="I234">
        <v>136.1</v>
      </c>
      <c r="J234">
        <v>150.69999999999999</v>
      </c>
      <c r="K234">
        <v>171.5</v>
      </c>
      <c r="L234">
        <v>113.8</v>
      </c>
      <c r="M234">
        <v>138.80000000000001</v>
      </c>
      <c r="N234">
        <v>126</v>
      </c>
      <c r="O234">
        <v>140.19999999999999</v>
      </c>
      <c r="P234">
        <v>136.6</v>
      </c>
      <c r="Q234">
        <v>141</v>
      </c>
      <c r="R234">
        <v>134.6</v>
      </c>
      <c r="S234">
        <v>128.6</v>
      </c>
      <c r="T234">
        <v>133.80000000000001</v>
      </c>
      <c r="U234">
        <v>127.9</v>
      </c>
      <c r="V234">
        <v>124.1</v>
      </c>
      <c r="W234">
        <v>127.9</v>
      </c>
      <c r="X234">
        <v>125.4</v>
      </c>
      <c r="Y234">
        <v>114.3</v>
      </c>
      <c r="Z234">
        <v>122.9</v>
      </c>
      <c r="AA234">
        <v>131.80000000000001</v>
      </c>
      <c r="AB234">
        <v>122.1</v>
      </c>
      <c r="AC234">
        <v>122.8</v>
      </c>
      <c r="AD234">
        <v>130.9</v>
      </c>
      <c r="AE234">
        <v>136.04999999999998</v>
      </c>
      <c r="AF234">
        <v>132.33333333333334</v>
      </c>
      <c r="AG234">
        <v>127.9</v>
      </c>
      <c r="AH234" s="2">
        <f>All_India_Index_Upto_April23__1[[#This Row],[House]]/All_India_Index_Upto_April23__1[[#This Row],[TOTAL BROADER CATEGORIES]]</f>
        <v>0.10153345417499109</v>
      </c>
      <c r="AI234" s="2">
        <f>All_India_Index_Upto_April23__1[[#This Row],[Cloth]]/All_India_Index_Upto_April23__1[[#This Row],[TOTAL BROADER CATEGORIES]]</f>
        <v>0.10505285719956076</v>
      </c>
      <c r="AJ234" s="2">
        <f>All_India_Index_Upto_April23__1[[#This Row],[Food]]/All_India_Index_Upto_April23__1[[#This Row],[TOTAL BROADER CATEGORIES]]</f>
        <v>0.10800333417128644</v>
      </c>
      <c r="AK234" s="2">
        <f>All_India_Index_Upto_April23__1[[#This Row],[Miscellaneous]]/All_India_Index_Upto_April23__1[[#This Row],[TOTAL BROADER CATEGORIES]]</f>
        <v>9.7484817612892141E-2</v>
      </c>
      <c r="AL234" s="2">
        <f>All_India_Index_Upto_April23__1[[#This Row],[Personal care and effects]]/All_India_Index_Upto_April23__1[[#This Row],[TOTAL BROADER CATEGORIES]]</f>
        <v>9.6929122398486403E-2</v>
      </c>
      <c r="AM234" s="2">
        <f>All_India_Index_Upto_April23__1[[#This Row],[Education]]/All_India_Index_Upto_April23__1[[#This Row],[TOTAL BROADER CATEGORIES]]</f>
        <v>0.10462947036953735</v>
      </c>
      <c r="AN234" s="2">
        <f>All_India_Index_Upto_April23__1[[#This Row],[Recreation and amusement]]/All_India_Index_Upto_April23__1[[#This Row],[TOTAL BROADER CATEGORIES]]</f>
        <v>9.7564202643521544E-2</v>
      </c>
      <c r="AO234" s="2">
        <f>All_India_Index_Upto_April23__1[[#This Row],[Transport and communication]]/All_India_Index_Upto_April23__1[[#This Row],[TOTAL BROADER CATEGORIES]]</f>
        <v>9.0737090009393909E-2</v>
      </c>
      <c r="AP234" s="2">
        <f>All_India_Index_Upto_April23__1[[#This Row],[Health]]/All_India_Index_Upto_April23__1[[#This Row],[TOTAL BROADER CATEGORIES]]</f>
        <v>9.9548828409256315E-2</v>
      </c>
      <c r="AQ234" s="2">
        <f>All_India_Index_Upto_April23__1[[#This Row],[Fuel and light]]/All_India_Index_Upto_April23__1[[#This Row],[TOTAL BROADER CATEGORIES]]</f>
        <v>9.8516823011074214E-2</v>
      </c>
      <c r="AR234">
        <f>MONTH(1 &amp; All_India_Index_Upto_April23__1[[#This Row],[Month]])</f>
        <v>9</v>
      </c>
      <c r="AS234" s="19" t="str">
        <f>All_India_Index_Upto_April23__1[[#This Row],[MONTH IN NUM]]&amp;"/"&amp;All_India_Index_Upto_April23__1[[#This Row],[Year]]</f>
        <v>9/2016</v>
      </c>
      <c r="AT23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129.81428571428572</v>
      </c>
      <c r="AU23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1259.6833333333332</v>
      </c>
    </row>
    <row r="235" spans="1:47" x14ac:dyDescent="0.3">
      <c r="A235" t="s">
        <v>30</v>
      </c>
      <c r="B235">
        <v>2016</v>
      </c>
      <c r="C235" t="s">
        <v>41</v>
      </c>
      <c r="D235">
        <v>130.80000000000001</v>
      </c>
      <c r="E235">
        <v>138.19999999999999</v>
      </c>
      <c r="F235">
        <v>130.5</v>
      </c>
      <c r="G235">
        <v>135.5</v>
      </c>
      <c r="H235">
        <v>120.2</v>
      </c>
      <c r="I235">
        <v>139.19999999999999</v>
      </c>
      <c r="J235">
        <v>149.5</v>
      </c>
      <c r="K235">
        <v>170.4</v>
      </c>
      <c r="L235">
        <v>113.1</v>
      </c>
      <c r="M235">
        <v>135.80000000000001</v>
      </c>
      <c r="N235">
        <v>128.80000000000001</v>
      </c>
      <c r="O235">
        <v>141.5</v>
      </c>
      <c r="P235">
        <v>137.19999999999999</v>
      </c>
      <c r="Q235">
        <v>139.9</v>
      </c>
      <c r="R235">
        <v>138.5</v>
      </c>
      <c r="S235">
        <v>133.5</v>
      </c>
      <c r="T235">
        <v>137.80000000000001</v>
      </c>
      <c r="U235">
        <v>140.85</v>
      </c>
      <c r="V235">
        <v>129.69999999999999</v>
      </c>
      <c r="W235">
        <v>131.1</v>
      </c>
      <c r="X235">
        <v>127.8</v>
      </c>
      <c r="Y235">
        <v>117</v>
      </c>
      <c r="Z235">
        <v>125.7</v>
      </c>
      <c r="AA235">
        <v>132.19999999999999</v>
      </c>
      <c r="AB235">
        <v>122.8</v>
      </c>
      <c r="AC235">
        <v>124.9</v>
      </c>
      <c r="AD235">
        <v>133.4</v>
      </c>
      <c r="AE235">
        <v>136.47142857142859</v>
      </c>
      <c r="AF235">
        <v>136.6</v>
      </c>
      <c r="AG235">
        <v>135.97499999999999</v>
      </c>
      <c r="AH235" s="2">
        <f>All_India_Index_Upto_April23__1[[#This Row],[House]]/All_India_Index_Upto_April23__1[[#This Row],[TOTAL BROADER CATEGORIES]]</f>
        <v>0.10547676895841933</v>
      </c>
      <c r="AI235" s="2">
        <f>All_India_Index_Upto_April23__1[[#This Row],[Cloth]]/All_India_Index_Upto_April23__1[[#This Row],[TOTAL BROADER CATEGORIES]]</f>
        <v>0.1059615858776987</v>
      </c>
      <c r="AJ235" s="2">
        <f>All_India_Index_Upto_April23__1[[#This Row],[Food]]/All_India_Index_Upto_April23__1[[#This Row],[TOTAL BROADER CATEGORIES]]</f>
        <v>0.10586185211144697</v>
      </c>
      <c r="AK235" s="2">
        <f>All_India_Index_Upto_April23__1[[#This Row],[Miscellaneous]]/All_India_Index_Upto_April23__1[[#This Row],[TOTAL BROADER CATEGORIES]]</f>
        <v>9.6885813148788941E-2</v>
      </c>
      <c r="AL235" s="2">
        <f>All_India_Index_Upto_April23__1[[#This Row],[Personal care and effects]]/All_India_Index_Upto_April23__1[[#This Row],[TOTAL BROADER CATEGORIES]]</f>
        <v>9.5256828300010254E-2</v>
      </c>
      <c r="AM235" s="2">
        <f>All_India_Index_Upto_April23__1[[#This Row],[Education]]/All_India_Index_Upto_April23__1[[#This Row],[TOTAL BROADER CATEGORIES]]</f>
        <v>0.10254847476597194</v>
      </c>
      <c r="AN235" s="2">
        <f>All_India_Index_Upto_April23__1[[#This Row],[Recreation and amusement]]/All_India_Index_Upto_April23__1[[#This Row],[TOTAL BROADER CATEGORIES]]</f>
        <v>9.7506378805466531E-2</v>
      </c>
      <c r="AO235" s="2">
        <f>All_India_Index_Upto_April23__1[[#This Row],[Transport and communication]]/All_India_Index_Upto_April23__1[[#This Row],[TOTAL BROADER CATEGORIES]]</f>
        <v>9.0757727289097714E-2</v>
      </c>
      <c r="AP235" s="2">
        <f>All_India_Index_Upto_April23__1[[#This Row],[Health]]/All_India_Index_Upto_April23__1[[#This Row],[TOTAL BROADER CATEGORIES]]</f>
        <v>9.9135363654245204E-2</v>
      </c>
      <c r="AQ235" s="2">
        <f>All_India_Index_Upto_April23__1[[#This Row],[Fuel and light]]/All_India_Index_Upto_April23__1[[#This Row],[TOTAL BROADER CATEGORIES]]</f>
        <v>0.10060920708885447</v>
      </c>
      <c r="AR235">
        <f>MONTH(1 &amp; All_India_Index_Upto_April23__1[[#This Row],[Month]])</f>
        <v>9</v>
      </c>
      <c r="AS235" s="19" t="str">
        <f>All_India_Index_Upto_April23__1[[#This Row],[MONTH IN NUM]]&amp;"/"&amp;All_India_Index_Upto_April23__1[[#This Row],[Year]]</f>
        <v>9/2016</v>
      </c>
      <c r="AT23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134.80714285714285</v>
      </c>
      <c r="AU23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1289.1464285714285</v>
      </c>
    </row>
    <row r="236" spans="1:47" x14ac:dyDescent="0.3">
      <c r="A236" t="s">
        <v>30</v>
      </c>
      <c r="B236">
        <v>2016</v>
      </c>
      <c r="C236" t="s">
        <v>40</v>
      </c>
      <c r="D236">
        <v>130.1</v>
      </c>
      <c r="E236">
        <v>138.80000000000001</v>
      </c>
      <c r="F236">
        <v>130.30000000000001</v>
      </c>
      <c r="G236">
        <v>135.30000000000001</v>
      </c>
      <c r="H236">
        <v>119.9</v>
      </c>
      <c r="I236">
        <v>140.19999999999999</v>
      </c>
      <c r="J236">
        <v>156.9</v>
      </c>
      <c r="K236">
        <v>172.2</v>
      </c>
      <c r="L236">
        <v>112.1</v>
      </c>
      <c r="M236">
        <v>134.9</v>
      </c>
      <c r="N236">
        <v>128.1</v>
      </c>
      <c r="O236">
        <v>140.69999999999999</v>
      </c>
      <c r="P236">
        <v>138</v>
      </c>
      <c r="Q236">
        <v>138.9</v>
      </c>
      <c r="R236">
        <v>137.80000000000001</v>
      </c>
      <c r="S236">
        <v>133</v>
      </c>
      <c r="T236">
        <v>137.1</v>
      </c>
      <c r="U236">
        <v>140.85</v>
      </c>
      <c r="V236">
        <v>129.1</v>
      </c>
      <c r="W236">
        <v>130.6</v>
      </c>
      <c r="X236">
        <v>127</v>
      </c>
      <c r="Y236">
        <v>116</v>
      </c>
      <c r="Z236">
        <v>125.5</v>
      </c>
      <c r="AA236">
        <v>131.9</v>
      </c>
      <c r="AB236">
        <v>122</v>
      </c>
      <c r="AC236">
        <v>124.2</v>
      </c>
      <c r="AD236">
        <v>133.5</v>
      </c>
      <c r="AE236">
        <v>136.88571428571427</v>
      </c>
      <c r="AF236">
        <v>135.96666666666667</v>
      </c>
      <c r="AG236">
        <v>135.72499999999999</v>
      </c>
      <c r="AH236" s="2">
        <f>All_India_Index_Upto_April23__1[[#This Row],[House]]/All_India_Index_Upto_April23__1[[#This Row],[TOTAL BROADER CATEGORIES]]</f>
        <v>0.10568199830736758</v>
      </c>
      <c r="AI236" s="2">
        <f>All_India_Index_Upto_April23__1[[#This Row],[Cloth]]/All_India_Index_Upto_April23__1[[#This Row],[TOTAL BROADER CATEGORIES]]</f>
        <v>0.10587017157137653</v>
      </c>
      <c r="AJ236" s="2">
        <f>All_India_Index_Upto_April23__1[[#This Row],[Food]]/All_India_Index_Upto_April23__1[[#This Row],[TOTAL BROADER CATEGORIES]]</f>
        <v>0.10658578615174551</v>
      </c>
      <c r="AK236" s="2">
        <f>All_India_Index_Upto_April23__1[[#This Row],[Miscellaneous]]/All_India_Index_Upto_April23__1[[#This Row],[TOTAL BROADER CATEGORIES]]</f>
        <v>9.6708080234113494E-2</v>
      </c>
      <c r="AL236" s="2">
        <f>All_India_Index_Upto_April23__1[[#This Row],[Personal care and effects]]/All_India_Index_Upto_April23__1[[#This Row],[TOTAL BROADER CATEGORIES]]</f>
        <v>9.4995054658307931E-2</v>
      </c>
      <c r="AM236" s="2">
        <f>All_India_Index_Upto_April23__1[[#This Row],[Education]]/All_India_Index_Upto_April23__1[[#This Row],[TOTAL BROADER CATEGORIES]]</f>
        <v>0.10270366974943293</v>
      </c>
      <c r="AN236" s="2">
        <f>All_India_Index_Upto_April23__1[[#This Row],[Recreation and amusement]]/All_India_Index_Upto_April23__1[[#This Row],[TOTAL BROADER CATEGORIES]]</f>
        <v>9.7720322619816766E-2</v>
      </c>
      <c r="AO236" s="2">
        <f>All_India_Index_Upto_April23__1[[#This Row],[Transport and communication]]/All_India_Index_Upto_April23__1[[#This Row],[TOTAL BROADER CATEGORIES]]</f>
        <v>9.0323166724292789E-2</v>
      </c>
      <c r="AP236" s="2">
        <f>All_India_Index_Upto_April23__1[[#This Row],[Health]]/All_India_Index_Upto_April23__1[[#This Row],[TOTAL BROADER CATEGORIES]]</f>
        <v>9.8888294603320562E-2</v>
      </c>
      <c r="AQ236" s="2">
        <f>All_India_Index_Upto_April23__1[[#This Row],[Fuel and light]]/All_India_Index_Upto_April23__1[[#This Row],[TOTAL BROADER CATEGORIES]]</f>
        <v>0.10052345538022585</v>
      </c>
      <c r="AR236">
        <f>MONTH(1 &amp; All_India_Index_Upto_April23__1[[#This Row],[Month]])</f>
        <v>8</v>
      </c>
      <c r="AS236" s="19" t="str">
        <f>All_India_Index_Upto_April23__1[[#This Row],[MONTH IN NUM]]&amp;"/"&amp;All_India_Index_Upto_April23__1[[#This Row],[Year]]</f>
        <v>8/2016</v>
      </c>
      <c r="AT23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134.33571428571432</v>
      </c>
      <c r="AU23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1284.277380952381</v>
      </c>
    </row>
    <row r="237" spans="1:47" x14ac:dyDescent="0.3">
      <c r="A237" t="s">
        <v>32</v>
      </c>
      <c r="B237">
        <v>2016</v>
      </c>
      <c r="C237" t="s">
        <v>40</v>
      </c>
      <c r="D237">
        <v>127.6</v>
      </c>
      <c r="E237">
        <v>140.30000000000001</v>
      </c>
      <c r="F237">
        <v>133.69999999999999</v>
      </c>
      <c r="G237">
        <v>132.19999999999999</v>
      </c>
      <c r="H237">
        <v>111.8</v>
      </c>
      <c r="I237">
        <v>135.80000000000001</v>
      </c>
      <c r="J237">
        <v>163.5</v>
      </c>
      <c r="K237">
        <v>182.3</v>
      </c>
      <c r="L237">
        <v>114.6</v>
      </c>
      <c r="M237">
        <v>144.6</v>
      </c>
      <c r="N237">
        <v>121.9</v>
      </c>
      <c r="O237">
        <v>138.1</v>
      </c>
      <c r="P237">
        <v>137.6</v>
      </c>
      <c r="Q237">
        <v>143.6</v>
      </c>
      <c r="R237">
        <v>128.30000000000001</v>
      </c>
      <c r="S237">
        <v>121.4</v>
      </c>
      <c r="T237">
        <v>127.3</v>
      </c>
      <c r="U237">
        <v>127.3</v>
      </c>
      <c r="V237">
        <v>114.7</v>
      </c>
      <c r="W237">
        <v>123.9</v>
      </c>
      <c r="X237">
        <v>121.2</v>
      </c>
      <c r="Y237">
        <v>110.4</v>
      </c>
      <c r="Z237">
        <v>120.6</v>
      </c>
      <c r="AA237">
        <v>131.5</v>
      </c>
      <c r="AB237">
        <v>120.9</v>
      </c>
      <c r="AC237">
        <v>119.9</v>
      </c>
      <c r="AD237">
        <v>128.4</v>
      </c>
      <c r="AE237">
        <v>137.68571428571425</v>
      </c>
      <c r="AF237">
        <v>125.66666666666667</v>
      </c>
      <c r="AG237">
        <v>125.6</v>
      </c>
      <c r="AH237" s="2">
        <f>All_India_Index_Upto_April23__1[[#This Row],[House]]/All_India_Index_Upto_April23__1[[#This Row],[TOTAL BROADER CATEGORIES]]</f>
        <v>0.10226744005707372</v>
      </c>
      <c r="AI237" s="2">
        <f>All_India_Index_Upto_April23__1[[#This Row],[Cloth]]/All_India_Index_Upto_April23__1[[#This Row],[TOTAL BROADER CATEGORIES]]</f>
        <v>0.10232172213778343</v>
      </c>
      <c r="AJ237" s="2">
        <f>All_India_Index_Upto_April23__1[[#This Row],[Food]]/All_India_Index_Upto_April23__1[[#This Row],[TOTAL BROADER CATEGORIES]]</f>
        <v>0.11210800583144635</v>
      </c>
      <c r="AK237" s="2">
        <f>All_India_Index_Upto_April23__1[[#This Row],[Miscellaneous]]/All_India_Index_Upto_April23__1[[#This Row],[TOTAL BROADER CATEGORIES]]</f>
        <v>9.7626322156394427E-2</v>
      </c>
      <c r="AL237" s="2">
        <f>All_India_Index_Upto_April23__1[[#This Row],[Personal care and effects]]/All_India_Index_Upto_April23__1[[#This Row],[TOTAL BROADER CATEGORIES]]</f>
        <v>9.8440553367039926E-2</v>
      </c>
      <c r="AM237" s="2">
        <f>All_India_Index_Upto_April23__1[[#This Row],[Education]]/All_India_Index_Upto_April23__1[[#This Row],[TOTAL BROADER CATEGORIES]]</f>
        <v>0.10707140419988212</v>
      </c>
      <c r="AN237" s="2">
        <f>All_India_Index_Upto_April23__1[[#This Row],[Recreation and amusement]]/All_India_Index_Upto_April23__1[[#This Row],[TOTAL BROADER CATEGORIES]]</f>
        <v>9.8196284003846265E-2</v>
      </c>
      <c r="AO237" s="2">
        <f>All_India_Index_Upto_April23__1[[#This Row],[Transport and communication]]/All_India_Index_Upto_April23__1[[#This Row],[TOTAL BROADER CATEGORIES]]</f>
        <v>8.9891125655262263E-2</v>
      </c>
      <c r="AP237" s="2">
        <f>All_India_Index_Upto_April23__1[[#This Row],[Health]]/All_India_Index_Upto_April23__1[[#This Row],[TOTAL BROADER CATEGORIES]]</f>
        <v>9.868482273023356E-2</v>
      </c>
      <c r="AQ237" s="2">
        <f>All_India_Index_Upto_April23__1[[#This Row],[Fuel and light]]/All_India_Index_Upto_April23__1[[#This Row],[TOTAL BROADER CATEGORIES]]</f>
        <v>9.3392319861037867E-2</v>
      </c>
      <c r="AR237">
        <f>MONTH(1 &amp; All_India_Index_Upto_April23__1[[#This Row],[Month]])</f>
        <v>8</v>
      </c>
      <c r="AS237" s="19" t="str">
        <f>All_India_Index_Upto_April23__1[[#This Row],[MONTH IN NUM]]&amp;"/"&amp;All_India_Index_Upto_April23__1[[#This Row],[Year]]</f>
        <v>8/2016</v>
      </c>
      <c r="AT23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124.91428571428573</v>
      </c>
      <c r="AU23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1228.152380952381</v>
      </c>
    </row>
    <row r="238" spans="1:47" x14ac:dyDescent="0.3">
      <c r="A238" t="s">
        <v>33</v>
      </c>
      <c r="B238">
        <v>2016</v>
      </c>
      <c r="C238" t="s">
        <v>40</v>
      </c>
      <c r="D238">
        <v>129.30000000000001</v>
      </c>
      <c r="E238">
        <v>139.30000000000001</v>
      </c>
      <c r="F238">
        <v>131.6</v>
      </c>
      <c r="G238">
        <v>134.1</v>
      </c>
      <c r="H238">
        <v>116.9</v>
      </c>
      <c r="I238">
        <v>138.1</v>
      </c>
      <c r="J238">
        <v>159.1</v>
      </c>
      <c r="K238">
        <v>175.6</v>
      </c>
      <c r="L238">
        <v>112.9</v>
      </c>
      <c r="M238">
        <v>138.1</v>
      </c>
      <c r="N238">
        <v>125.5</v>
      </c>
      <c r="O238">
        <v>139.5</v>
      </c>
      <c r="P238">
        <v>137.9</v>
      </c>
      <c r="Q238">
        <v>140.19999999999999</v>
      </c>
      <c r="R238">
        <v>134.1</v>
      </c>
      <c r="S238">
        <v>128.19999999999999</v>
      </c>
      <c r="T238">
        <v>133.19999999999999</v>
      </c>
      <c r="U238">
        <v>127.3</v>
      </c>
      <c r="V238">
        <v>123.6</v>
      </c>
      <c r="W238">
        <v>127.4</v>
      </c>
      <c r="X238">
        <v>124.8</v>
      </c>
      <c r="Y238">
        <v>113.1</v>
      </c>
      <c r="Z238">
        <v>122.7</v>
      </c>
      <c r="AA238">
        <v>131.69999999999999</v>
      </c>
      <c r="AB238">
        <v>121.5</v>
      </c>
      <c r="AC238">
        <v>122.1</v>
      </c>
      <c r="AD238">
        <v>131.1</v>
      </c>
      <c r="AE238">
        <v>137.00714285714287</v>
      </c>
      <c r="AF238">
        <v>131.83333333333331</v>
      </c>
      <c r="AG238">
        <v>127.35</v>
      </c>
      <c r="AH238" s="2">
        <f>All_India_Index_Upto_April23__1[[#This Row],[House]]/All_India_Index_Upto_April23__1[[#This Row],[TOTAL BROADER CATEGORIES]]</f>
        <v>0.10141830523900719</v>
      </c>
      <c r="AI238" s="2">
        <f>All_India_Index_Upto_April23__1[[#This Row],[Cloth]]/All_India_Index_Upto_April23__1[[#This Row],[TOTAL BROADER CATEGORIES]]</f>
        <v>0.10498871802650789</v>
      </c>
      <c r="AJ238" s="2">
        <f>All_India_Index_Upto_April23__1[[#This Row],[Food]]/All_India_Index_Upto_April23__1[[#This Row],[TOTAL BROADER CATEGORIES]]</f>
        <v>0.10910900851362371</v>
      </c>
      <c r="AK238" s="2">
        <f>All_India_Index_Upto_April23__1[[#This Row],[Miscellaneous]]/All_India_Index_Upto_April23__1[[#This Row],[TOTAL BROADER CATEGORIES]]</f>
        <v>9.7237338591933856E-2</v>
      </c>
      <c r="AL238" s="2">
        <f>All_India_Index_Upto_April23__1[[#This Row],[Personal care and effects]]/All_India_Index_Upto_April23__1[[#This Row],[TOTAL BROADER CATEGORIES]]</f>
        <v>9.6759513832268343E-2</v>
      </c>
      <c r="AM238" s="2">
        <f>All_India_Index_Upto_April23__1[[#This Row],[Education]]/All_India_Index_Upto_April23__1[[#This Row],[TOTAL BROADER CATEGORIES]]</f>
        <v>0.10488253474658223</v>
      </c>
      <c r="AN238" s="2">
        <f>All_India_Index_Upto_April23__1[[#This Row],[Recreation and amusement]]/All_India_Index_Upto_April23__1[[#This Row],[TOTAL BROADER CATEGORIES]]</f>
        <v>9.7715163351599396E-2</v>
      </c>
      <c r="AO238" s="2">
        <f>All_India_Index_Upto_April23__1[[#This Row],[Transport and communication]]/All_India_Index_Upto_April23__1[[#This Row],[TOTAL BROADER CATEGORIES]]</f>
        <v>9.0069967196951026E-2</v>
      </c>
      <c r="AP238" s="2">
        <f>All_India_Index_Upto_April23__1[[#This Row],[Health]]/All_India_Index_Upto_April23__1[[#This Row],[TOTAL BROADER CATEGORIES]]</f>
        <v>9.9387550010428719E-2</v>
      </c>
      <c r="AQ238" s="2">
        <f>All_India_Index_Upto_April23__1[[#This Row],[Fuel and light]]/All_India_Index_Upto_April23__1[[#This Row],[TOTAL BROADER CATEGORIES]]</f>
        <v>9.8431900491097665E-2</v>
      </c>
      <c r="AR238">
        <f>MONTH(1 &amp; All_India_Index_Upto_April23__1[[#This Row],[Month]])</f>
        <v>8</v>
      </c>
      <c r="AS238" s="19" t="str">
        <f>All_India_Index_Upto_April23__1[[#This Row],[MONTH IN NUM]]&amp;"/"&amp;All_India_Index_Upto_April23__1[[#This Row],[Year]]</f>
        <v>8/2016</v>
      </c>
      <c r="AT23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129.35714285714286</v>
      </c>
      <c r="AU23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1255.6904761904761</v>
      </c>
    </row>
    <row r="239" spans="1:47" x14ac:dyDescent="0.3">
      <c r="A239" t="s">
        <v>33</v>
      </c>
      <c r="B239">
        <v>2016</v>
      </c>
      <c r="C239" t="s">
        <v>39</v>
      </c>
      <c r="D239">
        <v>128.5</v>
      </c>
      <c r="E239">
        <v>141.19999999999999</v>
      </c>
      <c r="F239">
        <v>132.30000000000001</v>
      </c>
      <c r="G239">
        <v>133.5</v>
      </c>
      <c r="H239">
        <v>116.4</v>
      </c>
      <c r="I239">
        <v>137.80000000000001</v>
      </c>
      <c r="J239">
        <v>165.4</v>
      </c>
      <c r="K239">
        <v>177.4</v>
      </c>
      <c r="L239">
        <v>111.3</v>
      </c>
      <c r="M239">
        <v>137.5</v>
      </c>
      <c r="N239">
        <v>125</v>
      </c>
      <c r="O239">
        <v>138.80000000000001</v>
      </c>
      <c r="P239">
        <v>138.4</v>
      </c>
      <c r="Q239">
        <v>139.30000000000001</v>
      </c>
      <c r="R239">
        <v>133.5</v>
      </c>
      <c r="S239">
        <v>127.6</v>
      </c>
      <c r="T239">
        <v>132.69999999999999</v>
      </c>
      <c r="U239">
        <v>126.4</v>
      </c>
      <c r="V239">
        <v>123.4</v>
      </c>
      <c r="W239">
        <v>126.9</v>
      </c>
      <c r="X239">
        <v>124.5</v>
      </c>
      <c r="Y239">
        <v>113.9</v>
      </c>
      <c r="Z239">
        <v>122.4</v>
      </c>
      <c r="AA239">
        <v>130.80000000000001</v>
      </c>
      <c r="AB239">
        <v>120.5</v>
      </c>
      <c r="AC239">
        <v>121.9</v>
      </c>
      <c r="AD239">
        <v>131.1</v>
      </c>
      <c r="AE239">
        <v>137.34285714285713</v>
      </c>
      <c r="AF239">
        <v>131.26666666666668</v>
      </c>
      <c r="AG239">
        <v>126.65</v>
      </c>
      <c r="AH239" s="2">
        <f>All_India_Index_Upto_April23__1[[#This Row],[House]]/All_India_Index_Upto_April23__1[[#This Row],[TOTAL BROADER CATEGORIES]]</f>
        <v>0.10110488731593924</v>
      </c>
      <c r="AI239" s="2">
        <f>All_India_Index_Upto_April23__1[[#This Row],[Cloth]]/All_India_Index_Upto_April23__1[[#This Row],[TOTAL BROADER CATEGORIES]]</f>
        <v>0.10479037932627154</v>
      </c>
      <c r="AJ239" s="2">
        <f>All_India_Index_Upto_April23__1[[#This Row],[Food]]/All_India_Index_Upto_April23__1[[#This Row],[TOTAL BROADER CATEGORIES]]</f>
        <v>0.10964101141000955</v>
      </c>
      <c r="AK239" s="2">
        <f>All_India_Index_Upto_April23__1[[#This Row],[Miscellaneous]]/All_India_Index_Upto_April23__1[[#This Row],[TOTAL BROADER CATEGORIES]]</f>
        <v>9.7312955103142459E-2</v>
      </c>
      <c r="AL239" s="2">
        <f>All_India_Index_Upto_April23__1[[#This Row],[Personal care and effects]]/All_India_Index_Upto_April23__1[[#This Row],[TOTAL BROADER CATEGORIES]]</f>
        <v>9.6195332977265513E-2</v>
      </c>
      <c r="AM239" s="2">
        <f>All_India_Index_Upto_April23__1[[#This Row],[Education]]/All_India_Index_Upto_April23__1[[#This Row],[TOTAL BROADER CATEGORIES]]</f>
        <v>0.10441783861764589</v>
      </c>
      <c r="AN239" s="2">
        <f>All_India_Index_Upto_April23__1[[#This Row],[Recreation and amusement]]/All_India_Index_Upto_April23__1[[#This Row],[TOTAL BROADER CATEGORIES]]</f>
        <v>9.7712105862384227E-2</v>
      </c>
      <c r="AO239" s="2">
        <f>All_India_Index_Upto_April23__1[[#This Row],[Transport and communication]]/All_India_Index_Upto_April23__1[[#This Row],[TOTAL BROADER CATEGORIES]]</f>
        <v>9.092654295527422E-2</v>
      </c>
      <c r="AP239" s="2">
        <f>All_India_Index_Upto_April23__1[[#This Row],[Health]]/All_India_Index_Upto_April23__1[[#This Row],[TOTAL BROADER CATEGORIES]]</f>
        <v>9.938853905119964E-2</v>
      </c>
      <c r="AQ239" s="2">
        <f>All_India_Index_Upto_April23__1[[#This Row],[Fuel and light]]/All_India_Index_Upto_April23__1[[#This Row],[TOTAL BROADER CATEGORIES]]</f>
        <v>9.8510407380867762E-2</v>
      </c>
      <c r="AR239">
        <f>MONTH(1 &amp; All_India_Index_Upto_April23__1[[#This Row],[Month]])</f>
        <v>7</v>
      </c>
      <c r="AS239" s="19" t="str">
        <f>All_India_Index_Upto_April23__1[[#This Row],[MONTH IN NUM]]&amp;"/"&amp;All_India_Index_Upto_April23__1[[#This Row],[Year]]</f>
        <v>7/2016</v>
      </c>
      <c r="AT23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128.75714285714287</v>
      </c>
      <c r="AU23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1252.6595238095238</v>
      </c>
    </row>
    <row r="240" spans="1:47" x14ac:dyDescent="0.3">
      <c r="A240" t="s">
        <v>30</v>
      </c>
      <c r="B240">
        <v>2016</v>
      </c>
      <c r="C240" t="s">
        <v>39</v>
      </c>
      <c r="D240">
        <v>129.30000000000001</v>
      </c>
      <c r="E240">
        <v>139.5</v>
      </c>
      <c r="F240">
        <v>129.6</v>
      </c>
      <c r="G240">
        <v>134.5</v>
      </c>
      <c r="H240">
        <v>119.5</v>
      </c>
      <c r="I240">
        <v>138.5</v>
      </c>
      <c r="J240">
        <v>158.19999999999999</v>
      </c>
      <c r="K240">
        <v>171.8</v>
      </c>
      <c r="L240">
        <v>110.3</v>
      </c>
      <c r="M240">
        <v>134.30000000000001</v>
      </c>
      <c r="N240">
        <v>127.3</v>
      </c>
      <c r="O240">
        <v>139.9</v>
      </c>
      <c r="P240">
        <v>137.6</v>
      </c>
      <c r="Q240">
        <v>138</v>
      </c>
      <c r="R240">
        <v>137.19999999999999</v>
      </c>
      <c r="S240">
        <v>132.19999999999999</v>
      </c>
      <c r="T240">
        <v>136.5</v>
      </c>
      <c r="U240">
        <v>140.85</v>
      </c>
      <c r="V240">
        <v>128.19999999999999</v>
      </c>
      <c r="W240">
        <v>130</v>
      </c>
      <c r="X240">
        <v>126.7</v>
      </c>
      <c r="Y240">
        <v>116.4</v>
      </c>
      <c r="Z240">
        <v>125.2</v>
      </c>
      <c r="AA240">
        <v>130.80000000000001</v>
      </c>
      <c r="AB240">
        <v>120.9</v>
      </c>
      <c r="AC240">
        <v>123.8</v>
      </c>
      <c r="AD240">
        <v>133</v>
      </c>
      <c r="AE240">
        <v>136.30714285714285</v>
      </c>
      <c r="AF240">
        <v>135.29999999999998</v>
      </c>
      <c r="AG240">
        <v>135.42500000000001</v>
      </c>
      <c r="AH240" s="2">
        <f>All_India_Index_Upto_April23__1[[#This Row],[House]]/All_India_Index_Upto_April23__1[[#This Row],[TOTAL BROADER CATEGORIES]]</f>
        <v>0.10588084181956781</v>
      </c>
      <c r="AI240" s="2">
        <f>All_India_Index_Upto_April23__1[[#This Row],[Cloth]]/All_India_Index_Upto_April23__1[[#This Row],[TOTAL BROADER CATEGORIES]]</f>
        <v>0.10578311167205109</v>
      </c>
      <c r="AJ240" s="2">
        <f>All_India_Index_Upto_April23__1[[#This Row],[Food]]/All_India_Index_Upto_April23__1[[#This Row],[TOTAL BROADER CATEGORIES]]</f>
        <v>0.10657053743204262</v>
      </c>
      <c r="AK240" s="2">
        <f>All_India_Index_Upto_April23__1[[#This Row],[Miscellaneous]]/All_India_Index_Upto_April23__1[[#This Row],[TOTAL BROADER CATEGORIES]]</f>
        <v>9.6791938100516839E-2</v>
      </c>
      <c r="AL240" s="2">
        <f>All_India_Index_Upto_April23__1[[#This Row],[Personal care and effects]]/All_India_Index_Upto_April23__1[[#This Row],[TOTAL BROADER CATEGORIES]]</f>
        <v>9.4524598678129942E-2</v>
      </c>
      <c r="AM240" s="2">
        <f>All_India_Index_Upto_April23__1[[#This Row],[Education]]/All_India_Index_Upto_April23__1[[#This Row],[TOTAL BROADER CATEGORIES]]</f>
        <v>0.10226482636145075</v>
      </c>
      <c r="AN240" s="2">
        <f>All_India_Index_Upto_April23__1[[#This Row],[Recreation and amusement]]/All_India_Index_Upto_April23__1[[#This Row],[TOTAL BROADER CATEGORIES]]</f>
        <v>9.7886515752703615E-2</v>
      </c>
      <c r="AO240" s="2">
        <f>All_India_Index_Upto_April23__1[[#This Row],[Transport and communication]]/All_India_Index_Upto_April23__1[[#This Row],[TOTAL BROADER CATEGORIES]]</f>
        <v>9.1006313367529568E-2</v>
      </c>
      <c r="AP240" s="2">
        <f>All_India_Index_Upto_April23__1[[#This Row],[Health]]/All_India_Index_Upto_April23__1[[#This Row],[TOTAL BROADER CATEGORIES]]</f>
        <v>9.9059277522903749E-2</v>
      </c>
      <c r="AQ240" s="2">
        <f>All_India_Index_Upto_April23__1[[#This Row],[Fuel and light]]/All_India_Index_Upto_April23__1[[#This Row],[TOTAL BROADER CATEGORIES]]</f>
        <v>0.10023203929310386</v>
      </c>
      <c r="AR240">
        <f>MONTH(1 &amp; All_India_Index_Upto_April23__1[[#This Row],[Month]])</f>
        <v>7</v>
      </c>
      <c r="AS240" s="19" t="str">
        <f>All_India_Index_Upto_April23__1[[#This Row],[MONTH IN NUM]]&amp;"/"&amp;All_India_Index_Upto_April23__1[[#This Row],[Year]]</f>
        <v>7/2016</v>
      </c>
      <c r="AT24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133.67857142857142</v>
      </c>
      <c r="AU24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1279.0321428571431</v>
      </c>
    </row>
    <row r="241" spans="1:47" x14ac:dyDescent="0.3">
      <c r="A241" t="s">
        <v>32</v>
      </c>
      <c r="B241">
        <v>2016</v>
      </c>
      <c r="C241" t="s">
        <v>39</v>
      </c>
      <c r="D241">
        <v>126.8</v>
      </c>
      <c r="E241">
        <v>144.19999999999999</v>
      </c>
      <c r="F241">
        <v>136.6</v>
      </c>
      <c r="G241">
        <v>131.80000000000001</v>
      </c>
      <c r="H241">
        <v>111</v>
      </c>
      <c r="I241">
        <v>137</v>
      </c>
      <c r="J241">
        <v>179.5</v>
      </c>
      <c r="K241">
        <v>188.4</v>
      </c>
      <c r="L241">
        <v>113.3</v>
      </c>
      <c r="M241">
        <v>143.9</v>
      </c>
      <c r="N241">
        <v>121.7</v>
      </c>
      <c r="O241">
        <v>137.5</v>
      </c>
      <c r="P241">
        <v>139.80000000000001</v>
      </c>
      <c r="Q241">
        <v>142.9</v>
      </c>
      <c r="R241">
        <v>127.9</v>
      </c>
      <c r="S241">
        <v>121.1</v>
      </c>
      <c r="T241">
        <v>126.9</v>
      </c>
      <c r="U241">
        <v>126.4</v>
      </c>
      <c r="V241">
        <v>115.5</v>
      </c>
      <c r="W241">
        <v>123.5</v>
      </c>
      <c r="X241">
        <v>120.9</v>
      </c>
      <c r="Y241">
        <v>111.7</v>
      </c>
      <c r="Z241">
        <v>120.3</v>
      </c>
      <c r="AA241">
        <v>130.80000000000001</v>
      </c>
      <c r="AB241">
        <v>120</v>
      </c>
      <c r="AC241">
        <v>119.9</v>
      </c>
      <c r="AD241">
        <v>129</v>
      </c>
      <c r="AE241">
        <v>139.60000000000002</v>
      </c>
      <c r="AF241">
        <v>125.3</v>
      </c>
      <c r="AG241">
        <v>124.95</v>
      </c>
      <c r="AH241" s="2">
        <f>All_India_Index_Upto_April23__1[[#This Row],[House]]/All_India_Index_Upto_April23__1[[#This Row],[TOTAL BROADER CATEGORIES]]</f>
        <v>0.10167215916025876</v>
      </c>
      <c r="AI241" s="2">
        <f>All_India_Index_Upto_April23__1[[#This Row],[Cloth]]/All_India_Index_Upto_April23__1[[#This Row],[TOTAL BROADER CATEGORIES]]</f>
        <v>0.10195695512429309</v>
      </c>
      <c r="AJ241" s="2">
        <f>All_India_Index_Upto_April23__1[[#This Row],[Food]]/All_India_Index_Upto_April23__1[[#This Row],[TOTAL BROADER CATEGORIES]]</f>
        <v>0.11359290451198178</v>
      </c>
      <c r="AK241" s="2">
        <f>All_India_Index_Upto_April23__1[[#This Row],[Miscellaneous]]/All_India_Index_Upto_April23__1[[#This Row],[TOTAL BROADER CATEGORIES]]</f>
        <v>9.7562960250620445E-2</v>
      </c>
      <c r="AL241" s="2">
        <f>All_India_Index_Upto_April23__1[[#This Row],[Personal care and effects]]/All_India_Index_Upto_April23__1[[#This Row],[TOTAL BROADER CATEGORIES]]</f>
        <v>9.7644330526058823E-2</v>
      </c>
      <c r="AM241" s="2">
        <f>All_India_Index_Upto_April23__1[[#This Row],[Education]]/All_India_Index_Upto_April23__1[[#This Row],[TOTAL BROADER CATEGORIES]]</f>
        <v>0.10643232027340413</v>
      </c>
      <c r="AN241" s="2">
        <f>All_India_Index_Upto_April23__1[[#This Row],[Recreation and amusement]]/All_India_Index_Upto_April23__1[[#This Row],[TOTAL BROADER CATEGORIES]]</f>
        <v>9.788844135237397E-2</v>
      </c>
      <c r="AO241" s="2">
        <f>All_India_Index_Upto_April23__1[[#This Row],[Transport and communication]]/All_India_Index_Upto_April23__1[[#This Row],[TOTAL BROADER CATEGORIES]]</f>
        <v>9.0890597664673098E-2</v>
      </c>
      <c r="AP241" s="2">
        <f>All_India_Index_Upto_April23__1[[#This Row],[Health]]/All_India_Index_Upto_April23__1[[#This Row],[TOTAL BROADER CATEGORIES]]</f>
        <v>9.8376663005004278E-2</v>
      </c>
      <c r="AQ241" s="2">
        <f>All_India_Index_Upto_April23__1[[#This Row],[Fuel and light]]/All_India_Index_Upto_April23__1[[#This Row],[TOTAL BROADER CATEGORIES]]</f>
        <v>9.3982668131331618E-2</v>
      </c>
      <c r="AR241">
        <f>MONTH(1 &amp; All_India_Index_Upto_April23__1[[#This Row],[Month]])</f>
        <v>7</v>
      </c>
      <c r="AS241" s="19" t="str">
        <f>All_India_Index_Upto_April23__1[[#This Row],[MONTH IN NUM]]&amp;"/"&amp;All_India_Index_Upto_April23__1[[#This Row],[Year]]</f>
        <v>7/2016</v>
      </c>
      <c r="AT24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124.58571428571429</v>
      </c>
      <c r="AU24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1228.95</v>
      </c>
    </row>
    <row r="242" spans="1:47" x14ac:dyDescent="0.3">
      <c r="A242" t="s">
        <v>32</v>
      </c>
      <c r="B242">
        <v>2016</v>
      </c>
      <c r="C242" t="s">
        <v>38</v>
      </c>
      <c r="D242">
        <v>125.9</v>
      </c>
      <c r="E242">
        <v>143.9</v>
      </c>
      <c r="F242">
        <v>130.9</v>
      </c>
      <c r="G242">
        <v>131</v>
      </c>
      <c r="H242">
        <v>110.2</v>
      </c>
      <c r="I242">
        <v>135.5</v>
      </c>
      <c r="J242">
        <v>173.7</v>
      </c>
      <c r="K242">
        <v>184.4</v>
      </c>
      <c r="L242">
        <v>112</v>
      </c>
      <c r="M242">
        <v>142.80000000000001</v>
      </c>
      <c r="N242">
        <v>121.6</v>
      </c>
      <c r="O242">
        <v>136.9</v>
      </c>
      <c r="P242">
        <v>138.19999999999999</v>
      </c>
      <c r="Q242">
        <v>142.69999999999999</v>
      </c>
      <c r="R242">
        <v>127.6</v>
      </c>
      <c r="S242">
        <v>121.1</v>
      </c>
      <c r="T242">
        <v>126.6</v>
      </c>
      <c r="U242">
        <v>125.5</v>
      </c>
      <c r="V242">
        <v>115.5</v>
      </c>
      <c r="W242">
        <v>123.2</v>
      </c>
      <c r="X242">
        <v>120.6</v>
      </c>
      <c r="Y242">
        <v>112.3</v>
      </c>
      <c r="Z242">
        <v>119.9</v>
      </c>
      <c r="AA242">
        <v>129.30000000000001</v>
      </c>
      <c r="AB242">
        <v>118.8</v>
      </c>
      <c r="AC242">
        <v>119.6</v>
      </c>
      <c r="AD242">
        <v>128.1</v>
      </c>
      <c r="AE242">
        <v>137.83571428571432</v>
      </c>
      <c r="AF242">
        <v>125.09999999999998</v>
      </c>
      <c r="AG242">
        <v>124.35</v>
      </c>
      <c r="AH242" s="2">
        <f>All_India_Index_Upto_April23__1[[#This Row],[House]]/All_India_Index_Upto_April23__1[[#This Row],[TOTAL BROADER CATEGORIES]]</f>
        <v>0.1016524582506131</v>
      </c>
      <c r="AI242" s="2">
        <f>All_India_Index_Upto_April23__1[[#This Row],[Cloth]]/All_India_Index_Upto_April23__1[[#This Row],[TOTAL BROADER CATEGORIES]]</f>
        <v>0.10226556113511619</v>
      </c>
      <c r="AJ242" s="2">
        <f>All_India_Index_Upto_April23__1[[#This Row],[Food]]/All_India_Index_Upto_April23__1[[#This Row],[TOTAL BROADER CATEGORIES]]</f>
        <v>0.11267663202148782</v>
      </c>
      <c r="AK242" s="2">
        <f>All_India_Index_Upto_April23__1[[#This Row],[Miscellaneous]]/All_India_Index_Upto_April23__1[[#This Row],[TOTAL BROADER CATEGORIES]]</f>
        <v>9.7769473315426833E-2</v>
      </c>
      <c r="AL242" s="2">
        <f>All_India_Index_Upto_April23__1[[#This Row],[Personal care and effects]]/All_India_Index_Upto_April23__1[[#This Row],[TOTAL BROADER CATEGORIES]]</f>
        <v>9.71154969052902E-2</v>
      </c>
      <c r="AM242" s="2">
        <f>All_India_Index_Upto_April23__1[[#This Row],[Education]]/All_India_Index_Upto_April23__1[[#This Row],[TOTAL BROADER CATEGORIES]]</f>
        <v>0.10569893728833354</v>
      </c>
      <c r="AN242" s="2">
        <f>All_India_Index_Upto_April23__1[[#This Row],[Recreation and amusement]]/All_India_Index_Upto_April23__1[[#This Row],[TOTAL BROADER CATEGORIES]]</f>
        <v>9.801471446922809E-2</v>
      </c>
      <c r="AO242" s="2">
        <f>All_India_Index_Upto_April23__1[[#This Row],[Transport and communication]]/All_India_Index_Upto_April23__1[[#This Row],[TOTAL BROADER CATEGORIES]]</f>
        <v>9.180193857293005E-2</v>
      </c>
      <c r="AP242" s="2">
        <f>All_India_Index_Upto_April23__1[[#This Row],[Health]]/All_India_Index_Upto_April23__1[[#This Row],[TOTAL BROADER CATEGORIES]]</f>
        <v>9.8586943828097628E-2</v>
      </c>
      <c r="AQ242" s="2">
        <f>All_India_Index_Upto_April23__1[[#This Row],[Fuel and light]]/All_India_Index_Upto_April23__1[[#This Row],[TOTAL BROADER CATEGORIES]]</f>
        <v>9.4417844213476584E-2</v>
      </c>
      <c r="AR242">
        <f>MONTH(1 &amp; All_India_Index_Upto_April23__1[[#This Row],[Month]])</f>
        <v>6</v>
      </c>
      <c r="AS242" s="19" t="str">
        <f>All_India_Index_Upto_April23__1[[#This Row],[MONTH IN NUM]]&amp;"/"&amp;All_India_Index_Upto_April23__1[[#This Row],[Year]]</f>
        <v>6/2016</v>
      </c>
      <c r="AT24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124.11428571428573</v>
      </c>
      <c r="AU24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1223.2857142857142</v>
      </c>
    </row>
    <row r="243" spans="1:47" x14ac:dyDescent="0.3">
      <c r="A243" t="s">
        <v>33</v>
      </c>
      <c r="B243">
        <v>2016</v>
      </c>
      <c r="C243" t="s">
        <v>38</v>
      </c>
      <c r="D243">
        <v>127.7</v>
      </c>
      <c r="E243">
        <v>140.5</v>
      </c>
      <c r="F243">
        <v>128.30000000000001</v>
      </c>
      <c r="G243">
        <v>132.6</v>
      </c>
      <c r="H243">
        <v>115.5</v>
      </c>
      <c r="I243">
        <v>136.5</v>
      </c>
      <c r="J243">
        <v>159.69999999999999</v>
      </c>
      <c r="K243">
        <v>174.3</v>
      </c>
      <c r="L243">
        <v>109.9</v>
      </c>
      <c r="M243">
        <v>136.30000000000001</v>
      </c>
      <c r="N243">
        <v>124.4</v>
      </c>
      <c r="O243">
        <v>138.1</v>
      </c>
      <c r="P243">
        <v>136.80000000000001</v>
      </c>
      <c r="Q243">
        <v>138.69999999999999</v>
      </c>
      <c r="R243">
        <v>132.9</v>
      </c>
      <c r="S243">
        <v>127.2</v>
      </c>
      <c r="T243">
        <v>132</v>
      </c>
      <c r="U243">
        <v>125.5</v>
      </c>
      <c r="V243">
        <v>123.3</v>
      </c>
      <c r="W243">
        <v>126.4</v>
      </c>
      <c r="X243">
        <v>124.1</v>
      </c>
      <c r="Y243">
        <v>114.2</v>
      </c>
      <c r="Z243">
        <v>121.7</v>
      </c>
      <c r="AA243">
        <v>129.69999999999999</v>
      </c>
      <c r="AB243">
        <v>119.4</v>
      </c>
      <c r="AC243">
        <v>121.5</v>
      </c>
      <c r="AD243">
        <v>130.1</v>
      </c>
      <c r="AE243">
        <v>135.66428571428571</v>
      </c>
      <c r="AF243">
        <v>130.70000000000002</v>
      </c>
      <c r="AG243">
        <v>125.95</v>
      </c>
      <c r="AH243" s="2">
        <f>All_India_Index_Upto_April23__1[[#This Row],[House]]/All_India_Index_Upto_April23__1[[#This Row],[TOTAL BROADER CATEGORIES]]</f>
        <v>0.10106608586003325</v>
      </c>
      <c r="AI243" s="2">
        <f>All_India_Index_Upto_April23__1[[#This Row],[Cloth]]/All_India_Index_Upto_April23__1[[#This Row],[TOTAL BROADER CATEGORIES]]</f>
        <v>0.10487762939187256</v>
      </c>
      <c r="AJ243" s="2">
        <f>All_India_Index_Upto_April23__1[[#This Row],[Food]]/All_India_Index_Upto_April23__1[[#This Row],[TOTAL BROADER CATEGORIES]]</f>
        <v>0.10886112225597525</v>
      </c>
      <c r="AK243" s="2">
        <f>All_India_Index_Upto_April23__1[[#This Row],[Miscellaneous]]/All_India_Index_Upto_April23__1[[#This Row],[TOTAL BROADER CATEGORIES]]</f>
        <v>9.7495271393362767E-2</v>
      </c>
      <c r="AL243" s="2">
        <f>All_India_Index_Upto_April23__1[[#This Row],[Personal care and effects]]/All_India_Index_Upto_April23__1[[#This Row],[TOTAL BROADER CATEGORIES]]</f>
        <v>9.5810167937181195E-2</v>
      </c>
      <c r="AM243" s="2">
        <f>All_India_Index_Upto_April23__1[[#This Row],[Education]]/All_India_Index_Upto_April23__1[[#This Row],[TOTAL BROADER CATEGORIES]]</f>
        <v>0.10407519917464321</v>
      </c>
      <c r="AN243" s="2">
        <f>All_India_Index_Upto_April23__1[[#This Row],[Recreation and amusement]]/All_India_Index_Upto_April23__1[[#This Row],[TOTAL BROADER CATEGORIES]]</f>
        <v>9.7655757436808641E-2</v>
      </c>
      <c r="AO243" s="2">
        <f>All_India_Index_Upto_April23__1[[#This Row],[Transport and communication]]/All_India_Index_Upto_April23__1[[#This Row],[TOTAL BROADER CATEGORIES]]</f>
        <v>9.1637530807588713E-2</v>
      </c>
      <c r="AP243" s="2">
        <f>All_India_Index_Upto_April23__1[[#This Row],[Health]]/All_India_Index_Upto_April23__1[[#This Row],[TOTAL BROADER CATEGORIES]]</f>
        <v>9.9581589958159009E-2</v>
      </c>
      <c r="AQ243" s="2">
        <f>All_India_Index_Upto_April23__1[[#This Row],[Fuel and light]]/All_India_Index_Upto_April23__1[[#This Row],[TOTAL BROADER CATEGORIES]]</f>
        <v>9.8939645784375543E-2</v>
      </c>
      <c r="AR243">
        <f>MONTH(1 &amp; All_India_Index_Upto_April23__1[[#This Row],[Month]])</f>
        <v>6</v>
      </c>
      <c r="AS243" s="19" t="str">
        <f>All_India_Index_Upto_April23__1[[#This Row],[MONTH IN NUM]]&amp;"/"&amp;All_India_Index_Upto_April23__1[[#This Row],[Year]]</f>
        <v>6/2016</v>
      </c>
      <c r="AT24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128.14285714285717</v>
      </c>
      <c r="AU24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1246.2142857142856</v>
      </c>
    </row>
    <row r="244" spans="1:47" x14ac:dyDescent="0.3">
      <c r="A244" t="s">
        <v>30</v>
      </c>
      <c r="B244">
        <v>2016</v>
      </c>
      <c r="C244" t="s">
        <v>38</v>
      </c>
      <c r="D244">
        <v>128.6</v>
      </c>
      <c r="E244">
        <v>138.6</v>
      </c>
      <c r="F244">
        <v>126.6</v>
      </c>
      <c r="G244">
        <v>133.6</v>
      </c>
      <c r="H244">
        <v>118.6</v>
      </c>
      <c r="I244">
        <v>137.4</v>
      </c>
      <c r="J244">
        <v>152.5</v>
      </c>
      <c r="K244">
        <v>169.2</v>
      </c>
      <c r="L244">
        <v>108.8</v>
      </c>
      <c r="M244">
        <v>133.1</v>
      </c>
      <c r="N244">
        <v>126.4</v>
      </c>
      <c r="O244">
        <v>139.19999999999999</v>
      </c>
      <c r="P244">
        <v>136</v>
      </c>
      <c r="Q244">
        <v>137.19999999999999</v>
      </c>
      <c r="R244">
        <v>136.30000000000001</v>
      </c>
      <c r="S244">
        <v>131.6</v>
      </c>
      <c r="T244">
        <v>135.6</v>
      </c>
      <c r="U244">
        <v>140.85</v>
      </c>
      <c r="V244">
        <v>128</v>
      </c>
      <c r="W244">
        <v>129.30000000000001</v>
      </c>
      <c r="X244">
        <v>126.2</v>
      </c>
      <c r="Y244">
        <v>116.3</v>
      </c>
      <c r="Z244">
        <v>124.1</v>
      </c>
      <c r="AA244">
        <v>130.19999999999999</v>
      </c>
      <c r="AB244">
        <v>119.9</v>
      </c>
      <c r="AC244">
        <v>123.3</v>
      </c>
      <c r="AD244">
        <v>131.9</v>
      </c>
      <c r="AE244">
        <v>134.69999999999999</v>
      </c>
      <c r="AF244">
        <v>134.5</v>
      </c>
      <c r="AG244">
        <v>135.07499999999999</v>
      </c>
      <c r="AH244" s="2">
        <f>All_India_Index_Upto_April23__1[[#This Row],[House]]/All_India_Index_Upto_April23__1[[#This Row],[TOTAL BROADER CATEGORIES]]</f>
        <v>0.10616808473010945</v>
      </c>
      <c r="AI244" s="2">
        <f>All_India_Index_Upto_April23__1[[#This Row],[Cloth]]/All_India_Index_Upto_April23__1[[#This Row],[TOTAL BROADER CATEGORIES]]</f>
        <v>0.10571613841347194</v>
      </c>
      <c r="AJ244" s="2">
        <f>All_India_Index_Upto_April23__1[[#This Row],[Food]]/All_India_Index_Upto_April23__1[[#This Row],[TOTAL BROADER CATEGORIES]]</f>
        <v>0.10587333713230238</v>
      </c>
      <c r="AK244" s="2">
        <f>All_India_Index_Upto_April23__1[[#This Row],[Miscellaneous]]/All_India_Index_Upto_April23__1[[#This Row],[TOTAL BROADER CATEGORIES]]</f>
        <v>9.6913010158967208E-2</v>
      </c>
      <c r="AL244" s="2">
        <f>All_India_Index_Upto_April23__1[[#This Row],[Personal care and effects]]/All_India_Index_Upto_April23__1[[#This Row],[TOTAL BROADER CATEGORIES]]</f>
        <v>9.4240631938849712E-2</v>
      </c>
      <c r="AM244" s="2">
        <f>All_India_Index_Upto_April23__1[[#This Row],[Education]]/All_India_Index_Upto_April23__1[[#This Row],[TOTAL BROADER CATEGORIES]]</f>
        <v>0.10233636595861743</v>
      </c>
      <c r="AN244" s="2">
        <f>All_India_Index_Upto_April23__1[[#This Row],[Recreation and amusement]]/All_India_Index_Upto_April23__1[[#This Row],[TOTAL BROADER CATEGORIES]]</f>
        <v>9.754180503428897E-2</v>
      </c>
      <c r="AO244" s="2">
        <f>All_India_Index_Upto_April23__1[[#This Row],[Transport and communication]]/All_India_Index_Upto_April23__1[[#This Row],[TOTAL BROADER CATEGORIES]]</f>
        <v>9.1411054999901764E-2</v>
      </c>
      <c r="AP244" s="2">
        <f>All_India_Index_Upto_April23__1[[#This Row],[Health]]/All_India_Index_Upto_April23__1[[#This Row],[TOTAL BROADER CATEGORIES]]</f>
        <v>9.9192391582008613E-2</v>
      </c>
      <c r="AQ244" s="2">
        <f>All_India_Index_Upto_April23__1[[#This Row],[Fuel and light]]/All_India_Index_Upto_April23__1[[#This Row],[TOTAL BROADER CATEGORIES]]</f>
        <v>0.10060718005148259</v>
      </c>
      <c r="AR244">
        <f>MONTH(1 &amp; All_India_Index_Upto_April23__1[[#This Row],[Month]])</f>
        <v>6</v>
      </c>
      <c r="AS244" s="19" t="str">
        <f>All_India_Index_Upto_April23__1[[#This Row],[MONTH IN NUM]]&amp;"/"&amp;All_India_Index_Upto_April23__1[[#This Row],[Year]]</f>
        <v>6/2016</v>
      </c>
      <c r="AT24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133.12142857142859</v>
      </c>
      <c r="AU24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1272.2749999999999</v>
      </c>
    </row>
    <row r="245" spans="1:47" x14ac:dyDescent="0.3">
      <c r="A245" t="s">
        <v>30</v>
      </c>
      <c r="B245">
        <v>2016</v>
      </c>
      <c r="C245" t="s">
        <v>37</v>
      </c>
      <c r="D245">
        <v>127.6</v>
      </c>
      <c r="E245">
        <v>137.5</v>
      </c>
      <c r="F245">
        <v>124.4</v>
      </c>
      <c r="G245">
        <v>132.4</v>
      </c>
      <c r="H245">
        <v>118.2</v>
      </c>
      <c r="I245">
        <v>138.1</v>
      </c>
      <c r="J245">
        <v>141.80000000000001</v>
      </c>
      <c r="K245">
        <v>166</v>
      </c>
      <c r="L245">
        <v>107.5</v>
      </c>
      <c r="M245">
        <v>132.19999999999999</v>
      </c>
      <c r="N245">
        <v>126.1</v>
      </c>
      <c r="O245">
        <v>138.30000000000001</v>
      </c>
      <c r="P245">
        <v>133.6</v>
      </c>
      <c r="Q245">
        <v>136</v>
      </c>
      <c r="R245">
        <v>135.4</v>
      </c>
      <c r="S245">
        <v>131.1</v>
      </c>
      <c r="T245">
        <v>134.80000000000001</v>
      </c>
      <c r="U245">
        <v>140.85</v>
      </c>
      <c r="V245">
        <v>127.4</v>
      </c>
      <c r="W245">
        <v>128.5</v>
      </c>
      <c r="X245">
        <v>125.8</v>
      </c>
      <c r="Y245">
        <v>115.1</v>
      </c>
      <c r="Z245">
        <v>123.6</v>
      </c>
      <c r="AA245">
        <v>129.1</v>
      </c>
      <c r="AB245">
        <v>119.7</v>
      </c>
      <c r="AC245">
        <v>122.5</v>
      </c>
      <c r="AD245">
        <v>130.30000000000001</v>
      </c>
      <c r="AE245">
        <v>132.83571428571426</v>
      </c>
      <c r="AF245">
        <v>133.76666666666668</v>
      </c>
      <c r="AG245">
        <v>134.67500000000001</v>
      </c>
      <c r="AH245" s="2">
        <f>All_India_Index_Upto_April23__1[[#This Row],[House]]/All_India_Index_Upto_April23__1[[#This Row],[TOTAL BROADER CATEGORIES]]</f>
        <v>0.10650645241164003</v>
      </c>
      <c r="AI245" s="2">
        <f>All_India_Index_Upto_April23__1[[#This Row],[Cloth]]/All_India_Index_Upto_April23__1[[#This Row],[TOTAL BROADER CATEGORIES]]</f>
        <v>0.10578810556968292</v>
      </c>
      <c r="AJ245" s="2">
        <f>All_India_Index_Upto_April23__1[[#This Row],[Food]]/All_India_Index_Upto_April23__1[[#This Row],[TOTAL BROADER CATEGORIES]]</f>
        <v>0.10505187066744114</v>
      </c>
      <c r="AK245" s="2">
        <f>All_India_Index_Upto_April23__1[[#This Row],[Miscellaneous]]/All_India_Index_Upto_April23__1[[#This Row],[TOTAL BROADER CATEGORIES]]</f>
        <v>9.6877968594214978E-2</v>
      </c>
      <c r="AL245" s="2">
        <f>All_India_Index_Upto_April23__1[[#This Row],[Personal care and effects]]/All_India_Index_Upto_April23__1[[#This Row],[TOTAL BROADER CATEGORIES]]</f>
        <v>9.4663615026347209E-2</v>
      </c>
      <c r="AM245" s="2">
        <f>All_India_Index_Upto_April23__1[[#This Row],[Education]]/All_India_Index_Upto_April23__1[[#This Row],[TOTAL BROADER CATEGORIES]]</f>
        <v>0.1020975162899033</v>
      </c>
      <c r="AN245" s="2">
        <f>All_India_Index_Upto_April23__1[[#This Row],[Recreation and amusement]]/All_India_Index_Upto_April23__1[[#This Row],[TOTAL BROADER CATEGORIES]]</f>
        <v>9.7747893210163028E-2</v>
      </c>
      <c r="AO245" s="2">
        <f>All_India_Index_Upto_April23__1[[#This Row],[Transport and communication]]/All_India_Index_Upto_April23__1[[#This Row],[TOTAL BROADER CATEGORIES]]</f>
        <v>9.1025748450564437E-2</v>
      </c>
      <c r="AP245" s="2">
        <f>All_India_Index_Upto_April23__1[[#This Row],[Health]]/All_India_Index_Upto_April23__1[[#This Row],[TOTAL BROADER CATEGORIES]]</f>
        <v>9.9487742442059129E-2</v>
      </c>
      <c r="AQ245" s="2">
        <f>All_India_Index_Upto_April23__1[[#This Row],[Fuel and light]]/All_India_Index_Upto_April23__1[[#This Row],[TOTAL BROADER CATEGORIES]]</f>
        <v>0.10075308733798358</v>
      </c>
      <c r="AR245">
        <f>MONTH(1 &amp; All_India_Index_Upto_April23__1[[#This Row],[Month]])</f>
        <v>5</v>
      </c>
      <c r="AS245" s="19" t="str">
        <f>All_India_Index_Upto_April23__1[[#This Row],[MONTH IN NUM]]&amp;"/"&amp;All_India_Index_Upto_April23__1[[#This Row],[Year]]</f>
        <v>5/2016</v>
      </c>
      <c r="AT24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132.45000000000002</v>
      </c>
      <c r="AU24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1264.4773809523813</v>
      </c>
    </row>
    <row r="246" spans="1:47" x14ac:dyDescent="0.3">
      <c r="A246" t="s">
        <v>32</v>
      </c>
      <c r="B246">
        <v>2016</v>
      </c>
      <c r="C246" t="s">
        <v>37</v>
      </c>
      <c r="D246">
        <v>125</v>
      </c>
      <c r="E246">
        <v>142.1</v>
      </c>
      <c r="F246">
        <v>127</v>
      </c>
      <c r="G246">
        <v>130.4</v>
      </c>
      <c r="H246">
        <v>109.6</v>
      </c>
      <c r="I246">
        <v>133.5</v>
      </c>
      <c r="J246">
        <v>151.4</v>
      </c>
      <c r="K246">
        <v>182.8</v>
      </c>
      <c r="L246">
        <v>111.1</v>
      </c>
      <c r="M246">
        <v>141.5</v>
      </c>
      <c r="N246">
        <v>121.5</v>
      </c>
      <c r="O246">
        <v>136.30000000000001</v>
      </c>
      <c r="P246">
        <v>134.6</v>
      </c>
      <c r="Q246">
        <v>142.19999999999999</v>
      </c>
      <c r="R246">
        <v>127.2</v>
      </c>
      <c r="S246">
        <v>120.7</v>
      </c>
      <c r="T246">
        <v>126.2</v>
      </c>
      <c r="U246">
        <v>126</v>
      </c>
      <c r="V246">
        <v>115</v>
      </c>
      <c r="W246">
        <v>123.2</v>
      </c>
      <c r="X246">
        <v>120.3</v>
      </c>
      <c r="Y246">
        <v>110.7</v>
      </c>
      <c r="Z246">
        <v>119.8</v>
      </c>
      <c r="AA246">
        <v>128</v>
      </c>
      <c r="AB246">
        <v>118.5</v>
      </c>
      <c r="AC246">
        <v>118.7</v>
      </c>
      <c r="AD246">
        <v>126.6</v>
      </c>
      <c r="AE246">
        <v>134.92857142857142</v>
      </c>
      <c r="AF246">
        <v>124.7</v>
      </c>
      <c r="AG246">
        <v>124.6</v>
      </c>
      <c r="AH246" s="2">
        <f>All_India_Index_Upto_April23__1[[#This Row],[House]]/All_India_Index_Upto_April23__1[[#This Row],[TOTAL BROADER CATEGORIES]]</f>
        <v>0.10253215150588955</v>
      </c>
      <c r="AI246" s="2">
        <f>All_India_Index_Upto_April23__1[[#This Row],[Cloth]]/All_India_Index_Upto_April23__1[[#This Row],[TOTAL BROADER CATEGORIES]]</f>
        <v>0.10261444055204196</v>
      </c>
      <c r="AJ246" s="2">
        <f>All_India_Index_Upto_April23__1[[#This Row],[Food]]/All_India_Index_Upto_April23__1[[#This Row],[TOTAL BROADER CATEGORIES]]</f>
        <v>0.11103143441563022</v>
      </c>
      <c r="AK246" s="2">
        <f>All_India_Index_Upto_April23__1[[#This Row],[Miscellaneous]]/All_India_Index_Upto_April23__1[[#This Row],[TOTAL BROADER CATEGORIES]]</f>
        <v>9.7677097782898001E-2</v>
      </c>
      <c r="AL246" s="2">
        <f>All_India_Index_Upto_April23__1[[#This Row],[Personal care and effects]]/All_India_Index_Upto_April23__1[[#This Row],[TOTAL BROADER CATEGORIES]]</f>
        <v>9.75125196905932E-2</v>
      </c>
      <c r="AM246" s="2">
        <f>All_India_Index_Upto_April23__1[[#This Row],[Education]]/All_India_Index_Upto_April23__1[[#This Row],[TOTAL BROADER CATEGORIES]]</f>
        <v>0.10532997907507113</v>
      </c>
      <c r="AN246" s="2">
        <f>All_India_Index_Upto_April23__1[[#This Row],[Recreation and amusement]]/All_India_Index_Upto_April23__1[[#This Row],[TOTAL BROADER CATEGORIES]]</f>
        <v>9.858227729057438E-2</v>
      </c>
      <c r="AO246" s="2">
        <f>All_India_Index_Upto_April23__1[[#This Row],[Transport and communication]]/All_India_Index_Upto_April23__1[[#This Row],[TOTAL BROADER CATEGORIES]]</f>
        <v>9.1093974090706048E-2</v>
      </c>
      <c r="AP246" s="2">
        <f>All_India_Index_Upto_April23__1[[#This Row],[Health]]/All_India_Index_Upto_April23__1[[#This Row],[TOTAL BROADER CATEGORIES]]</f>
        <v>9.8993722521336383E-2</v>
      </c>
      <c r="AQ246" s="2">
        <f>All_India_Index_Upto_April23__1[[#This Row],[Fuel and light]]/All_India_Index_Upto_April23__1[[#This Row],[TOTAL BROADER CATEGORIES]]</f>
        <v>9.4632403075259219E-2</v>
      </c>
      <c r="AR246">
        <f>MONTH(1 &amp; All_India_Index_Upto_April23__1[[#This Row],[Month]])</f>
        <v>5</v>
      </c>
      <c r="AS246" s="19" t="str">
        <f>All_India_Index_Upto_April23__1[[#This Row],[MONTH IN NUM]]&amp;"/"&amp;All_India_Index_Upto_April23__1[[#This Row],[Year]]</f>
        <v>5/2016</v>
      </c>
      <c r="AT24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123.75714285714287</v>
      </c>
      <c r="AU24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1215.2285714285713</v>
      </c>
    </row>
    <row r="247" spans="1:47" x14ac:dyDescent="0.3">
      <c r="A247" t="s">
        <v>33</v>
      </c>
      <c r="B247">
        <v>2016</v>
      </c>
      <c r="C247" t="s">
        <v>37</v>
      </c>
      <c r="D247">
        <v>126.8</v>
      </c>
      <c r="E247">
        <v>139.1</v>
      </c>
      <c r="F247">
        <v>125.4</v>
      </c>
      <c r="G247">
        <v>131.69999999999999</v>
      </c>
      <c r="H247">
        <v>115</v>
      </c>
      <c r="I247">
        <v>136</v>
      </c>
      <c r="J247">
        <v>145.1</v>
      </c>
      <c r="K247">
        <v>171.7</v>
      </c>
      <c r="L247">
        <v>108.7</v>
      </c>
      <c r="M247">
        <v>135.30000000000001</v>
      </c>
      <c r="N247">
        <v>124.2</v>
      </c>
      <c r="O247">
        <v>137.4</v>
      </c>
      <c r="P247">
        <v>134</v>
      </c>
      <c r="Q247">
        <v>137.69999999999999</v>
      </c>
      <c r="R247">
        <v>132.19999999999999</v>
      </c>
      <c r="S247">
        <v>126.8</v>
      </c>
      <c r="T247">
        <v>131.4</v>
      </c>
      <c r="U247">
        <v>126</v>
      </c>
      <c r="V247">
        <v>122.7</v>
      </c>
      <c r="W247">
        <v>126</v>
      </c>
      <c r="X247">
        <v>123.7</v>
      </c>
      <c r="Y247">
        <v>112.8</v>
      </c>
      <c r="Z247">
        <v>121.5</v>
      </c>
      <c r="AA247">
        <v>128.5</v>
      </c>
      <c r="AB247">
        <v>119.2</v>
      </c>
      <c r="AC247">
        <v>120.7</v>
      </c>
      <c r="AD247">
        <v>128.6</v>
      </c>
      <c r="AE247">
        <v>133.43571428571428</v>
      </c>
      <c r="AF247">
        <v>130.13333333333333</v>
      </c>
      <c r="AG247">
        <v>126</v>
      </c>
      <c r="AH247" s="2">
        <f>All_India_Index_Upto_April23__1[[#This Row],[House]]/All_India_Index_Upto_April23__1[[#This Row],[TOTAL BROADER CATEGORIES]]</f>
        <v>0.10172208649452849</v>
      </c>
      <c r="AI247" s="2">
        <f>All_India_Index_Upto_April23__1[[#This Row],[Cloth]]/All_India_Index_Upto_April23__1[[#This Row],[TOTAL BROADER CATEGORIES]]</f>
        <v>0.10505900150122731</v>
      </c>
      <c r="AJ247" s="2">
        <f>All_India_Index_Upto_April23__1[[#This Row],[Food]]/All_India_Index_Upto_April23__1[[#This Row],[TOTAL BROADER CATEGORIES]]</f>
        <v>0.10772507357167159</v>
      </c>
      <c r="AK247" s="2">
        <f>All_India_Index_Upto_April23__1[[#This Row],[Miscellaneous]]/All_India_Index_Upto_April23__1[[#This Row],[TOTAL BROADER CATEGORIES]]</f>
        <v>9.7443300316584047E-2</v>
      </c>
      <c r="AL247" s="2">
        <f>All_India_Index_Upto_April23__1[[#This Row],[Personal care and effects]]/All_India_Index_Upto_April23__1[[#This Row],[TOTAL BROADER CATEGORIES]]</f>
        <v>9.6232323096411082E-2</v>
      </c>
      <c r="AM247" s="2">
        <f>All_India_Index_Upto_April23__1[[#This Row],[Education]]/All_India_Index_Upto_April23__1[[#This Row],[TOTAL BROADER CATEGORIES]]</f>
        <v>0.10374038186148342</v>
      </c>
      <c r="AN247" s="2">
        <f>All_India_Index_Upto_April23__1[[#This Row],[Recreation and amusement]]/All_India_Index_Upto_April23__1[[#This Row],[TOTAL BROADER CATEGORIES]]</f>
        <v>9.8089154834009623E-2</v>
      </c>
      <c r="AO247" s="2">
        <f>All_India_Index_Upto_April23__1[[#This Row],[Transport and communication]]/All_India_Index_Upto_April23__1[[#This Row],[TOTAL BROADER CATEGORIES]]</f>
        <v>9.1065486957006461E-2</v>
      </c>
      <c r="AP247" s="2">
        <f>All_India_Index_Upto_April23__1[[#This Row],[Health]]/All_India_Index_Upto_April23__1[[#This Row],[TOTAL BROADER CATEGORIES]]</f>
        <v>9.9865254756929964E-2</v>
      </c>
      <c r="AQ247" s="2">
        <f>All_India_Index_Upto_April23__1[[#This Row],[Fuel and light]]/All_India_Index_Upto_April23__1[[#This Row],[TOTAL BROADER CATEGORIES]]</f>
        <v>9.9057936610147987E-2</v>
      </c>
      <c r="AR247">
        <f>MONTH(1 &amp; All_India_Index_Upto_April23__1[[#This Row],[Month]])</f>
        <v>5</v>
      </c>
      <c r="AS247" s="19" t="str">
        <f>All_India_Index_Upto_April23__1[[#This Row],[MONTH IN NUM]]&amp;"/"&amp;All_India_Index_Upto_April23__1[[#This Row],[Year]]</f>
        <v>5/2016</v>
      </c>
      <c r="AT24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127.65714285714284</v>
      </c>
      <c r="AU24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1238.6690476190477</v>
      </c>
    </row>
    <row r="248" spans="1:47" x14ac:dyDescent="0.3">
      <c r="A248" t="s">
        <v>33</v>
      </c>
      <c r="B248">
        <v>2016</v>
      </c>
      <c r="C248" t="s">
        <v>36</v>
      </c>
      <c r="D248">
        <v>126.6</v>
      </c>
      <c r="E248">
        <v>136.80000000000001</v>
      </c>
      <c r="F248">
        <v>122</v>
      </c>
      <c r="G248">
        <v>130.9</v>
      </c>
      <c r="H248">
        <v>114.8</v>
      </c>
      <c r="I248">
        <v>134.80000000000001</v>
      </c>
      <c r="J248">
        <v>135</v>
      </c>
      <c r="K248">
        <v>167.5</v>
      </c>
      <c r="L248">
        <v>106.4</v>
      </c>
      <c r="M248">
        <v>134.4</v>
      </c>
      <c r="N248">
        <v>123.6</v>
      </c>
      <c r="O248">
        <v>136.69999999999999</v>
      </c>
      <c r="P248">
        <v>131.80000000000001</v>
      </c>
      <c r="Q248">
        <v>137.1</v>
      </c>
      <c r="R248">
        <v>131.80000000000001</v>
      </c>
      <c r="S248">
        <v>126.4</v>
      </c>
      <c r="T248">
        <v>131</v>
      </c>
      <c r="U248">
        <v>125.6</v>
      </c>
      <c r="V248">
        <v>122.3</v>
      </c>
      <c r="W248">
        <v>125.5</v>
      </c>
      <c r="X248">
        <v>123.2</v>
      </c>
      <c r="Y248">
        <v>112.1</v>
      </c>
      <c r="Z248">
        <v>121.1</v>
      </c>
      <c r="AA248">
        <v>127.7</v>
      </c>
      <c r="AB248">
        <v>118.1</v>
      </c>
      <c r="AC248">
        <v>120</v>
      </c>
      <c r="AD248">
        <v>127.3</v>
      </c>
      <c r="AE248">
        <v>131.31428571428572</v>
      </c>
      <c r="AF248">
        <v>129.73333333333335</v>
      </c>
      <c r="AG248">
        <v>125.55</v>
      </c>
      <c r="AH248" s="2">
        <f>All_India_Index_Upto_April23__1[[#This Row],[House]]/All_India_Index_Upto_April23__1[[#This Row],[TOTAL BROADER CATEGORIES]]</f>
        <v>0.10198216458019459</v>
      </c>
      <c r="AI248" s="2">
        <f>All_India_Index_Upto_April23__1[[#This Row],[Cloth]]/All_India_Index_Upto_April23__1[[#This Row],[TOTAL BROADER CATEGORIES]]</f>
        <v>0.10538021626075067</v>
      </c>
      <c r="AJ248" s="2">
        <f>All_India_Index_Upto_April23__1[[#This Row],[Food]]/All_India_Index_Upto_April23__1[[#This Row],[TOTAL BROADER CATEGORIES]]</f>
        <v>0.10666439743086405</v>
      </c>
      <c r="AK248" s="2">
        <f>All_India_Index_Upto_April23__1[[#This Row],[Miscellaneous]]/All_India_Index_Upto_April23__1[[#This Row],[TOTAL BROADER CATEGORIES]]</f>
        <v>9.7473992430293505E-2</v>
      </c>
      <c r="AL248" s="2">
        <f>All_India_Index_Upto_April23__1[[#This Row],[Personal care and effects]]/All_India_Index_Upto_April23__1[[#This Row],[TOTAL BROADER CATEGORIES]]</f>
        <v>9.5930654216813863E-2</v>
      </c>
      <c r="AM248" s="2">
        <f>All_India_Index_Upto_April23__1[[#This Row],[Education]]/All_India_Index_Upto_April23__1[[#This Row],[TOTAL BROADER CATEGORIES]]</f>
        <v>0.10372857361123734</v>
      </c>
      <c r="AN248" s="2">
        <f>All_India_Index_Upto_April23__1[[#This Row],[Recreation and amusement]]/All_India_Index_Upto_April23__1[[#This Row],[TOTAL BROADER CATEGORIES]]</f>
        <v>9.836750402757119E-2</v>
      </c>
      <c r="AO248" s="2">
        <f>All_India_Index_Upto_April23__1[[#This Row],[Transport and communication]]/All_India_Index_Upto_April23__1[[#This Row],[TOTAL BROADER CATEGORIES]]</f>
        <v>9.105695459529918E-2</v>
      </c>
      <c r="AP248" s="2">
        <f>All_India_Index_Upto_April23__1[[#This Row],[Health]]/All_India_Index_Upto_April23__1[[#This Row],[TOTAL BROADER CATEGORIES]]</f>
        <v>0.10007329889510135</v>
      </c>
      <c r="AQ248" s="2">
        <f>All_India_Index_Upto_April23__1[[#This Row],[Fuel and light]]/All_India_Index_Upto_April23__1[[#This Row],[TOTAL BROADER CATEGORIES]]</f>
        <v>9.9342243951874132E-2</v>
      </c>
      <c r="AR248">
        <f>MONTH(1 &amp; All_India_Index_Upto_April23__1[[#This Row],[Month]])</f>
        <v>4</v>
      </c>
      <c r="AS248" s="19" t="str">
        <f>All_India_Index_Upto_April23__1[[#This Row],[MONTH IN NUM]]&amp;"/"&amp;All_India_Index_Upto_April23__1[[#This Row],[Year]]</f>
        <v>4/2016</v>
      </c>
      <c r="AT24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127.18571428571428</v>
      </c>
      <c r="AU24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1231.0976190476192</v>
      </c>
    </row>
    <row r="249" spans="1:47" x14ac:dyDescent="0.3">
      <c r="A249" t="s">
        <v>30</v>
      </c>
      <c r="B249">
        <v>2016</v>
      </c>
      <c r="C249" t="s">
        <v>36</v>
      </c>
      <c r="D249">
        <v>127.4</v>
      </c>
      <c r="E249">
        <v>135.4</v>
      </c>
      <c r="F249">
        <v>123.4</v>
      </c>
      <c r="G249">
        <v>131.30000000000001</v>
      </c>
      <c r="H249">
        <v>118.2</v>
      </c>
      <c r="I249">
        <v>138.1</v>
      </c>
      <c r="J249">
        <v>134.1</v>
      </c>
      <c r="K249">
        <v>162.69999999999999</v>
      </c>
      <c r="L249">
        <v>105</v>
      </c>
      <c r="M249">
        <v>131.4</v>
      </c>
      <c r="N249">
        <v>125.4</v>
      </c>
      <c r="O249">
        <v>137.4</v>
      </c>
      <c r="P249">
        <v>131.80000000000001</v>
      </c>
      <c r="Q249">
        <v>135.5</v>
      </c>
      <c r="R249">
        <v>135</v>
      </c>
      <c r="S249">
        <v>130.6</v>
      </c>
      <c r="T249">
        <v>134.4</v>
      </c>
      <c r="U249">
        <v>140.85</v>
      </c>
      <c r="V249">
        <v>127</v>
      </c>
      <c r="W249">
        <v>128</v>
      </c>
      <c r="X249">
        <v>125.2</v>
      </c>
      <c r="Y249">
        <v>114.4</v>
      </c>
      <c r="Z249">
        <v>123.2</v>
      </c>
      <c r="AA249">
        <v>127.9</v>
      </c>
      <c r="AB249">
        <v>118.4</v>
      </c>
      <c r="AC249">
        <v>121.7</v>
      </c>
      <c r="AD249">
        <v>129</v>
      </c>
      <c r="AE249">
        <v>131.22142857142859</v>
      </c>
      <c r="AF249">
        <v>133.33333333333334</v>
      </c>
      <c r="AG249">
        <v>134.42500000000001</v>
      </c>
      <c r="AH249" s="2">
        <f>All_India_Index_Upto_April23__1[[#This Row],[House]]/All_India_Index_Upto_April23__1[[#This Row],[TOTAL BROADER CATEGORIES]]</f>
        <v>0.10695987003822127</v>
      </c>
      <c r="AI249" s="2">
        <f>All_India_Index_Upto_April23__1[[#This Row],[Cloth]]/All_India_Index_Upto_April23__1[[#This Row],[TOTAL BROADER CATEGORIES]]</f>
        <v>0.10609124794566613</v>
      </c>
      <c r="AJ249" s="2">
        <f>All_India_Index_Upto_April23__1[[#This Row],[Food]]/All_India_Index_Upto_April23__1[[#This Row],[TOTAL BROADER CATEGORIES]]</f>
        <v>0.10441083835766961</v>
      </c>
      <c r="AK249" s="2">
        <f>All_India_Index_Upto_April23__1[[#This Row],[Miscellaneous]]/All_India_Index_Upto_April23__1[[#This Row],[TOTAL BROADER CATEGORIES]]</f>
        <v>9.6834786562406752E-2</v>
      </c>
      <c r="AL249" s="2">
        <f>All_India_Index_Upto_April23__1[[#This Row],[Personal care and effects]]/All_India_Index_Upto_April23__1[[#This Row],[TOTAL BROADER CATEGORIES]]</f>
        <v>9.4209028175751525E-2</v>
      </c>
      <c r="AM249" s="2">
        <f>All_India_Index_Upto_April23__1[[#This Row],[Education]]/All_India_Index_Upto_April23__1[[#This Row],[TOTAL BROADER CATEGORIES]]</f>
        <v>0.10176802959188024</v>
      </c>
      <c r="AN249" s="2">
        <f>All_India_Index_Upto_April23__1[[#This Row],[Recreation and amusement]]/All_India_Index_Upto_April23__1[[#This Row],[TOTAL BROADER CATEGORIES]]</f>
        <v>9.8028313101795495E-2</v>
      </c>
      <c r="AO249" s="2">
        <f>All_India_Index_Upto_April23__1[[#This Row],[Transport and communication]]/All_India_Index_Upto_April23__1[[#This Row],[TOTAL BROADER CATEGORIES]]</f>
        <v>9.1026290737381541E-2</v>
      </c>
      <c r="AP249" s="2">
        <f>All_India_Index_Upto_April23__1[[#This Row],[Health]]/All_India_Index_Upto_April23__1[[#This Row],[TOTAL BROADER CATEGORIES]]</f>
        <v>9.9619681820980494E-2</v>
      </c>
      <c r="AQ249" s="2">
        <f>All_India_Index_Upto_April23__1[[#This Row],[Fuel and light]]/All_India_Index_Upto_April23__1[[#This Row],[TOTAL BROADER CATEGORIES]]</f>
        <v>0.10105191366824698</v>
      </c>
      <c r="AR249">
        <f>MONTH(1 &amp; All_India_Index_Upto_April23__1[[#This Row],[Month]])</f>
        <v>4</v>
      </c>
      <c r="AS249" s="19" t="str">
        <f>All_India_Index_Upto_April23__1[[#This Row],[MONTH IN NUM]]&amp;"/"&amp;All_India_Index_Upto_April23__1[[#This Row],[Year]]</f>
        <v>4/2016</v>
      </c>
      <c r="AT24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131.96428571428572</v>
      </c>
      <c r="AU24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1256.7797619047619</v>
      </c>
    </row>
    <row r="250" spans="1:47" x14ac:dyDescent="0.3">
      <c r="A250" t="s">
        <v>32</v>
      </c>
      <c r="B250">
        <v>2016</v>
      </c>
      <c r="C250" t="s">
        <v>36</v>
      </c>
      <c r="D250">
        <v>124.9</v>
      </c>
      <c r="E250">
        <v>139.30000000000001</v>
      </c>
      <c r="F250">
        <v>119.9</v>
      </c>
      <c r="G250">
        <v>130.19999999999999</v>
      </c>
      <c r="H250">
        <v>108.9</v>
      </c>
      <c r="I250">
        <v>131.1</v>
      </c>
      <c r="J250">
        <v>136.80000000000001</v>
      </c>
      <c r="K250">
        <v>176.9</v>
      </c>
      <c r="L250">
        <v>109.1</v>
      </c>
      <c r="M250">
        <v>140.4</v>
      </c>
      <c r="N250">
        <v>121.1</v>
      </c>
      <c r="O250">
        <v>135.9</v>
      </c>
      <c r="P250">
        <v>131.80000000000001</v>
      </c>
      <c r="Q250">
        <v>141.5</v>
      </c>
      <c r="R250">
        <v>126.8</v>
      </c>
      <c r="S250">
        <v>120.5</v>
      </c>
      <c r="T250">
        <v>125.8</v>
      </c>
      <c r="U250">
        <v>125.6</v>
      </c>
      <c r="V250">
        <v>114.6</v>
      </c>
      <c r="W250">
        <v>122.8</v>
      </c>
      <c r="X250">
        <v>120</v>
      </c>
      <c r="Y250">
        <v>110</v>
      </c>
      <c r="Z250">
        <v>119.5</v>
      </c>
      <c r="AA250">
        <v>127.6</v>
      </c>
      <c r="AB250">
        <v>117.6</v>
      </c>
      <c r="AC250">
        <v>118.2</v>
      </c>
      <c r="AD250">
        <v>125.3</v>
      </c>
      <c r="AE250">
        <v>131.98571428571429</v>
      </c>
      <c r="AF250">
        <v>124.36666666666667</v>
      </c>
      <c r="AG250">
        <v>124.19999999999999</v>
      </c>
      <c r="AH250" s="2">
        <f>All_India_Index_Upto_April23__1[[#This Row],[House]]/All_India_Index_Upto_April23__1[[#This Row],[TOTAL BROADER CATEGORIES]]</f>
        <v>0.10281011151361301</v>
      </c>
      <c r="AI250" s="2">
        <f>All_India_Index_Upto_April23__1[[#This Row],[Cloth]]/All_India_Index_Upto_April23__1[[#This Row],[TOTAL BROADER CATEGORIES]]</f>
        <v>0.10294807462621852</v>
      </c>
      <c r="AJ250" s="2">
        <f>All_India_Index_Upto_April23__1[[#This Row],[Food]]/All_India_Index_Upto_April23__1[[#This Row],[TOTAL BROADER CATEGORIES]]</f>
        <v>0.10925495977389818</v>
      </c>
      <c r="AK250" s="2">
        <f>All_India_Index_Upto_April23__1[[#This Row],[Miscellaneous]]/All_India_Index_Upto_April23__1[[#This Row],[TOTAL BROADER CATEGORIES]]</f>
        <v>9.7843439459815301E-2</v>
      </c>
      <c r="AL250" s="2">
        <f>All_India_Index_Upto_April23__1[[#This Row],[Personal care and effects]]/All_India_Index_Upto_April23__1[[#This Row],[TOTAL BROADER CATEGORIES]]</f>
        <v>9.7346772254435512E-2</v>
      </c>
      <c r="AM250" s="2">
        <f>All_India_Index_Upto_April23__1[[#This Row],[Education]]/All_India_Index_Upto_April23__1[[#This Row],[TOTAL BROADER CATEGORIES]]</f>
        <v>0.10562455901076506</v>
      </c>
      <c r="AN250" s="2">
        <f>All_India_Index_Upto_April23__1[[#This Row],[Recreation and amusement]]/All_India_Index_Upto_April23__1[[#This Row],[TOTAL BROADER CATEGORIES]]</f>
        <v>9.8919551738138128E-2</v>
      </c>
      <c r="AO250" s="2">
        <f>All_India_Index_Upto_April23__1[[#This Row],[Transport and communication]]/All_India_Index_Upto_April23__1[[#This Row],[TOTAL BROADER CATEGORIES]]</f>
        <v>9.1055654319625062E-2</v>
      </c>
      <c r="AP250" s="2">
        <f>All_India_Index_Upto_April23__1[[#This Row],[Health]]/All_India_Index_Upto_April23__1[[#This Row],[TOTAL BROADER CATEGORIES]]</f>
        <v>9.9333441075954612E-2</v>
      </c>
      <c r="AQ250" s="2">
        <f>All_India_Index_Upto_April23__1[[#This Row],[Fuel and light]]/All_India_Index_Upto_April23__1[[#This Row],[TOTAL BROADER CATEGORIES]]</f>
        <v>9.4863436227536652E-2</v>
      </c>
      <c r="AR250">
        <f>MONTH(1 &amp; All_India_Index_Upto_April23__1[[#This Row],[Month]])</f>
        <v>4</v>
      </c>
      <c r="AS250" s="19" t="str">
        <f>All_India_Index_Upto_April23__1[[#This Row],[MONTH IN NUM]]&amp;"/"&amp;All_India_Index_Upto_April23__1[[#This Row],[Year]]</f>
        <v>4/2016</v>
      </c>
      <c r="AT25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123.38571428571427</v>
      </c>
      <c r="AU25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1208.0523809523809</v>
      </c>
    </row>
    <row r="251" spans="1:47" x14ac:dyDescent="0.3">
      <c r="A251" t="s">
        <v>32</v>
      </c>
      <c r="B251">
        <v>2016</v>
      </c>
      <c r="C251" t="s">
        <v>35</v>
      </c>
      <c r="D251">
        <v>124.8</v>
      </c>
      <c r="E251">
        <v>136.30000000000001</v>
      </c>
      <c r="F251">
        <v>123.7</v>
      </c>
      <c r="G251">
        <v>129.69999999999999</v>
      </c>
      <c r="H251">
        <v>107.9</v>
      </c>
      <c r="I251">
        <v>119.9</v>
      </c>
      <c r="J251">
        <v>128.1</v>
      </c>
      <c r="K251">
        <v>170.3</v>
      </c>
      <c r="L251">
        <v>101.8</v>
      </c>
      <c r="M251">
        <v>140.1</v>
      </c>
      <c r="N251">
        <v>120.7</v>
      </c>
      <c r="O251">
        <v>135.4</v>
      </c>
      <c r="P251">
        <v>128.9</v>
      </c>
      <c r="Q251">
        <v>140.6</v>
      </c>
      <c r="R251">
        <v>126.4</v>
      </c>
      <c r="S251">
        <v>120.3</v>
      </c>
      <c r="T251">
        <v>125.5</v>
      </c>
      <c r="U251">
        <v>124.9</v>
      </c>
      <c r="V251">
        <v>114.8</v>
      </c>
      <c r="W251">
        <v>122.3</v>
      </c>
      <c r="X251">
        <v>119.7</v>
      </c>
      <c r="Y251">
        <v>108.5</v>
      </c>
      <c r="Z251">
        <v>119.1</v>
      </c>
      <c r="AA251">
        <v>126.4</v>
      </c>
      <c r="AB251">
        <v>117.1</v>
      </c>
      <c r="AC251">
        <v>117.3</v>
      </c>
      <c r="AD251">
        <v>123.8</v>
      </c>
      <c r="AE251">
        <v>129.15714285714287</v>
      </c>
      <c r="AF251">
        <v>124.06666666666666</v>
      </c>
      <c r="AG251">
        <v>123.6</v>
      </c>
      <c r="AH251" s="2">
        <f>All_India_Index_Upto_April23__1[[#This Row],[House]]/All_India_Index_Upto_April23__1[[#This Row],[TOTAL BROADER CATEGORIES]]</f>
        <v>0.10302371180668567</v>
      </c>
      <c r="AI251" s="2">
        <f>All_India_Index_Upto_April23__1[[#This Row],[Cloth]]/All_India_Index_Upto_April23__1[[#This Row],[TOTAL BROADER CATEGORIES]]</f>
        <v>0.10341269022235276</v>
      </c>
      <c r="AJ251" s="2">
        <f>All_India_Index_Upto_April23__1[[#This Row],[Food]]/All_India_Index_Upto_April23__1[[#This Row],[TOTAL BROADER CATEGORIES]]</f>
        <v>0.1076557302871296</v>
      </c>
      <c r="AK251" s="2">
        <f>All_India_Index_Upto_April23__1[[#This Row],[Miscellaneous]]/All_India_Index_Upto_April23__1[[#This Row],[TOTAL BROADER CATEGORIES]]</f>
        <v>9.7772503195179841E-2</v>
      </c>
      <c r="AL251" s="2">
        <f>All_India_Index_Upto_April23__1[[#This Row],[Personal care and effects]]/All_India_Index_Upto_April23__1[[#This Row],[TOTAL BROADER CATEGORIES]]</f>
        <v>9.7605798159893939E-2</v>
      </c>
      <c r="AM251" s="2">
        <f>All_India_Index_Upto_April23__1[[#This Row],[Education]]/All_India_Index_Upto_April23__1[[#This Row],[TOTAL BROADER CATEGORIES]]</f>
        <v>0.10535758230068827</v>
      </c>
      <c r="AN251" s="2">
        <f>All_India_Index_Upto_April23__1[[#This Row],[Recreation and amusement]]/All_India_Index_Upto_April23__1[[#This Row],[TOTAL BROADER CATEGORIES]]</f>
        <v>9.9272848512752934E-2</v>
      </c>
      <c r="AO251" s="2">
        <f>All_India_Index_Upto_April23__1[[#This Row],[Transport and communication]]/All_India_Index_Upto_April23__1[[#This Row],[TOTAL BROADER CATEGORIES]]</f>
        <v>9.0437481642600293E-2</v>
      </c>
      <c r="AP251" s="2">
        <f>All_India_Index_Upto_April23__1[[#This Row],[Health]]/All_India_Index_Upto_April23__1[[#This Row],[TOTAL BROADER CATEGORIES]]</f>
        <v>9.9772963618610641E-2</v>
      </c>
      <c r="AQ251" s="2">
        <f>All_India_Index_Upto_April23__1[[#This Row],[Fuel and light]]/All_India_Index_Upto_April23__1[[#This Row],[TOTAL BROADER CATEGORIES]]</f>
        <v>9.5688690254106104E-2</v>
      </c>
      <c r="AR251">
        <f>MONTH(1 &amp; All_India_Index_Upto_April23__1[[#This Row],[Month]])</f>
        <v>3</v>
      </c>
      <c r="AS251" s="19" t="str">
        <f>All_India_Index_Upto_April23__1[[#This Row],[MONTH IN NUM]]&amp;"/"&amp;All_India_Index_Upto_April23__1[[#This Row],[Year]]</f>
        <v>3/2016</v>
      </c>
      <c r="AT25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122.94285714285714</v>
      </c>
      <c r="AU25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1199.7238095238095</v>
      </c>
    </row>
    <row r="252" spans="1:47" x14ac:dyDescent="0.3">
      <c r="A252" t="s">
        <v>33</v>
      </c>
      <c r="B252">
        <v>2016</v>
      </c>
      <c r="C252" t="s">
        <v>35</v>
      </c>
      <c r="D252">
        <v>126.5</v>
      </c>
      <c r="E252">
        <v>135.1</v>
      </c>
      <c r="F252">
        <v>124.6</v>
      </c>
      <c r="G252">
        <v>130.19999999999999</v>
      </c>
      <c r="H252">
        <v>114.5</v>
      </c>
      <c r="I252">
        <v>126.2</v>
      </c>
      <c r="J252">
        <v>129.80000000000001</v>
      </c>
      <c r="K252">
        <v>164.3</v>
      </c>
      <c r="L252">
        <v>100.9</v>
      </c>
      <c r="M252">
        <v>133.9</v>
      </c>
      <c r="N252">
        <v>123.1</v>
      </c>
      <c r="O252">
        <v>136.30000000000001</v>
      </c>
      <c r="P252">
        <v>129.80000000000001</v>
      </c>
      <c r="Q252">
        <v>136.5</v>
      </c>
      <c r="R252">
        <v>131.30000000000001</v>
      </c>
      <c r="S252">
        <v>126.1</v>
      </c>
      <c r="T252">
        <v>130.5</v>
      </c>
      <c r="U252">
        <v>124.9</v>
      </c>
      <c r="V252">
        <v>122.4</v>
      </c>
      <c r="W252">
        <v>125.1</v>
      </c>
      <c r="X252">
        <v>122.9</v>
      </c>
      <c r="Y252">
        <v>110.9</v>
      </c>
      <c r="Z252">
        <v>120.6</v>
      </c>
      <c r="AA252">
        <v>126.9</v>
      </c>
      <c r="AB252">
        <v>117.3</v>
      </c>
      <c r="AC252">
        <v>119.3</v>
      </c>
      <c r="AD252">
        <v>126</v>
      </c>
      <c r="AE252">
        <v>129.40714285714287</v>
      </c>
      <c r="AF252">
        <v>129.29999999999998</v>
      </c>
      <c r="AG252">
        <v>125</v>
      </c>
      <c r="AH252" s="2">
        <f>All_India_Index_Upto_April23__1[[#This Row],[House]]/All_India_Index_Upto_April23__1[[#This Row],[TOTAL BROADER CATEGORIES]]</f>
        <v>0.10212358704722777</v>
      </c>
      <c r="AI252" s="2">
        <f>All_India_Index_Upto_April23__1[[#This Row],[Cloth]]/All_India_Index_Upto_April23__1[[#This Row],[TOTAL BROADER CATEGORIES]]</f>
        <v>0.1056366384416524</v>
      </c>
      <c r="AJ252" s="2">
        <f>All_India_Index_Upto_April23__1[[#This Row],[Food]]/All_India_Index_Upto_April23__1[[#This Row],[TOTAL BROADER CATEGORIES]]</f>
        <v>0.10572417294483576</v>
      </c>
      <c r="AK252" s="2">
        <f>All_India_Index_Upto_April23__1[[#This Row],[Miscellaneous]]/All_India_Index_Upto_April23__1[[#This Row],[TOTAL BROADER CATEGORIES]]</f>
        <v>9.7466751477874189E-2</v>
      </c>
      <c r="AL252" s="2">
        <f>All_India_Index_Upto_April23__1[[#This Row],[Personal care and effects]]/All_India_Index_Upto_April23__1[[#This Row],[TOTAL BROADER CATEGORIES]]</f>
        <v>9.5832774085118533E-2</v>
      </c>
      <c r="AM252" s="2">
        <f>All_India_Index_Upto_April23__1[[#This Row],[Education]]/All_India_Index_Upto_April23__1[[#This Row],[TOTAL BROADER CATEGORIES]]</f>
        <v>0.10367586557034564</v>
      </c>
      <c r="AN252" s="2">
        <f>All_India_Index_Upto_April23__1[[#This Row],[Recreation and amusement]]/All_India_Index_Upto_April23__1[[#This Row],[TOTAL BROADER CATEGORIES]]</f>
        <v>9.8528836783165347E-2</v>
      </c>
      <c r="AO252" s="2">
        <f>All_India_Index_Upto_April23__1[[#This Row],[Transport and communication]]/All_India_Index_Upto_April23__1[[#This Row],[TOTAL BROADER CATEGORIES]]</f>
        <v>9.0604046428300486E-2</v>
      </c>
      <c r="AP252" s="2">
        <f>All_India_Index_Upto_April23__1[[#This Row],[Health]]/All_India_Index_Upto_April23__1[[#This Row],[TOTAL BROADER CATEGORIES]]</f>
        <v>0.10040791078483435</v>
      </c>
      <c r="AQ252" s="2">
        <f>All_India_Index_Upto_April23__1[[#This Row],[Fuel and light]]/All_India_Index_Upto_April23__1[[#This Row],[TOTAL BROADER CATEGORIES]]</f>
        <v>9.9999416436645436E-2</v>
      </c>
      <c r="AR252">
        <f>MONTH(1 &amp; All_India_Index_Upto_April23__1[[#This Row],[Month]])</f>
        <v>3</v>
      </c>
      <c r="AS252" s="19" t="str">
        <f>All_India_Index_Upto_April23__1[[#This Row],[MONTH IN NUM]]&amp;"/"&amp;All_India_Index_Upto_April23__1[[#This Row],[Year]]</f>
        <v>3/2016</v>
      </c>
      <c r="AT25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126.74285714285715</v>
      </c>
      <c r="AU25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1224.007142857143</v>
      </c>
    </row>
    <row r="253" spans="1:47" x14ac:dyDescent="0.3">
      <c r="A253" t="s">
        <v>30</v>
      </c>
      <c r="B253">
        <v>2016</v>
      </c>
      <c r="C253" t="s">
        <v>35</v>
      </c>
      <c r="D253">
        <v>127.3</v>
      </c>
      <c r="E253">
        <v>134.4</v>
      </c>
      <c r="F253">
        <v>125.1</v>
      </c>
      <c r="G253">
        <v>130.5</v>
      </c>
      <c r="H253">
        <v>118.3</v>
      </c>
      <c r="I253">
        <v>131.69999999999999</v>
      </c>
      <c r="J253">
        <v>130.69999999999999</v>
      </c>
      <c r="K253">
        <v>161.19999999999999</v>
      </c>
      <c r="L253">
        <v>100.4</v>
      </c>
      <c r="M253">
        <v>130.80000000000001</v>
      </c>
      <c r="N253">
        <v>124.9</v>
      </c>
      <c r="O253">
        <v>137</v>
      </c>
      <c r="P253">
        <v>130.4</v>
      </c>
      <c r="Q253">
        <v>135</v>
      </c>
      <c r="R253">
        <v>134.4</v>
      </c>
      <c r="S253">
        <v>130.19999999999999</v>
      </c>
      <c r="T253">
        <v>133.80000000000001</v>
      </c>
      <c r="U253">
        <v>140.85</v>
      </c>
      <c r="V253">
        <v>127</v>
      </c>
      <c r="W253">
        <v>127.7</v>
      </c>
      <c r="X253">
        <v>124.8</v>
      </c>
      <c r="Y253">
        <v>113.6</v>
      </c>
      <c r="Z253">
        <v>122.5</v>
      </c>
      <c r="AA253">
        <v>127.5</v>
      </c>
      <c r="AB253">
        <v>117.4</v>
      </c>
      <c r="AC253">
        <v>121.1</v>
      </c>
      <c r="AD253">
        <v>128</v>
      </c>
      <c r="AE253">
        <v>129.83571428571432</v>
      </c>
      <c r="AF253">
        <v>132.80000000000001</v>
      </c>
      <c r="AG253">
        <v>134.27500000000001</v>
      </c>
      <c r="AH253" s="2">
        <f>All_India_Index_Upto_April23__1[[#This Row],[House]]/All_India_Index_Upto_April23__1[[#This Row],[TOTAL BROADER CATEGORIES]]</f>
        <v>0.10735037561353065</v>
      </c>
      <c r="AI253" s="2">
        <f>All_India_Index_Upto_April23__1[[#This Row],[Cloth]]/All_India_Index_Upto_April23__1[[#This Row],[TOTAL BROADER CATEGORIES]]</f>
        <v>0.10617114043177711</v>
      </c>
      <c r="AJ253" s="2">
        <f>All_India_Index_Upto_April23__1[[#This Row],[Food]]/All_India_Index_Upto_April23__1[[#This Row],[TOTAL BROADER CATEGORIES]]</f>
        <v>0.10380124890428211</v>
      </c>
      <c r="AK253" s="2">
        <f>All_India_Index_Upto_April23__1[[#This Row],[Miscellaneous]]/All_India_Index_Upto_April23__1[[#This Row],[TOTAL BROADER CATEGORIES]]</f>
        <v>9.6817207125664204E-2</v>
      </c>
      <c r="AL253" s="2">
        <f>All_India_Index_Upto_April23__1[[#This Row],[Personal care and effects]]/All_India_Index_Upto_April23__1[[#This Row],[TOTAL BROADER CATEGORIES]]</f>
        <v>9.3859125652790906E-2</v>
      </c>
      <c r="AM253" s="2">
        <f>All_India_Index_Upto_April23__1[[#This Row],[Education]]/All_India_Index_Upto_April23__1[[#This Row],[TOTAL BROADER CATEGORIES]]</f>
        <v>0.10193388859225588</v>
      </c>
      <c r="AN253" s="2">
        <f>All_India_Index_Upto_April23__1[[#This Row],[Recreation and amusement]]/All_India_Index_Upto_April23__1[[#This Row],[TOTAL BROADER CATEGORIES]]</f>
        <v>9.7936481196481143E-2</v>
      </c>
      <c r="AO253" s="2">
        <f>All_India_Index_Upto_April23__1[[#This Row],[Transport and communication]]/All_India_Index_Upto_April23__1[[#This Row],[TOTAL BROADER CATEGORIES]]</f>
        <v>9.0821096032002099E-2</v>
      </c>
      <c r="AP253" s="2">
        <f>All_India_Index_Upto_April23__1[[#This Row],[Health]]/All_India_Index_Upto_April23__1[[#This Row],[TOTAL BROADER CATEGORIES]]</f>
        <v>9.9775288598537515E-2</v>
      </c>
      <c r="AQ253" s="2">
        <f>All_India_Index_Upto_April23__1[[#This Row],[Fuel and light]]/All_India_Index_Upto_April23__1[[#This Row],[TOTAL BROADER CATEGORIES]]</f>
        <v>0.10153414785267841</v>
      </c>
      <c r="AR253">
        <f>MONTH(1 &amp; All_India_Index_Upto_April23__1[[#This Row],[Month]])</f>
        <v>3</v>
      </c>
      <c r="AS253" s="19" t="str">
        <f>All_India_Index_Upto_April23__1[[#This Row],[MONTH IN NUM]]&amp;"/"&amp;All_India_Index_Upto_April23__1[[#This Row],[Year]]</f>
        <v>3/2016</v>
      </c>
      <c r="AT25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131.63571428571427</v>
      </c>
      <c r="AU25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1250.8107142857143</v>
      </c>
    </row>
    <row r="254" spans="1:47" x14ac:dyDescent="0.3">
      <c r="A254" t="s">
        <v>30</v>
      </c>
      <c r="B254">
        <v>2016</v>
      </c>
      <c r="C254" t="s">
        <v>34</v>
      </c>
      <c r="D254">
        <v>127.1</v>
      </c>
      <c r="E254">
        <v>133.69999999999999</v>
      </c>
      <c r="F254">
        <v>127.7</v>
      </c>
      <c r="G254">
        <v>130.69999999999999</v>
      </c>
      <c r="H254">
        <v>118.5</v>
      </c>
      <c r="I254">
        <v>130.4</v>
      </c>
      <c r="J254">
        <v>130.9</v>
      </c>
      <c r="K254">
        <v>162.80000000000001</v>
      </c>
      <c r="L254">
        <v>98.7</v>
      </c>
      <c r="M254">
        <v>130.6</v>
      </c>
      <c r="N254">
        <v>124.8</v>
      </c>
      <c r="O254">
        <v>136.4</v>
      </c>
      <c r="P254">
        <v>130.30000000000001</v>
      </c>
      <c r="Q254">
        <v>134.4</v>
      </c>
      <c r="R254">
        <v>133.9</v>
      </c>
      <c r="S254">
        <v>129.80000000000001</v>
      </c>
      <c r="T254">
        <v>133.4</v>
      </c>
      <c r="U254">
        <v>140.85</v>
      </c>
      <c r="V254">
        <v>127.5</v>
      </c>
      <c r="W254">
        <v>127.1</v>
      </c>
      <c r="X254">
        <v>124.3</v>
      </c>
      <c r="Y254">
        <v>113.9</v>
      </c>
      <c r="Z254">
        <v>122.3</v>
      </c>
      <c r="AA254">
        <v>127.1</v>
      </c>
      <c r="AB254">
        <v>116.8</v>
      </c>
      <c r="AC254">
        <v>120.9</v>
      </c>
      <c r="AD254">
        <v>127.9</v>
      </c>
      <c r="AE254">
        <v>129.78571428571428</v>
      </c>
      <c r="AF254">
        <v>132.36666666666667</v>
      </c>
      <c r="AG254">
        <v>133.97499999999999</v>
      </c>
      <c r="AH254" s="2">
        <f>All_India_Index_Upto_April23__1[[#This Row],[House]]/All_India_Index_Upto_April23__1[[#This Row],[TOTAL BROADER CATEGORIES]]</f>
        <v>0.10727204963497249</v>
      </c>
      <c r="AI254" s="2">
        <f>All_India_Index_Upto_April23__1[[#This Row],[Cloth]]/All_India_Index_Upto_April23__1[[#This Row],[TOTAL BROADER CATEGORIES]]</f>
        <v>0.10598427793754452</v>
      </c>
      <c r="AJ254" s="2">
        <f>All_India_Index_Upto_April23__1[[#This Row],[Food]]/All_India_Index_Upto_April23__1[[#This Row],[TOTAL BROADER CATEGORIES]]</f>
        <v>0.10391774274877776</v>
      </c>
      <c r="AK254" s="2">
        <f>All_India_Index_Upto_April23__1[[#This Row],[Miscellaneous]]/All_India_Index_Upto_April23__1[[#This Row],[TOTAL BROADER CATEGORIES]]</f>
        <v>9.6803066250182312E-2</v>
      </c>
      <c r="AL254" s="2">
        <f>All_India_Index_Upto_April23__1[[#This Row],[Personal care and effects]]/All_India_Index_Upto_April23__1[[#This Row],[TOTAL BROADER CATEGORIES]]</f>
        <v>9.3520249280573148E-2</v>
      </c>
      <c r="AM254" s="2">
        <f>All_India_Index_Upto_April23__1[[#This Row],[Education]]/All_India_Index_Upto_April23__1[[#This Row],[TOTAL BROADER CATEGORIES]]</f>
        <v>0.10176732605788395</v>
      </c>
      <c r="AN254" s="2">
        <f>All_India_Index_Upto_April23__1[[#This Row],[Recreation and amusement]]/All_India_Index_Upto_April23__1[[#This Row],[TOTAL BROADER CATEGORIES]]</f>
        <v>9.7924028142243963E-2</v>
      </c>
      <c r="AO254" s="2">
        <f>All_India_Index_Upto_April23__1[[#This Row],[Transport and communication]]/All_India_Index_Upto_April23__1[[#This Row],[TOTAL BROADER CATEGORIES]]</f>
        <v>9.1198256789873991E-2</v>
      </c>
      <c r="AP254" s="2">
        <f>All_India_Index_Upto_April23__1[[#This Row],[Health]]/All_India_Index_Upto_April23__1[[#This Row],[TOTAL BROADER CATEGORIES]]</f>
        <v>9.9525402273760624E-2</v>
      </c>
      <c r="AQ254" s="2">
        <f>All_India_Index_Upto_April23__1[[#This Row],[Fuel and light]]/All_India_Index_Upto_April23__1[[#This Row],[TOTAL BROADER CATEGORIES]]</f>
        <v>0.10208760088418729</v>
      </c>
      <c r="AR254">
        <f>MONTH(1 &amp; All_India_Index_Upto_April23__1[[#This Row],[Month]])</f>
        <v>2</v>
      </c>
      <c r="AS254" s="19" t="str">
        <f>All_India_Index_Upto_April23__1[[#This Row],[MONTH IN NUM]]&amp;"/"&amp;All_India_Index_Upto_April23__1[[#This Row],[Year]]</f>
        <v>2/2016</v>
      </c>
      <c r="AT25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131.37857142857143</v>
      </c>
      <c r="AU25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1248.9273809523809</v>
      </c>
    </row>
    <row r="255" spans="1:47" x14ac:dyDescent="0.3">
      <c r="A255" t="s">
        <v>32</v>
      </c>
      <c r="B255">
        <v>2016</v>
      </c>
      <c r="C255" t="s">
        <v>34</v>
      </c>
      <c r="D255">
        <v>124.8</v>
      </c>
      <c r="E255">
        <v>135.1</v>
      </c>
      <c r="F255">
        <v>130.30000000000001</v>
      </c>
      <c r="G255">
        <v>129.6</v>
      </c>
      <c r="H255">
        <v>108.4</v>
      </c>
      <c r="I255">
        <v>118.6</v>
      </c>
      <c r="J255">
        <v>129.19999999999999</v>
      </c>
      <c r="K255">
        <v>176.4</v>
      </c>
      <c r="L255">
        <v>99.1</v>
      </c>
      <c r="M255">
        <v>139.69999999999999</v>
      </c>
      <c r="N255">
        <v>120.6</v>
      </c>
      <c r="O255">
        <v>135.19999999999999</v>
      </c>
      <c r="P255">
        <v>129.1</v>
      </c>
      <c r="Q255">
        <v>140</v>
      </c>
      <c r="R255">
        <v>126.2</v>
      </c>
      <c r="S255">
        <v>120.1</v>
      </c>
      <c r="T255">
        <v>125.3</v>
      </c>
      <c r="U255">
        <v>124.4</v>
      </c>
      <c r="V255">
        <v>116</v>
      </c>
      <c r="W255">
        <v>121.8</v>
      </c>
      <c r="X255">
        <v>119.5</v>
      </c>
      <c r="Y255">
        <v>109.1</v>
      </c>
      <c r="Z255">
        <v>118.8</v>
      </c>
      <c r="AA255">
        <v>126.3</v>
      </c>
      <c r="AB255">
        <v>116.2</v>
      </c>
      <c r="AC255">
        <v>117.2</v>
      </c>
      <c r="AD255">
        <v>123.8</v>
      </c>
      <c r="AE255">
        <v>129.72142857142856</v>
      </c>
      <c r="AF255">
        <v>123.86666666666667</v>
      </c>
      <c r="AG255">
        <v>123.1</v>
      </c>
      <c r="AH255" s="2">
        <f>All_India_Index_Upto_April23__1[[#This Row],[House]]/All_India_Index_Upto_April23__1[[#This Row],[TOTAL BROADER CATEGORIES]]</f>
        <v>0.10260145144678326</v>
      </c>
      <c r="AI255" s="2">
        <f>All_India_Index_Upto_April23__1[[#This Row],[Cloth]]/All_India_Index_Upto_April23__1[[#This Row],[TOTAL BROADER CATEGORIES]]</f>
        <v>0.10324045317526311</v>
      </c>
      <c r="AJ255" s="2">
        <f>All_India_Index_Upto_April23__1[[#This Row],[Food]]/All_India_Index_Upto_April23__1[[#This Row],[TOTAL BROADER CATEGORIES]]</f>
        <v>0.10812028314523794</v>
      </c>
      <c r="AK255" s="2">
        <f>All_India_Index_Upto_April23__1[[#This Row],[Miscellaneous]]/All_India_Index_Upto_April23__1[[#This Row],[TOTAL BROADER CATEGORIES]]</f>
        <v>9.7683916405873275E-2</v>
      </c>
      <c r="AL255" s="2">
        <f>All_India_Index_Upto_April23__1[[#This Row],[Personal care and effects]]/All_India_Index_Upto_April23__1[[#This Row],[TOTAL BROADER CATEGORIES]]</f>
        <v>9.6850435890464798E-2</v>
      </c>
      <c r="AM255" s="2">
        <f>All_India_Index_Upto_April23__1[[#This Row],[Education]]/All_India_Index_Upto_April23__1[[#This Row],[TOTAL BROADER CATEGORIES]]</f>
        <v>0.10526858909609038</v>
      </c>
      <c r="AN255" s="2">
        <f>All_India_Index_Upto_April23__1[[#This Row],[Recreation and amusement]]/All_India_Index_Upto_April23__1[[#This Row],[TOTAL BROADER CATEGORIES]]</f>
        <v>9.9017485230526822E-2</v>
      </c>
      <c r="AO255" s="2">
        <f>All_India_Index_Upto_April23__1[[#This Row],[Transport and communication]]/All_India_Index_Upto_April23__1[[#This Row],[TOTAL BROADER CATEGORIES]]</f>
        <v>9.0932724231064618E-2</v>
      </c>
      <c r="AP255" s="2">
        <f>All_India_Index_Upto_April23__1[[#This Row],[Health]]/All_India_Index_Upto_April23__1[[#This Row],[TOTAL BROADER CATEGORIES]]</f>
        <v>9.9600921591312758E-2</v>
      </c>
      <c r="AQ255" s="2">
        <f>All_India_Index_Upto_April23__1[[#This Row],[Fuel and light]]/All_India_Index_Upto_April23__1[[#This Row],[TOTAL BROADER CATEGORIES]]</f>
        <v>9.6683739787383094E-2</v>
      </c>
      <c r="AR255">
        <f>MONTH(1 &amp; All_India_Index_Upto_April23__1[[#This Row],[Month]])</f>
        <v>2</v>
      </c>
      <c r="AS255" s="19" t="str">
        <f>All_India_Index_Upto_April23__1[[#This Row],[MONTH IN NUM]]&amp;"/"&amp;All_India_Index_Upto_April23__1[[#This Row],[Year]]</f>
        <v>2/2016</v>
      </c>
      <c r="AT25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122.87142857142858</v>
      </c>
      <c r="AU25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1199.7880952380951</v>
      </c>
    </row>
    <row r="256" spans="1:47" x14ac:dyDescent="0.3">
      <c r="A256" t="s">
        <v>33</v>
      </c>
      <c r="B256">
        <v>2016</v>
      </c>
      <c r="C256" t="s">
        <v>34</v>
      </c>
      <c r="D256">
        <v>126.4</v>
      </c>
      <c r="E256">
        <v>134.19999999999999</v>
      </c>
      <c r="F256">
        <v>128.69999999999999</v>
      </c>
      <c r="G256">
        <v>130.30000000000001</v>
      </c>
      <c r="H256">
        <v>114.8</v>
      </c>
      <c r="I256">
        <v>124.9</v>
      </c>
      <c r="J256">
        <v>130.30000000000001</v>
      </c>
      <c r="K256">
        <v>167.4</v>
      </c>
      <c r="L256">
        <v>98.8</v>
      </c>
      <c r="M256">
        <v>133.6</v>
      </c>
      <c r="N256">
        <v>123</v>
      </c>
      <c r="O256">
        <v>135.80000000000001</v>
      </c>
      <c r="P256">
        <v>129.9</v>
      </c>
      <c r="Q256">
        <v>135.9</v>
      </c>
      <c r="R256">
        <v>130.9</v>
      </c>
      <c r="S256">
        <v>125.8</v>
      </c>
      <c r="T256">
        <v>130.19999999999999</v>
      </c>
      <c r="U256">
        <v>124.4</v>
      </c>
      <c r="V256">
        <v>123.1</v>
      </c>
      <c r="W256">
        <v>124.6</v>
      </c>
      <c r="X256">
        <v>122.5</v>
      </c>
      <c r="Y256">
        <v>111.4</v>
      </c>
      <c r="Z256">
        <v>120.3</v>
      </c>
      <c r="AA256">
        <v>126.6</v>
      </c>
      <c r="AB256">
        <v>116.6</v>
      </c>
      <c r="AC256">
        <v>119.1</v>
      </c>
      <c r="AD256">
        <v>126</v>
      </c>
      <c r="AE256">
        <v>129.57142857142858</v>
      </c>
      <c r="AF256">
        <v>128.96666666666667</v>
      </c>
      <c r="AG256">
        <v>124.5</v>
      </c>
      <c r="AH256" s="2">
        <f>All_India_Index_Upto_April23__1[[#This Row],[House]]/All_India_Index_Upto_April23__1[[#This Row],[TOTAL BROADER CATEGORIES]]</f>
        <v>0.10182898805860864</v>
      </c>
      <c r="AI256" s="2">
        <f>All_India_Index_Upto_April23__1[[#This Row],[Cloth]]/All_India_Index_Upto_April23__1[[#This Row],[TOTAL BROADER CATEGORIES]]</f>
        <v>0.10548229044143423</v>
      </c>
      <c r="AJ256" s="2">
        <f>All_India_Index_Upto_April23__1[[#This Row],[Food]]/All_India_Index_Upto_April23__1[[#This Row],[TOTAL BROADER CATEGORIES]]</f>
        <v>0.1059769273312198</v>
      </c>
      <c r="AK256" s="2">
        <f>All_India_Index_Upto_April23__1[[#This Row],[Miscellaneous]]/All_India_Index_Upto_April23__1[[#This Row],[TOTAL BROADER CATEGORIES]]</f>
        <v>9.7412309058476212E-2</v>
      </c>
      <c r="AL256" s="2">
        <f>All_India_Index_Upto_April23__1[[#This Row],[Personal care and effects]]/All_India_Index_Upto_April23__1[[#This Row],[TOTAL BROADER CATEGORIES]]</f>
        <v>9.5367550262118614E-2</v>
      </c>
      <c r="AM256" s="2">
        <f>All_India_Index_Upto_April23__1[[#This Row],[Education]]/All_India_Index_Upto_April23__1[[#This Row],[TOTAL BROADER CATEGORIES]]</f>
        <v>0.10354658544754902</v>
      </c>
      <c r="AN256" s="2">
        <f>All_India_Index_Upto_April23__1[[#This Row],[Recreation and amusement]]/All_India_Index_Upto_April23__1[[#This Row],[TOTAL BROADER CATEGORIES]]</f>
        <v>9.8393793280727865E-2</v>
      </c>
      <c r="AO256" s="2">
        <f>All_India_Index_Upto_April23__1[[#This Row],[Transport and communication]]/All_India_Index_Upto_April23__1[[#This Row],[TOTAL BROADER CATEGORIES]]</f>
        <v>9.1114451965694815E-2</v>
      </c>
      <c r="AP256" s="2">
        <f>All_India_Index_Upto_April23__1[[#This Row],[Health]]/All_India_Index_Upto_April23__1[[#This Row],[TOTAL BROADER CATEGORIES]]</f>
        <v>0.10019318102152257</v>
      </c>
      <c r="AQ256" s="2">
        <f>All_India_Index_Upto_April23__1[[#This Row],[Fuel and light]]/All_India_Index_Upto_April23__1[[#This Row],[TOTAL BROADER CATEGORIES]]</f>
        <v>0.10068392313264839</v>
      </c>
      <c r="AR256">
        <f>MONTH(1 &amp; All_India_Index_Upto_April23__1[[#This Row],[Month]])</f>
        <v>2</v>
      </c>
      <c r="AS256" s="19" t="str">
        <f>All_India_Index_Upto_April23__1[[#This Row],[MONTH IN NUM]]&amp;"/"&amp;All_India_Index_Upto_April23__1[[#This Row],[Year]]</f>
        <v>2/2016</v>
      </c>
      <c r="AT25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126.51428571428569</v>
      </c>
      <c r="AU25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1222.638095238095</v>
      </c>
    </row>
    <row r="257" spans="1:47" x14ac:dyDescent="0.3">
      <c r="A257" t="s">
        <v>33</v>
      </c>
      <c r="B257">
        <v>2016</v>
      </c>
      <c r="C257" t="s">
        <v>31</v>
      </c>
      <c r="D257">
        <v>126.1</v>
      </c>
      <c r="E257">
        <v>134.1</v>
      </c>
      <c r="F257">
        <v>128.6</v>
      </c>
      <c r="G257">
        <v>129.9</v>
      </c>
      <c r="H257">
        <v>115.5</v>
      </c>
      <c r="I257">
        <v>125.7</v>
      </c>
      <c r="J257">
        <v>141.5</v>
      </c>
      <c r="K257">
        <v>170.7</v>
      </c>
      <c r="L257">
        <v>97.4</v>
      </c>
      <c r="M257">
        <v>132.9</v>
      </c>
      <c r="N257">
        <v>122.7</v>
      </c>
      <c r="O257">
        <v>135.30000000000001</v>
      </c>
      <c r="P257">
        <v>131.30000000000001</v>
      </c>
      <c r="Q257">
        <v>135.19999999999999</v>
      </c>
      <c r="R257">
        <v>130.30000000000001</v>
      </c>
      <c r="S257">
        <v>125.1</v>
      </c>
      <c r="T257">
        <v>129.5</v>
      </c>
      <c r="U257">
        <v>123.4</v>
      </c>
      <c r="V257">
        <v>122.7</v>
      </c>
      <c r="W257">
        <v>124.2</v>
      </c>
      <c r="X257">
        <v>122</v>
      </c>
      <c r="Y257">
        <v>111.1</v>
      </c>
      <c r="Z257">
        <v>119.8</v>
      </c>
      <c r="AA257">
        <v>126.3</v>
      </c>
      <c r="AB257">
        <v>114.5</v>
      </c>
      <c r="AC257">
        <v>118.5</v>
      </c>
      <c r="AD257">
        <v>126.3</v>
      </c>
      <c r="AE257">
        <v>130.49285714285716</v>
      </c>
      <c r="AF257">
        <v>128.29999999999998</v>
      </c>
      <c r="AG257">
        <v>123.80000000000001</v>
      </c>
      <c r="AH257" s="2">
        <f>All_India_Index_Upto_April23__1[[#This Row],[House]]/All_India_Index_Upto_April23__1[[#This Row],[TOTAL BROADER CATEGORIES]]</f>
        <v>0.10168437479832679</v>
      </c>
      <c r="AI257" s="2">
        <f>All_India_Index_Upto_April23__1[[#This Row],[Cloth]]/All_India_Index_Upto_April23__1[[#This Row],[TOTAL BROADER CATEGORIES]]</f>
        <v>0.10538049504543881</v>
      </c>
      <c r="AJ257" s="2">
        <f>All_India_Index_Upto_April23__1[[#This Row],[Food]]/All_India_Index_Upto_April23__1[[#This Row],[TOTAL BROADER CATEGORIES]]</f>
        <v>0.10718162030871407</v>
      </c>
      <c r="AK257" s="2">
        <f>All_India_Index_Upto_April23__1[[#This Row],[Miscellaneous]]/All_India_Index_Upto_April23__1[[#This Row],[TOTAL BROADER CATEGORIES]]</f>
        <v>9.7331166507283712E-2</v>
      </c>
      <c r="AL257" s="2">
        <f>All_India_Index_Upto_April23__1[[#This Row],[Personal care and effects]]/All_India_Index_Upto_April23__1[[#This Row],[TOTAL BROADER CATEGORIES]]</f>
        <v>9.404572628762857E-2</v>
      </c>
      <c r="AM257" s="2">
        <f>All_India_Index_Upto_April23__1[[#This Row],[Education]]/All_India_Index_Upto_April23__1[[#This Row],[TOTAL BROADER CATEGORIES]]</f>
        <v>0.10373777493561125</v>
      </c>
      <c r="AN257" s="2">
        <f>All_India_Index_Upto_April23__1[[#This Row],[Recreation and amusement]]/All_India_Index_Upto_April23__1[[#This Row],[TOTAL BROADER CATEGORIES]]</f>
        <v>9.8398934578671632E-2</v>
      </c>
      <c r="AO257" s="2">
        <f>All_India_Index_Upto_April23__1[[#This Row],[Transport and communication]]/All_India_Index_Upto_April23__1[[#This Row],[TOTAL BROADER CATEGORIES]]</f>
        <v>9.125310210092169E-2</v>
      </c>
      <c r="AP257" s="2">
        <f>All_India_Index_Upto_April23__1[[#This Row],[Health]]/All_India_Index_Upto_April23__1[[#This Row],[TOTAL BROADER CATEGORIES]]</f>
        <v>0.10020592669948197</v>
      </c>
      <c r="AQ257" s="2">
        <f>All_India_Index_Upto_April23__1[[#This Row],[Fuel and light]]/All_India_Index_Upto_April23__1[[#This Row],[TOTAL BROADER CATEGORIES]]</f>
        <v>0.10078087873792162</v>
      </c>
      <c r="AR257">
        <f>MONTH(1 &amp; All_India_Index_Upto_April23__1[[#This Row],[Month]])</f>
        <v>1</v>
      </c>
      <c r="AS257" s="19" t="str">
        <f>All_India_Index_Upto_April23__1[[#This Row],[MONTH IN NUM]]&amp;"/"&amp;All_India_Index_Upto_April23__1[[#This Row],[Year]]</f>
        <v>1/2016</v>
      </c>
      <c r="AT25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125.92857142857143</v>
      </c>
      <c r="AU25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1217.492857142857</v>
      </c>
    </row>
    <row r="258" spans="1:47" x14ac:dyDescent="0.3">
      <c r="A258" t="s">
        <v>30</v>
      </c>
      <c r="B258">
        <v>2016</v>
      </c>
      <c r="C258" t="s">
        <v>31</v>
      </c>
      <c r="D258">
        <v>126.8</v>
      </c>
      <c r="E258">
        <v>133.19999999999999</v>
      </c>
      <c r="F258">
        <v>126.5</v>
      </c>
      <c r="G258">
        <v>130.30000000000001</v>
      </c>
      <c r="H258">
        <v>118.9</v>
      </c>
      <c r="I258">
        <v>131.6</v>
      </c>
      <c r="J258">
        <v>140.1</v>
      </c>
      <c r="K258">
        <v>163.80000000000001</v>
      </c>
      <c r="L258">
        <v>97.7</v>
      </c>
      <c r="M258">
        <v>129.6</v>
      </c>
      <c r="N258">
        <v>124.3</v>
      </c>
      <c r="O258">
        <v>135.9</v>
      </c>
      <c r="P258">
        <v>131.4</v>
      </c>
      <c r="Q258">
        <v>133.6</v>
      </c>
      <c r="R258">
        <v>133.19999999999999</v>
      </c>
      <c r="S258">
        <v>128.9</v>
      </c>
      <c r="T258">
        <v>132.6</v>
      </c>
      <c r="U258">
        <v>140.85</v>
      </c>
      <c r="V258">
        <v>126.2</v>
      </c>
      <c r="W258">
        <v>126.6</v>
      </c>
      <c r="X258">
        <v>123.7</v>
      </c>
      <c r="Y258">
        <v>113.6</v>
      </c>
      <c r="Z258">
        <v>121.4</v>
      </c>
      <c r="AA258">
        <v>126.2</v>
      </c>
      <c r="AB258">
        <v>114.9</v>
      </c>
      <c r="AC258">
        <v>120.1</v>
      </c>
      <c r="AD258">
        <v>128.1</v>
      </c>
      <c r="AE258">
        <v>130.26428571428571</v>
      </c>
      <c r="AF258">
        <v>131.56666666666669</v>
      </c>
      <c r="AG258">
        <v>133.72499999999999</v>
      </c>
      <c r="AH258" s="2">
        <f>All_India_Index_Upto_April23__1[[#This Row],[House]]/All_India_Index_Upto_April23__1[[#This Row],[TOTAL BROADER CATEGORIES]]</f>
        <v>0.1076989159062734</v>
      </c>
      <c r="AI258" s="2">
        <f>All_India_Index_Upto_April23__1[[#This Row],[Cloth]]/All_India_Index_Upto_April23__1[[#This Row],[TOTAL BROADER CATEGORIES]]</f>
        <v>0.10596064587326259</v>
      </c>
      <c r="AJ258" s="2">
        <f>All_India_Index_Upto_April23__1[[#This Row],[Food]]/All_India_Index_Upto_April23__1[[#This Row],[TOTAL BROADER CATEGORIES]]</f>
        <v>0.10491173941098245</v>
      </c>
      <c r="AK258" s="2">
        <f>All_India_Index_Upto_April23__1[[#This Row],[Miscellaneous]]/All_India_Index_Upto_April23__1[[#This Row],[TOTAL BROADER CATEGORIES]]</f>
        <v>9.6725666856185721E-2</v>
      </c>
      <c r="AL258" s="2">
        <f>All_India_Index_Upto_April23__1[[#This Row],[Personal care and effects]]/All_India_Index_Upto_April23__1[[#This Row],[TOTAL BROADER CATEGORIES]]</f>
        <v>9.253771125541832E-2</v>
      </c>
      <c r="AM258" s="2">
        <f>All_India_Index_Upto_April23__1[[#This Row],[Education]]/All_India_Index_Upto_April23__1[[#This Row],[TOTAL BROADER CATEGORIES]]</f>
        <v>0.10163846092631672</v>
      </c>
      <c r="AN258" s="2">
        <f>All_India_Index_Upto_April23__1[[#This Row],[Recreation and amusement]]/All_India_Index_Upto_April23__1[[#This Row],[TOTAL BROADER CATEGORIES]]</f>
        <v>9.7772655756377572E-2</v>
      </c>
      <c r="AO258" s="2">
        <f>All_India_Index_Upto_April23__1[[#This Row],[Transport and communication]]/All_India_Index_Upto_April23__1[[#This Row],[TOTAL BROADER CATEGORIES]]</f>
        <v>9.1490722355226456E-2</v>
      </c>
      <c r="AP258" s="2">
        <f>All_India_Index_Upto_April23__1[[#This Row],[Health]]/All_India_Index_Upto_April23__1[[#This Row],[TOTAL BROADER CATEGORIES]]</f>
        <v>9.9625020733640088E-2</v>
      </c>
      <c r="AQ258" s="2">
        <f>All_India_Index_Upto_April23__1[[#This Row],[Fuel and light]]/All_India_Index_Upto_April23__1[[#This Row],[TOTAL BROADER CATEGORIES]]</f>
        <v>0.10163846092631672</v>
      </c>
      <c r="AR258">
        <f>MONTH(1 &amp; All_India_Index_Upto_April23__1[[#This Row],[Month]])</f>
        <v>1</v>
      </c>
      <c r="AS258" s="19" t="str">
        <f>All_India_Index_Upto_April23__1[[#This Row],[MONTH IN NUM]]&amp;"/"&amp;All_India_Index_Upto_April23__1[[#This Row],[Year]]</f>
        <v>1/2016</v>
      </c>
      <c r="AT25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130.65</v>
      </c>
      <c r="AU25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1241.6559523809524</v>
      </c>
    </row>
    <row r="259" spans="1:47" x14ac:dyDescent="0.3">
      <c r="A259" t="s">
        <v>32</v>
      </c>
      <c r="B259">
        <v>2016</v>
      </c>
      <c r="C259" t="s">
        <v>31</v>
      </c>
      <c r="D259">
        <v>124.7</v>
      </c>
      <c r="E259">
        <v>135.9</v>
      </c>
      <c r="F259">
        <v>132</v>
      </c>
      <c r="G259">
        <v>129.19999999999999</v>
      </c>
      <c r="H259">
        <v>109.7</v>
      </c>
      <c r="I259">
        <v>119</v>
      </c>
      <c r="J259">
        <v>144.1</v>
      </c>
      <c r="K259">
        <v>184.2</v>
      </c>
      <c r="L259">
        <v>96.7</v>
      </c>
      <c r="M259">
        <v>139.5</v>
      </c>
      <c r="N259">
        <v>120.5</v>
      </c>
      <c r="O259">
        <v>134.69999999999999</v>
      </c>
      <c r="P259">
        <v>131.19999999999999</v>
      </c>
      <c r="Q259">
        <v>139.5</v>
      </c>
      <c r="R259">
        <v>125.8</v>
      </c>
      <c r="S259">
        <v>119.8</v>
      </c>
      <c r="T259">
        <v>124.9</v>
      </c>
      <c r="U259">
        <v>123.4</v>
      </c>
      <c r="V259">
        <v>116.9</v>
      </c>
      <c r="W259">
        <v>121.6</v>
      </c>
      <c r="X259">
        <v>119.1</v>
      </c>
      <c r="Y259">
        <v>108.9</v>
      </c>
      <c r="Z259">
        <v>118.5</v>
      </c>
      <c r="AA259">
        <v>126.4</v>
      </c>
      <c r="AB259">
        <v>114</v>
      </c>
      <c r="AC259">
        <v>116.8</v>
      </c>
      <c r="AD259">
        <v>124.2</v>
      </c>
      <c r="AE259">
        <v>131.49285714285716</v>
      </c>
      <c r="AF259">
        <v>123.5</v>
      </c>
      <c r="AG259">
        <v>122.5</v>
      </c>
      <c r="AH259" s="2">
        <f>All_India_Index_Upto_April23__1[[#This Row],[House]]/All_India_Index_Upto_April23__1[[#This Row],[TOTAL BROADER CATEGORIES]]</f>
        <v>0.10224583117216052</v>
      </c>
      <c r="AI259" s="2">
        <f>All_India_Index_Upto_April23__1[[#This Row],[Cloth]]/All_India_Index_Upto_April23__1[[#This Row],[TOTAL BROADER CATEGORIES]]</f>
        <v>0.10308049101846387</v>
      </c>
      <c r="AJ259" s="2">
        <f>All_India_Index_Upto_April23__1[[#This Row],[Food]]/All_India_Index_Upto_April23__1[[#This Row],[TOTAL BROADER CATEGORIES]]</f>
        <v>0.10975180793284567</v>
      </c>
      <c r="AK259" s="2">
        <f>All_India_Index_Upto_April23__1[[#This Row],[Miscellaneous]]/All_India_Index_Upto_April23__1[[#This Row],[TOTAL BROADER CATEGORIES]]</f>
        <v>9.7488270048231407E-2</v>
      </c>
      <c r="AL259" s="2">
        <f>All_India_Index_Upto_April23__1[[#This Row],[Personal care and effects]]/All_India_Index_Upto_April23__1[[#This Row],[TOTAL BROADER CATEGORIES]]</f>
        <v>9.5151222478582029E-2</v>
      </c>
      <c r="AM259" s="2">
        <f>All_India_Index_Upto_April23__1[[#This Row],[Education]]/All_India_Index_Upto_April23__1[[#This Row],[TOTAL BROADER CATEGORIES]]</f>
        <v>0.10550100457274358</v>
      </c>
      <c r="AN259" s="2">
        <f>All_India_Index_Upto_April23__1[[#This Row],[Recreation and amusement]]/All_India_Index_Upto_April23__1[[#This Row],[TOTAL BROADER CATEGORIES]]</f>
        <v>9.890719178694711E-2</v>
      </c>
      <c r="AO259" s="2">
        <f>All_India_Index_Upto_April23__1[[#This Row],[Transport and communication]]/All_India_Index_Upto_April23__1[[#This Row],[TOTAL BROADER CATEGORIES]]</f>
        <v>9.0894457262434947E-2</v>
      </c>
      <c r="AP259" s="2">
        <f>All_India_Index_Upto_April23__1[[#This Row],[Health]]/All_India_Index_Upto_April23__1[[#This Row],[TOTAL BROADER CATEGORIES]]</f>
        <v>9.9407987694729111E-2</v>
      </c>
      <c r="AQ259" s="2">
        <f>All_India_Index_Upto_April23__1[[#This Row],[Fuel and light]]/All_India_Index_Upto_April23__1[[#This Row],[TOTAL BROADER CATEGORIES]]</f>
        <v>9.7571736032861761E-2</v>
      </c>
      <c r="AR259">
        <f>MONTH(1 &amp; All_India_Index_Upto_April23__1[[#This Row],[Month]])</f>
        <v>1</v>
      </c>
      <c r="AS259" s="19" t="str">
        <f>All_India_Index_Upto_April23__1[[#This Row],[MONTH IN NUM]]&amp;"/"&amp;All_India_Index_Upto_April23__1[[#This Row],[Year]]</f>
        <v>1/2016</v>
      </c>
      <c r="AT25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122.68571428571427</v>
      </c>
      <c r="AU25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1198.0928571428572</v>
      </c>
    </row>
    <row r="260" spans="1:47" x14ac:dyDescent="0.3">
      <c r="A260" t="s">
        <v>32</v>
      </c>
      <c r="B260">
        <v>2015</v>
      </c>
      <c r="C260" t="s">
        <v>44</v>
      </c>
      <c r="D260">
        <v>124.3</v>
      </c>
      <c r="E260">
        <v>131.69999999999999</v>
      </c>
      <c r="F260">
        <v>127.1</v>
      </c>
      <c r="G260">
        <v>128.6</v>
      </c>
      <c r="H260">
        <v>110</v>
      </c>
      <c r="I260">
        <v>120.8</v>
      </c>
      <c r="J260">
        <v>149</v>
      </c>
      <c r="K260">
        <v>190.1</v>
      </c>
      <c r="L260">
        <v>92.7</v>
      </c>
      <c r="M260">
        <v>138.6</v>
      </c>
      <c r="N260">
        <v>120.2</v>
      </c>
      <c r="O260">
        <v>134.19999999999999</v>
      </c>
      <c r="P260">
        <v>131.5</v>
      </c>
      <c r="Q260">
        <v>138.19999999999999</v>
      </c>
      <c r="R260">
        <v>125.4</v>
      </c>
      <c r="S260">
        <v>119.5</v>
      </c>
      <c r="T260">
        <v>124.5</v>
      </c>
      <c r="U260">
        <v>122.4</v>
      </c>
      <c r="V260">
        <v>116</v>
      </c>
      <c r="W260">
        <v>121</v>
      </c>
      <c r="X260">
        <v>118.6</v>
      </c>
      <c r="Y260">
        <v>109.3</v>
      </c>
      <c r="Z260">
        <v>118.1</v>
      </c>
      <c r="AA260">
        <v>126.6</v>
      </c>
      <c r="AB260">
        <v>113.2</v>
      </c>
      <c r="AC260">
        <v>116.7</v>
      </c>
      <c r="AD260">
        <v>124</v>
      </c>
      <c r="AE260">
        <v>131.21428571428572</v>
      </c>
      <c r="AF260">
        <v>123.13333333333333</v>
      </c>
      <c r="AG260">
        <v>121.7</v>
      </c>
      <c r="AH260" s="2">
        <f>All_India_Index_Upto_April23__1[[#This Row],[House]]/All_India_Index_Upto_April23__1[[#This Row],[TOTAL BROADER CATEGORIES]]</f>
        <v>0.10187957186422436</v>
      </c>
      <c r="AI260" s="2">
        <f>All_India_Index_Upto_April23__1[[#This Row],[Cloth]]/All_India_Index_Upto_April23__1[[#This Row],[TOTAL BROADER CATEGORIES]]</f>
        <v>0.10307946821869207</v>
      </c>
      <c r="AJ260" s="2">
        <f>All_India_Index_Upto_April23__1[[#This Row],[Food]]/All_India_Index_Upto_April23__1[[#This Row],[TOTAL BROADER CATEGORIES]]</f>
        <v>0.1098443323832493</v>
      </c>
      <c r="AK260" s="2">
        <f>All_India_Index_Upto_April23__1[[#This Row],[Miscellaneous]]/All_India_Index_Upto_April23__1[[#This Row],[TOTAL BROADER CATEGORIES]]</f>
        <v>9.7693886906778826E-2</v>
      </c>
      <c r="AL260" s="2">
        <f>All_India_Index_Upto_April23__1[[#This Row],[Personal care and effects]]/All_India_Index_Upto_April23__1[[#This Row],[TOTAL BROADER CATEGORIES]]</f>
        <v>9.4763907436566944E-2</v>
      </c>
      <c r="AM260" s="2">
        <f>All_India_Index_Upto_April23__1[[#This Row],[Education]]/All_India_Index_Upto_April23__1[[#This Row],[TOTAL BROADER CATEGORIES]]</f>
        <v>0.10598154312252098</v>
      </c>
      <c r="AN260" s="2">
        <f>All_India_Index_Upto_April23__1[[#This Row],[Recreation and amusement]]/All_India_Index_Upto_April23__1[[#This Row],[TOTAL BROADER CATEGORIES]]</f>
        <v>9.886587869486356E-2</v>
      </c>
      <c r="AO260" s="2">
        <f>All_India_Index_Upto_April23__1[[#This Row],[Transport and communication]]/All_India_Index_Upto_April23__1[[#This Row],[TOTAL BROADER CATEGORIES]]</f>
        <v>9.1499073169759415E-2</v>
      </c>
      <c r="AP260" s="2">
        <f>All_India_Index_Upto_April23__1[[#This Row],[Health]]/All_India_Index_Upto_April23__1[[#This Row],[TOTAL BROADER CATEGORIES]]</f>
        <v>9.9284447190608111E-2</v>
      </c>
      <c r="AQ260" s="2">
        <f>All_India_Index_Upto_April23__1[[#This Row],[Fuel and light]]/All_India_Index_Upto_April23__1[[#This Row],[TOTAL BROADER CATEGORIES]]</f>
        <v>9.7107891012736439E-2</v>
      </c>
      <c r="AR260">
        <f>MONTH(1 &amp; All_India_Index_Upto_April23__1[[#This Row],[Month]])</f>
        <v>12</v>
      </c>
      <c r="AS260" s="19" t="str">
        <f>All_India_Index_Upto_April23__1[[#This Row],[MONTH IN NUM]]&amp;"/"&amp;All_India_Index_Upto_April23__1[[#This Row],[Year]]</f>
        <v>12/2015</v>
      </c>
      <c r="AT26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122.2</v>
      </c>
      <c r="AU26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1194.547619047619</v>
      </c>
    </row>
    <row r="261" spans="1:47" x14ac:dyDescent="0.3">
      <c r="A261" t="s">
        <v>33</v>
      </c>
      <c r="B261">
        <v>2015</v>
      </c>
      <c r="C261" t="s">
        <v>44</v>
      </c>
      <c r="D261">
        <v>125.7</v>
      </c>
      <c r="E261">
        <v>131.4</v>
      </c>
      <c r="F261">
        <v>124.8</v>
      </c>
      <c r="G261">
        <v>129.4</v>
      </c>
      <c r="H261">
        <v>115.3</v>
      </c>
      <c r="I261">
        <v>126.6</v>
      </c>
      <c r="J261">
        <v>146.69999999999999</v>
      </c>
      <c r="K261">
        <v>171.5</v>
      </c>
      <c r="L261">
        <v>94.5</v>
      </c>
      <c r="M261">
        <v>132.1</v>
      </c>
      <c r="N261">
        <v>122</v>
      </c>
      <c r="O261">
        <v>134.69999999999999</v>
      </c>
      <c r="P261">
        <v>131.4</v>
      </c>
      <c r="Q261">
        <v>134.5</v>
      </c>
      <c r="R261">
        <v>129.69999999999999</v>
      </c>
      <c r="S261">
        <v>124.8</v>
      </c>
      <c r="T261">
        <v>129</v>
      </c>
      <c r="U261">
        <v>122.4</v>
      </c>
      <c r="V261">
        <v>122</v>
      </c>
      <c r="W261">
        <v>123.6</v>
      </c>
      <c r="X261">
        <v>121.4</v>
      </c>
      <c r="Y261">
        <v>111.5</v>
      </c>
      <c r="Z261">
        <v>119.6</v>
      </c>
      <c r="AA261">
        <v>126.2</v>
      </c>
      <c r="AB261">
        <v>113.7</v>
      </c>
      <c r="AC261">
        <v>118.3</v>
      </c>
      <c r="AD261">
        <v>126.1</v>
      </c>
      <c r="AE261">
        <v>130.04285714285714</v>
      </c>
      <c r="AF261">
        <v>127.83333333333333</v>
      </c>
      <c r="AG261">
        <v>123</v>
      </c>
      <c r="AH261" s="2">
        <f>All_India_Index_Upto_April23__1[[#This Row],[House]]/All_India_Index_Upto_April23__1[[#This Row],[TOTAL BROADER CATEGORIES]]</f>
        <v>0.10135333979462509</v>
      </c>
      <c r="AI261" s="2">
        <f>All_India_Index_Upto_April23__1[[#This Row],[Cloth]]/All_India_Index_Upto_April23__1[[#This Row],[TOTAL BROADER CATEGORIES]]</f>
        <v>0.10533605910904803</v>
      </c>
      <c r="AJ261" s="2">
        <f>All_India_Index_Upto_April23__1[[#This Row],[Food]]/All_India_Index_Upto_April23__1[[#This Row],[TOTAL BROADER CATEGORIES]]</f>
        <v>0.10715673079564138</v>
      </c>
      <c r="AK261" s="2">
        <f>All_India_Index_Upto_April23__1[[#This Row],[Miscellaneous]]/All_India_Index_Upto_April23__1[[#This Row],[TOTAL BROADER CATEGORIES]]</f>
        <v>9.7480488599220719E-2</v>
      </c>
      <c r="AL261" s="2">
        <f>All_India_Index_Upto_April23__1[[#This Row],[Personal care and effects]]/All_India_Index_Upto_April23__1[[#This Row],[TOTAL BROADER CATEGORIES]]</f>
        <v>9.3690038493080274E-2</v>
      </c>
      <c r="AM261" s="2">
        <f>All_India_Index_Upto_April23__1[[#This Row],[Education]]/All_India_Index_Upto_April23__1[[#This Row],[TOTAL BROADER CATEGORIES]]</f>
        <v>0.10399017465107062</v>
      </c>
      <c r="AN261" s="2">
        <f>All_India_Index_Upto_April23__1[[#This Row],[Recreation and amusement]]/All_India_Index_Upto_April23__1[[#This Row],[TOTAL BROADER CATEGORIES]]</f>
        <v>9.8551702759651708E-2</v>
      </c>
      <c r="AO261" s="2">
        <f>All_India_Index_Upto_April23__1[[#This Row],[Transport and communication]]/All_India_Index_Upto_April23__1[[#This Row],[TOTAL BROADER CATEGORIES]]</f>
        <v>9.1877214529273971E-2</v>
      </c>
      <c r="AP261" s="2">
        <f>All_India_Index_Upto_April23__1[[#This Row],[Health]]/All_India_Index_Upto_April23__1[[#This Row],[TOTAL BROADER CATEGORIES]]</f>
        <v>0.10003492236640234</v>
      </c>
      <c r="AQ261" s="2">
        <f>All_India_Index_Upto_April23__1[[#This Row],[Fuel and light]]/All_India_Index_Upto_April23__1[[#This Row],[TOTAL BROADER CATEGORIES]]</f>
        <v>0.10052932890198586</v>
      </c>
      <c r="AR261">
        <f>MONTH(1 &amp; All_India_Index_Upto_April23__1[[#This Row],[Month]])</f>
        <v>12</v>
      </c>
      <c r="AS261" s="19" t="str">
        <f>All_India_Index_Upto_April23__1[[#This Row],[MONTH IN NUM]]&amp;"/"&amp;All_India_Index_Upto_April23__1[[#This Row],[Year]]</f>
        <v>12/2015</v>
      </c>
      <c r="AT26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125.38571428571429</v>
      </c>
      <c r="AU26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1213.5761904761905</v>
      </c>
    </row>
    <row r="262" spans="1:47" x14ac:dyDescent="0.3">
      <c r="A262" t="s">
        <v>30</v>
      </c>
      <c r="B262">
        <v>2015</v>
      </c>
      <c r="C262" t="s">
        <v>44</v>
      </c>
      <c r="D262">
        <v>126.3</v>
      </c>
      <c r="E262">
        <v>131.30000000000001</v>
      </c>
      <c r="F262">
        <v>123.3</v>
      </c>
      <c r="G262">
        <v>129.80000000000001</v>
      </c>
      <c r="H262">
        <v>118.3</v>
      </c>
      <c r="I262">
        <v>131.6</v>
      </c>
      <c r="J262">
        <v>145.5</v>
      </c>
      <c r="K262">
        <v>162.1</v>
      </c>
      <c r="L262">
        <v>95.4</v>
      </c>
      <c r="M262">
        <v>128.9</v>
      </c>
      <c r="N262">
        <v>123.3</v>
      </c>
      <c r="O262">
        <v>135.1</v>
      </c>
      <c r="P262">
        <v>131.4</v>
      </c>
      <c r="Q262">
        <v>133.1</v>
      </c>
      <c r="R262">
        <v>132.5</v>
      </c>
      <c r="S262">
        <v>128.5</v>
      </c>
      <c r="T262">
        <v>131.9</v>
      </c>
      <c r="U262">
        <v>140.85</v>
      </c>
      <c r="V262">
        <v>125.7</v>
      </c>
      <c r="W262">
        <v>126</v>
      </c>
      <c r="X262">
        <v>123.1</v>
      </c>
      <c r="Y262">
        <v>114</v>
      </c>
      <c r="Z262">
        <v>121.6</v>
      </c>
      <c r="AA262">
        <v>125.6</v>
      </c>
      <c r="AB262">
        <v>114.1</v>
      </c>
      <c r="AC262">
        <v>119.8</v>
      </c>
      <c r="AD262">
        <v>127.9</v>
      </c>
      <c r="AE262">
        <v>129.67142857142858</v>
      </c>
      <c r="AF262">
        <v>130.96666666666667</v>
      </c>
      <c r="AG262">
        <v>133.42500000000001</v>
      </c>
      <c r="AH262" s="2">
        <f>All_India_Index_Upto_April23__1[[#This Row],[House]]/All_India_Index_Upto_April23__1[[#This Row],[TOTAL BROADER CATEGORIES]]</f>
        <v>0.10777784936661509</v>
      </c>
      <c r="AI262" s="2">
        <f>All_India_Index_Upto_April23__1[[#This Row],[Cloth]]/All_India_Index_Upto_April23__1[[#This Row],[TOTAL BROADER CATEGORIES]]</f>
        <v>0.10579206049876477</v>
      </c>
      <c r="AJ262" s="2">
        <f>All_India_Index_Upto_April23__1[[#This Row],[Food]]/All_India_Index_Upto_April23__1[[#This Row],[TOTAL BROADER CATEGORIES]]</f>
        <v>0.1047457949838877</v>
      </c>
      <c r="AK262" s="2">
        <f>All_India_Index_Upto_April23__1[[#This Row],[Miscellaneous]]/All_India_Index_Upto_April23__1[[#This Row],[TOTAL BROADER CATEGORIES]]</f>
        <v>9.677186699734297E-2</v>
      </c>
      <c r="AL262" s="2">
        <f>All_India_Index_Upto_April23__1[[#This Row],[Personal care and effects]]/All_India_Index_Upto_April23__1[[#This Row],[TOTAL BROADER CATEGORIES]]</f>
        <v>9.2167529419005287E-2</v>
      </c>
      <c r="AM262" s="2">
        <f>All_India_Index_Upto_April23__1[[#This Row],[Education]]/All_India_Index_Upto_April23__1[[#This Row],[TOTAL BROADER CATEGORIES]]</f>
        <v>0.1014569824279322</v>
      </c>
      <c r="AN262" s="2">
        <f>All_India_Index_Upto_April23__1[[#This Row],[Recreation and amusement]]/All_India_Index_Upto_April23__1[[#This Row],[TOTAL BROADER CATEGORIES]]</f>
        <v>9.822586833787067E-2</v>
      </c>
      <c r="AO262" s="2">
        <f>All_India_Index_Upto_April23__1[[#This Row],[Transport and communication]]/All_India_Index_Upto_April23__1[[#This Row],[TOTAL BROADER CATEGORIES]]</f>
        <v>9.208675156675375E-2</v>
      </c>
      <c r="AP262" s="2">
        <f>All_India_Index_Upto_April23__1[[#This Row],[Health]]/All_India_Index_Upto_April23__1[[#This Row],[TOTAL BROADER CATEGORIES]]</f>
        <v>9.9437536121643744E-2</v>
      </c>
      <c r="AQ262" s="2">
        <f>All_India_Index_Upto_April23__1[[#This Row],[Fuel and light]]/All_India_Index_Upto_April23__1[[#This Row],[TOTAL BROADER CATEGORIES]]</f>
        <v>0.10153776028018374</v>
      </c>
      <c r="AR262">
        <f>MONTH(1 &amp; All_India_Index_Upto_April23__1[[#This Row],[Month]])</f>
        <v>12</v>
      </c>
      <c r="AS262" s="19" t="str">
        <f>All_India_Index_Upto_April23__1[[#This Row],[MONTH IN NUM]]&amp;"/"&amp;All_India_Index_Upto_April23__1[[#This Row],[Year]]</f>
        <v>12/2015</v>
      </c>
      <c r="AT26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130.15</v>
      </c>
      <c r="AU26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1237.9630952380953</v>
      </c>
    </row>
    <row r="263" spans="1:47" x14ac:dyDescent="0.3">
      <c r="A263" t="s">
        <v>30</v>
      </c>
      <c r="B263">
        <v>2015</v>
      </c>
      <c r="C263" t="s">
        <v>43</v>
      </c>
      <c r="D263">
        <v>126.1</v>
      </c>
      <c r="E263">
        <v>130.6</v>
      </c>
      <c r="F263">
        <v>121.7</v>
      </c>
      <c r="G263">
        <v>129.5</v>
      </c>
      <c r="H263">
        <v>117.8</v>
      </c>
      <c r="I263">
        <v>132.1</v>
      </c>
      <c r="J263">
        <v>155.19999999999999</v>
      </c>
      <c r="K263">
        <v>160.80000000000001</v>
      </c>
      <c r="L263">
        <v>94.5</v>
      </c>
      <c r="M263">
        <v>128.30000000000001</v>
      </c>
      <c r="N263">
        <v>123.1</v>
      </c>
      <c r="O263">
        <v>134.19999999999999</v>
      </c>
      <c r="P263">
        <v>132.4</v>
      </c>
      <c r="Q263">
        <v>132.19999999999999</v>
      </c>
      <c r="R263">
        <v>132.1</v>
      </c>
      <c r="S263">
        <v>128.19999999999999</v>
      </c>
      <c r="T263">
        <v>131.5</v>
      </c>
      <c r="U263">
        <v>140.85</v>
      </c>
      <c r="V263">
        <v>125.6</v>
      </c>
      <c r="W263">
        <v>125.6</v>
      </c>
      <c r="X263">
        <v>122.6</v>
      </c>
      <c r="Y263">
        <v>114</v>
      </c>
      <c r="Z263">
        <v>120.9</v>
      </c>
      <c r="AA263">
        <v>125.8</v>
      </c>
      <c r="AB263">
        <v>114.2</v>
      </c>
      <c r="AC263">
        <v>119.6</v>
      </c>
      <c r="AD263">
        <v>128.30000000000001</v>
      </c>
      <c r="AE263">
        <v>129.89285714285714</v>
      </c>
      <c r="AF263">
        <v>130.6</v>
      </c>
      <c r="AG263">
        <v>133.22499999999999</v>
      </c>
      <c r="AH263" s="2">
        <f>All_India_Index_Upto_April23__1[[#This Row],[House]]/All_India_Index_Upto_April23__1[[#This Row],[TOTAL BROADER CATEGORIES]]</f>
        <v>0.10775078929049069</v>
      </c>
      <c r="AI263" s="2">
        <f>All_India_Index_Upto_April23__1[[#This Row],[Cloth]]/All_India_Index_Upto_April23__1[[#This Row],[TOTAL BROADER CATEGORIES]]</f>
        <v>0.10562772063304998</v>
      </c>
      <c r="AJ263" s="2">
        <f>All_India_Index_Upto_April23__1[[#This Row],[Food]]/All_India_Index_Upto_April23__1[[#This Row],[TOTAL BROADER CATEGORIES]]</f>
        <v>0.10505579193349453</v>
      </c>
      <c r="AK263" s="2">
        <f>All_India_Index_Upto_April23__1[[#This Row],[Miscellaneous]]/All_India_Index_Upto_April23__1[[#This Row],[TOTAL BROADER CATEGORIES]]</f>
        <v>9.6731051973298454E-2</v>
      </c>
      <c r="AL263" s="2">
        <f>All_India_Index_Upto_April23__1[[#This Row],[Personal care and effects]]/All_India_Index_Upto_April23__1[[#This Row],[TOTAL BROADER CATEGORIES]]</f>
        <v>9.2363596449420438E-2</v>
      </c>
      <c r="AM263" s="2">
        <f>All_India_Index_Upto_April23__1[[#This Row],[Education]]/All_India_Index_Upto_April23__1[[#This Row],[TOTAL BROADER CATEGORIES]]</f>
        <v>0.10174553794515841</v>
      </c>
      <c r="AN263" s="2">
        <f>All_India_Index_Upto_April23__1[[#This Row],[Recreation and amusement]]/All_India_Index_Upto_April23__1[[#This Row],[TOTAL BROADER CATEGORIES]]</f>
        <v>9.7782476451269099E-2</v>
      </c>
      <c r="AO263" s="2">
        <f>All_India_Index_Upto_April23__1[[#This Row],[Transport and communication]]/All_India_Index_Upto_April23__1[[#This Row],[TOTAL BROADER CATEGORIES]]</f>
        <v>9.2201838837424943E-2</v>
      </c>
      <c r="AP263" s="2">
        <f>All_India_Index_Upto_April23__1[[#This Row],[Health]]/All_India_Index_Upto_April23__1[[#This Row],[TOTAL BROADER CATEGORIES]]</f>
        <v>9.915741615323069E-2</v>
      </c>
      <c r="AQ263" s="2">
        <f>All_India_Index_Upto_April23__1[[#This Row],[Fuel and light]]/All_India_Index_Upto_April23__1[[#This Row],[TOTAL BROADER CATEGORIES]]</f>
        <v>0.10158378033316293</v>
      </c>
      <c r="AR263">
        <f>MONTH(1 &amp; All_India_Index_Upto_April23__1[[#This Row],[Month]])</f>
        <v>11</v>
      </c>
      <c r="AS263" s="19" t="str">
        <f>All_India_Index_Upto_April23__1[[#This Row],[MONTH IN NUM]]&amp;"/"&amp;All_India_Index_Upto_April23__1[[#This Row],[Year]]</f>
        <v>11/2015</v>
      </c>
      <c r="AT26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129.94999999999999</v>
      </c>
      <c r="AU26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1236.417857142857</v>
      </c>
    </row>
    <row r="264" spans="1:47" x14ac:dyDescent="0.3">
      <c r="A264" t="s">
        <v>32</v>
      </c>
      <c r="B264">
        <v>2015</v>
      </c>
      <c r="C264" t="s">
        <v>43</v>
      </c>
      <c r="D264">
        <v>124</v>
      </c>
      <c r="E264">
        <v>129.80000000000001</v>
      </c>
      <c r="F264">
        <v>121.5</v>
      </c>
      <c r="G264">
        <v>128.6</v>
      </c>
      <c r="H264">
        <v>110</v>
      </c>
      <c r="I264">
        <v>123.7</v>
      </c>
      <c r="J264">
        <v>164.6</v>
      </c>
      <c r="K264">
        <v>191.6</v>
      </c>
      <c r="L264">
        <v>90.8</v>
      </c>
      <c r="M264">
        <v>137.1</v>
      </c>
      <c r="N264">
        <v>119.8</v>
      </c>
      <c r="O264">
        <v>133.69999999999999</v>
      </c>
      <c r="P264">
        <v>133.30000000000001</v>
      </c>
      <c r="Q264">
        <v>137.6</v>
      </c>
      <c r="R264">
        <v>125</v>
      </c>
      <c r="S264">
        <v>119.3</v>
      </c>
      <c r="T264">
        <v>124.2</v>
      </c>
      <c r="U264">
        <v>122.9</v>
      </c>
      <c r="V264">
        <v>115.1</v>
      </c>
      <c r="W264">
        <v>121</v>
      </c>
      <c r="X264">
        <v>118.1</v>
      </c>
      <c r="Y264">
        <v>109.3</v>
      </c>
      <c r="Z264">
        <v>117.9</v>
      </c>
      <c r="AA264">
        <v>126.6</v>
      </c>
      <c r="AB264">
        <v>113.3</v>
      </c>
      <c r="AC264">
        <v>116.6</v>
      </c>
      <c r="AD264">
        <v>124.6</v>
      </c>
      <c r="AE264">
        <v>131.8642857142857</v>
      </c>
      <c r="AF264">
        <v>122.83333333333333</v>
      </c>
      <c r="AG264">
        <v>121.95</v>
      </c>
      <c r="AH264" s="2">
        <f>All_India_Index_Upto_April23__1[[#This Row],[House]]/All_India_Index_Upto_April23__1[[#This Row],[TOTAL BROADER CATEGORIES]]</f>
        <v>0.10217439007361011</v>
      </c>
      <c r="AI264" s="2">
        <f>All_India_Index_Upto_April23__1[[#This Row],[Cloth]]/All_India_Index_Upto_April23__1[[#This Row],[TOTAL BROADER CATEGORIES]]</f>
        <v>0.10291448063994894</v>
      </c>
      <c r="AJ264" s="2">
        <f>All_India_Index_Upto_April23__1[[#This Row],[Food]]/All_India_Index_Upto_April23__1[[#This Row],[TOTAL BROADER CATEGORIES]]</f>
        <v>0.11048095912545633</v>
      </c>
      <c r="AK264" s="2">
        <f>All_India_Index_Upto_April23__1[[#This Row],[Miscellaneous]]/All_India_Index_Upto_April23__1[[#This Row],[TOTAL BROADER CATEGORIES]]</f>
        <v>9.7691954756727664E-2</v>
      </c>
      <c r="AL264" s="2">
        <f>All_India_Index_Upto_April23__1[[#This Row],[Personal care and effects]]/All_India_Index_Upto_April23__1[[#This Row],[TOTAL BROADER CATEGORIES]]</f>
        <v>9.4927088112669325E-2</v>
      </c>
      <c r="AM264" s="2">
        <f>All_India_Index_Upto_April23__1[[#This Row],[Education]]/All_India_Index_Upto_April23__1[[#This Row],[TOTAL BROADER CATEGORIES]]</f>
        <v>0.10607033852660139</v>
      </c>
      <c r="AN264" s="2">
        <f>All_India_Index_Upto_April23__1[[#This Row],[Recreation and amusement]]/All_India_Index_Upto_April23__1[[#This Row],[TOTAL BROADER CATEGORIES]]</f>
        <v>9.8781144646811245E-2</v>
      </c>
      <c r="AO264" s="2">
        <f>All_India_Index_Upto_April23__1[[#This Row],[Transport and communication]]/All_India_Index_Upto_April23__1[[#This Row],[TOTAL BROADER CATEGORIES]]</f>
        <v>9.1575734604719836E-2</v>
      </c>
      <c r="AP264" s="2">
        <f>All_India_Index_Upto_April23__1[[#This Row],[Health]]/All_India_Index_Upto_April23__1[[#This Row],[TOTAL BROADER CATEGORIES]]</f>
        <v>9.8948712322208712E-2</v>
      </c>
      <c r="AQ264" s="2">
        <f>All_India_Index_Upto_April23__1[[#This Row],[Fuel and light]]/All_India_Index_Upto_April23__1[[#This Row],[TOTAL BROADER CATEGORIES]]</f>
        <v>9.6435197191246602E-2</v>
      </c>
      <c r="AR264">
        <f>MONTH(1 &amp; All_India_Index_Upto_April23__1[[#This Row],[Month]])</f>
        <v>11</v>
      </c>
      <c r="AS264" s="19" t="str">
        <f>All_India_Index_Upto_April23__1[[#This Row],[MONTH IN NUM]]&amp;"/"&amp;All_India_Index_Upto_April23__1[[#This Row],[Year]]</f>
        <v>11/2015</v>
      </c>
      <c r="AT26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122.01428571428572</v>
      </c>
      <c r="AU26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1193.5476190476188</v>
      </c>
    </row>
    <row r="265" spans="1:47" x14ac:dyDescent="0.3">
      <c r="A265" t="s">
        <v>33</v>
      </c>
      <c r="B265">
        <v>2015</v>
      </c>
      <c r="C265" t="s">
        <v>43</v>
      </c>
      <c r="D265">
        <v>125.4</v>
      </c>
      <c r="E265">
        <v>130.30000000000001</v>
      </c>
      <c r="F265">
        <v>121.6</v>
      </c>
      <c r="G265">
        <v>129.19999999999999</v>
      </c>
      <c r="H265">
        <v>114.9</v>
      </c>
      <c r="I265">
        <v>128.19999999999999</v>
      </c>
      <c r="J265">
        <v>158.4</v>
      </c>
      <c r="K265">
        <v>171.2</v>
      </c>
      <c r="L265">
        <v>93.3</v>
      </c>
      <c r="M265">
        <v>131.19999999999999</v>
      </c>
      <c r="N265">
        <v>121.7</v>
      </c>
      <c r="O265">
        <v>134</v>
      </c>
      <c r="P265">
        <v>132.69999999999999</v>
      </c>
      <c r="Q265">
        <v>133.6</v>
      </c>
      <c r="R265">
        <v>129.30000000000001</v>
      </c>
      <c r="S265">
        <v>124.5</v>
      </c>
      <c r="T265">
        <v>128.6</v>
      </c>
      <c r="U265">
        <v>122.9</v>
      </c>
      <c r="V265">
        <v>121.6</v>
      </c>
      <c r="W265">
        <v>123.4</v>
      </c>
      <c r="X265">
        <v>120.9</v>
      </c>
      <c r="Y265">
        <v>111.5</v>
      </c>
      <c r="Z265">
        <v>119.2</v>
      </c>
      <c r="AA265">
        <v>126.3</v>
      </c>
      <c r="AB265">
        <v>113.8</v>
      </c>
      <c r="AC265">
        <v>118.1</v>
      </c>
      <c r="AD265">
        <v>126.6</v>
      </c>
      <c r="AE265">
        <v>130.40714285714284</v>
      </c>
      <c r="AF265">
        <v>127.46666666666665</v>
      </c>
      <c r="AG265">
        <v>123.15</v>
      </c>
      <c r="AH265" s="2">
        <f>All_India_Index_Upto_April23__1[[#This Row],[House]]/All_India_Index_Upto_April23__1[[#This Row],[TOTAL BROADER CATEGORIES]]</f>
        <v>0.10157339292797977</v>
      </c>
      <c r="AI265" s="2">
        <f>All_India_Index_Upto_April23__1[[#This Row],[Cloth]]/All_India_Index_Upto_April23__1[[#This Row],[TOTAL BROADER CATEGORIES]]</f>
        <v>0.105133754109242</v>
      </c>
      <c r="AJ265" s="2">
        <f>All_India_Index_Upto_April23__1[[#This Row],[Food]]/All_India_Index_Upto_April23__1[[#This Row],[TOTAL BROADER CATEGORIES]]</f>
        <v>0.10755904151070857</v>
      </c>
      <c r="AK265" s="2">
        <f>All_India_Index_Upto_April23__1[[#This Row],[Miscellaneous]]/All_India_Index_Upto_April23__1[[#This Row],[TOTAL BROADER CATEGORIES]]</f>
        <v>9.7408182742950961E-2</v>
      </c>
      <c r="AL265" s="2">
        <f>All_India_Index_Upto_April23__1[[#This Row],[Personal care and effects]]/All_India_Index_Upto_April23__1[[#This Row],[TOTAL BROADER CATEGORIES]]</f>
        <v>9.3861568129956136E-2</v>
      </c>
      <c r="AM265" s="2">
        <f>All_India_Index_Upto_April23__1[[#This Row],[Education]]/All_India_Index_Upto_April23__1[[#This Row],[TOTAL BROADER CATEGORIES]]</f>
        <v>0.10417149433052249</v>
      </c>
      <c r="AN265" s="2">
        <f>All_India_Index_Upto_April23__1[[#This Row],[Recreation and amusement]]/All_India_Index_Upto_April23__1[[#This Row],[TOTAL BROADER CATEGORIES]]</f>
        <v>9.8315456248600802E-2</v>
      </c>
      <c r="AO265" s="2">
        <f>All_India_Index_Upto_April23__1[[#This Row],[Transport and communication]]/All_India_Index_Upto_April23__1[[#This Row],[TOTAL BROADER CATEGORIES]]</f>
        <v>9.1964541709051925E-2</v>
      </c>
      <c r="AP265" s="2">
        <f>All_India_Index_Upto_April23__1[[#This Row],[Health]]/All_India_Index_Upto_April23__1[[#This Row],[TOTAL BROADER CATEGORIES]]</f>
        <v>9.9717606211877821E-2</v>
      </c>
      <c r="AQ265" s="2">
        <f>All_India_Index_Upto_April23__1[[#This Row],[Fuel and light]]/All_India_Index_Upto_April23__1[[#This Row],[TOTAL BROADER CATEGORIES]]</f>
        <v>0.10029496207910954</v>
      </c>
      <c r="AR265">
        <f>MONTH(1 &amp; All_India_Index_Upto_April23__1[[#This Row],[Month]])</f>
        <v>11</v>
      </c>
      <c r="AS265" s="19" t="str">
        <f>All_India_Index_Upto_April23__1[[#This Row],[MONTH IN NUM]]&amp;"/"&amp;All_India_Index_Upto_April23__1[[#This Row],[Year]]</f>
        <v>11/2015</v>
      </c>
      <c r="AT26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125.22857142857141</v>
      </c>
      <c r="AU26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1212.4238095238095</v>
      </c>
    </row>
    <row r="266" spans="1:47" x14ac:dyDescent="0.3">
      <c r="A266" t="s">
        <v>33</v>
      </c>
      <c r="B266">
        <v>2015</v>
      </c>
      <c r="C266" t="s">
        <v>42</v>
      </c>
      <c r="D266">
        <v>125</v>
      </c>
      <c r="E266">
        <v>129.80000000000001</v>
      </c>
      <c r="F266">
        <v>118.9</v>
      </c>
      <c r="G266">
        <v>129.1</v>
      </c>
      <c r="H266">
        <v>113.3</v>
      </c>
      <c r="I266">
        <v>129</v>
      </c>
      <c r="J266">
        <v>160.4</v>
      </c>
      <c r="K266">
        <v>165.3</v>
      </c>
      <c r="L266">
        <v>92.3</v>
      </c>
      <c r="M266">
        <v>129.69999999999999</v>
      </c>
      <c r="N266">
        <v>121.1</v>
      </c>
      <c r="O266">
        <v>133</v>
      </c>
      <c r="P266">
        <v>132.1</v>
      </c>
      <c r="Q266">
        <v>132.5</v>
      </c>
      <c r="R266">
        <v>128.5</v>
      </c>
      <c r="S266">
        <v>123.8</v>
      </c>
      <c r="T266">
        <v>127.8</v>
      </c>
      <c r="U266">
        <v>122.4</v>
      </c>
      <c r="V266">
        <v>120.8</v>
      </c>
      <c r="W266">
        <v>123</v>
      </c>
      <c r="X266">
        <v>120.4</v>
      </c>
      <c r="Y266">
        <v>111.4</v>
      </c>
      <c r="Z266">
        <v>118.7</v>
      </c>
      <c r="AA266">
        <v>125.9</v>
      </c>
      <c r="AB266">
        <v>113.9</v>
      </c>
      <c r="AC266">
        <v>117.9</v>
      </c>
      <c r="AD266">
        <v>126.1</v>
      </c>
      <c r="AE266">
        <v>129.39285714285714</v>
      </c>
      <c r="AF266">
        <v>126.7</v>
      </c>
      <c r="AG266">
        <v>122.7</v>
      </c>
      <c r="AH266" s="2">
        <f>All_India_Index_Upto_April23__1[[#This Row],[House]]/All_India_Index_Upto_April23__1[[#This Row],[TOTAL BROADER CATEGORIES]]</f>
        <v>0.10159026796222152</v>
      </c>
      <c r="AI266" s="2">
        <f>All_India_Index_Upto_April23__1[[#This Row],[Cloth]]/All_India_Index_Upto_April23__1[[#This Row],[TOTAL BROADER CATEGORIES]]</f>
        <v>0.10490209413865906</v>
      </c>
      <c r="AJ266" s="2">
        <f>All_India_Index_Upto_April23__1[[#This Row],[Food]]/All_India_Index_Upto_April23__1[[#This Row],[TOTAL BROADER CATEGORIES]]</f>
        <v>0.10713166283243933</v>
      </c>
      <c r="AK266" s="2">
        <f>All_India_Index_Upto_April23__1[[#This Row],[Miscellaneous]]/All_India_Index_Upto_April23__1[[#This Row],[TOTAL BROADER CATEGORIES]]</f>
        <v>9.7616076550496478E-2</v>
      </c>
      <c r="AL266" s="2">
        <f>All_India_Index_Upto_April23__1[[#This Row],[Personal care and effects]]/All_India_Index_Upto_April23__1[[#This Row],[TOTAL BROADER CATEGORIES]]</f>
        <v>9.4304250374058943E-2</v>
      </c>
      <c r="AM266" s="2">
        <f>All_India_Index_Upto_April23__1[[#This Row],[Education]]/All_India_Index_Upto_April23__1[[#This Row],[TOTAL BROADER CATEGORIES]]</f>
        <v>0.10423972890337156</v>
      </c>
      <c r="AN266" s="2">
        <f>All_India_Index_Upto_April23__1[[#This Row],[Recreation and amusement]]/All_India_Index_Upto_April23__1[[#This Row],[TOTAL BROADER CATEGORIES]]</f>
        <v>9.8278441785783988E-2</v>
      </c>
      <c r="AO266" s="2">
        <f>All_India_Index_Upto_April23__1[[#This Row],[Transport and communication]]/All_India_Index_Upto_April23__1[[#This Row],[TOTAL BROADER CATEGORIES]]</f>
        <v>9.2234359013785475E-2</v>
      </c>
      <c r="AP266" s="2">
        <f>All_India_Index_Upto_April23__1[[#This Row],[Health]]/All_India_Index_Upto_April23__1[[#This Row],[TOTAL BROADER CATEGORIES]]</f>
        <v>9.9685967910769946E-2</v>
      </c>
      <c r="AQ266" s="2">
        <f>All_India_Index_Upto_April23__1[[#This Row],[Fuel and light]]/All_India_Index_Upto_April23__1[[#This Row],[TOTAL BROADER CATEGORIES]]</f>
        <v>0.10001715052841369</v>
      </c>
      <c r="AR266">
        <f>MONTH(1 &amp; All_India_Index_Upto_April23__1[[#This Row],[Month]])</f>
        <v>10</v>
      </c>
      <c r="AS266" s="19" t="str">
        <f>All_India_Index_Upto_April23__1[[#This Row],[MONTH IN NUM]]&amp;"/"&amp;All_India_Index_Upto_April23__1[[#This Row],[Year]]</f>
        <v>10/2015</v>
      </c>
      <c r="AT26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124.6</v>
      </c>
      <c r="AU26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1207.7928571428572</v>
      </c>
    </row>
    <row r="267" spans="1:47" x14ac:dyDescent="0.3">
      <c r="A267" t="s">
        <v>30</v>
      </c>
      <c r="B267">
        <v>2015</v>
      </c>
      <c r="C267" t="s">
        <v>42</v>
      </c>
      <c r="D267">
        <v>125.6</v>
      </c>
      <c r="E267">
        <v>130.4</v>
      </c>
      <c r="F267">
        <v>120.8</v>
      </c>
      <c r="G267">
        <v>129.4</v>
      </c>
      <c r="H267">
        <v>115.8</v>
      </c>
      <c r="I267">
        <v>133.19999999999999</v>
      </c>
      <c r="J267">
        <v>157.69999999999999</v>
      </c>
      <c r="K267">
        <v>154.19999999999999</v>
      </c>
      <c r="L267">
        <v>93.7</v>
      </c>
      <c r="M267">
        <v>126.6</v>
      </c>
      <c r="N267">
        <v>122.3</v>
      </c>
      <c r="O267">
        <v>133.1</v>
      </c>
      <c r="P267">
        <v>131.80000000000001</v>
      </c>
      <c r="Q267">
        <v>131.5</v>
      </c>
      <c r="R267">
        <v>131.1</v>
      </c>
      <c r="S267">
        <v>127.3</v>
      </c>
      <c r="T267">
        <v>130.6</v>
      </c>
      <c r="U267">
        <v>140.85</v>
      </c>
      <c r="V267">
        <v>124.4</v>
      </c>
      <c r="W267">
        <v>125.1</v>
      </c>
      <c r="X267">
        <v>122</v>
      </c>
      <c r="Y267">
        <v>113.8</v>
      </c>
      <c r="Z267">
        <v>120.1</v>
      </c>
      <c r="AA267">
        <v>125.1</v>
      </c>
      <c r="AB267">
        <v>114.2</v>
      </c>
      <c r="AC267">
        <v>119.2</v>
      </c>
      <c r="AD267">
        <v>127.7</v>
      </c>
      <c r="AE267">
        <v>129.00714285714284</v>
      </c>
      <c r="AF267">
        <v>129.66666666666666</v>
      </c>
      <c r="AG267">
        <v>132.97499999999999</v>
      </c>
      <c r="AH267" s="2">
        <f>All_India_Index_Upto_April23__1[[#This Row],[House]]/All_India_Index_Upto_April23__1[[#This Row],[TOTAL BROADER CATEGORIES]]</f>
        <v>0.1080703227722753</v>
      </c>
      <c r="AI267" s="2">
        <f>All_India_Index_Upto_April23__1[[#This Row],[Cloth]]/All_India_Index_Upto_April23__1[[#This Row],[TOTAL BROADER CATEGORIES]]</f>
        <v>0.10538160195128179</v>
      </c>
      <c r="AJ267" s="2">
        <f>All_India_Index_Upto_April23__1[[#This Row],[Food]]/All_India_Index_Upto_April23__1[[#This Row],[TOTAL BROADER CATEGORIES]]</f>
        <v>0.10484559931190417</v>
      </c>
      <c r="AK267" s="2">
        <f>All_India_Index_Upto_April23__1[[#This Row],[Miscellaneous]]/All_India_Index_Upto_April23__1[[#This Row],[TOTAL BROADER CATEGORIES]]</f>
        <v>9.6875220714083221E-2</v>
      </c>
      <c r="AL267" s="2">
        <f>All_India_Index_Upto_April23__1[[#This Row],[Personal care and effects]]/All_India_Index_Upto_April23__1[[#This Row],[TOTAL BROADER CATEGORIES]]</f>
        <v>9.2811662798224032E-2</v>
      </c>
      <c r="AM267" s="2">
        <f>All_India_Index_Upto_April23__1[[#This Row],[Education]]/All_India_Index_Upto_April23__1[[#This Row],[TOTAL BROADER CATEGORIES]]</f>
        <v>0.10167021905479706</v>
      </c>
      <c r="AN267" s="2">
        <f>All_India_Index_Upto_April23__1[[#This Row],[Recreation and amusement]]/All_India_Index_Upto_April23__1[[#This Row],[TOTAL BROADER CATEGORIES]]</f>
        <v>9.7606661138937872E-2</v>
      </c>
      <c r="AO267" s="2">
        <f>All_India_Index_Upto_April23__1[[#This Row],[Transport and communication]]/All_India_Index_Upto_April23__1[[#This Row],[TOTAL BROADER CATEGORIES]]</f>
        <v>9.2486578164955285E-2</v>
      </c>
      <c r="AP267" s="2">
        <f>All_India_Index_Upto_April23__1[[#This Row],[Health]]/All_India_Index_Upto_April23__1[[#This Row],[TOTAL BROADER CATEGORIES]]</f>
        <v>9.9150813146964376E-2</v>
      </c>
      <c r="AQ267" s="2">
        <f>All_India_Index_Upto_April23__1[[#This Row],[Fuel and light]]/All_India_Index_Upto_April23__1[[#This Row],[TOTAL BROADER CATEGORIES]]</f>
        <v>0.10110132094657678</v>
      </c>
      <c r="AR267">
        <f>MONTH(1 &amp; All_India_Index_Upto_April23__1[[#This Row],[Month]])</f>
        <v>10</v>
      </c>
      <c r="AS267" s="19" t="str">
        <f>All_India_Index_Upto_April23__1[[#This Row],[MONTH IN NUM]]&amp;"/"&amp;All_India_Index_Upto_April23__1[[#This Row],[Year]]</f>
        <v>10/2015</v>
      </c>
      <c r="AT26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129.20714285714286</v>
      </c>
      <c r="AU26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1230.4488095238096</v>
      </c>
    </row>
    <row r="268" spans="1:47" x14ac:dyDescent="0.3">
      <c r="A268" t="s">
        <v>32</v>
      </c>
      <c r="B268">
        <v>2015</v>
      </c>
      <c r="C268" t="s">
        <v>42</v>
      </c>
      <c r="D268">
        <v>123.6</v>
      </c>
      <c r="E268">
        <v>128.6</v>
      </c>
      <c r="F268">
        <v>115.9</v>
      </c>
      <c r="G268">
        <v>128.5</v>
      </c>
      <c r="H268">
        <v>109</v>
      </c>
      <c r="I268">
        <v>124.1</v>
      </c>
      <c r="J268">
        <v>165.8</v>
      </c>
      <c r="K268">
        <v>187.2</v>
      </c>
      <c r="L268">
        <v>89.4</v>
      </c>
      <c r="M268">
        <v>135.80000000000001</v>
      </c>
      <c r="N268">
        <v>119.4</v>
      </c>
      <c r="O268">
        <v>132.9</v>
      </c>
      <c r="P268">
        <v>132.6</v>
      </c>
      <c r="Q268">
        <v>135.30000000000001</v>
      </c>
      <c r="R268">
        <v>124.4</v>
      </c>
      <c r="S268">
        <v>118.8</v>
      </c>
      <c r="T268">
        <v>123.6</v>
      </c>
      <c r="U268">
        <v>122.4</v>
      </c>
      <c r="V268">
        <v>114.9</v>
      </c>
      <c r="W268">
        <v>120.7</v>
      </c>
      <c r="X268">
        <v>117.7</v>
      </c>
      <c r="Y268">
        <v>109.3</v>
      </c>
      <c r="Z268">
        <v>117.7</v>
      </c>
      <c r="AA268">
        <v>126.5</v>
      </c>
      <c r="AB268">
        <v>113.5</v>
      </c>
      <c r="AC268">
        <v>116.5</v>
      </c>
      <c r="AD268">
        <v>124.2</v>
      </c>
      <c r="AE268">
        <v>130.57857142857145</v>
      </c>
      <c r="AF268">
        <v>122.26666666666665</v>
      </c>
      <c r="AG268">
        <v>121.55000000000001</v>
      </c>
      <c r="AH268" s="2">
        <f>All_India_Index_Upto_April23__1[[#This Row],[House]]/All_India_Index_Upto_April23__1[[#This Row],[TOTAL BROADER CATEGORIES]]</f>
        <v>0.10210036639413769</v>
      </c>
      <c r="AI268" s="2">
        <f>All_India_Index_Upto_April23__1[[#This Row],[Cloth]]/All_India_Index_Upto_April23__1[[#This Row],[TOTAL BROADER CATEGORIES]]</f>
        <v>0.10270235676229178</v>
      </c>
      <c r="AJ268" s="2">
        <f>All_India_Index_Upto_April23__1[[#This Row],[Food]]/All_India_Index_Upto_April23__1[[#This Row],[TOTAL BROADER CATEGORIES]]</f>
        <v>0.10968424505207917</v>
      </c>
      <c r="AK268" s="2">
        <f>All_India_Index_Upto_April23__1[[#This Row],[Miscellaneous]]/All_India_Index_Upto_April23__1[[#This Row],[TOTAL BROADER CATEGORIES]]</f>
        <v>9.7858434265051752E-2</v>
      </c>
      <c r="AL268" s="2">
        <f>All_India_Index_Upto_April23__1[[#This Row],[Personal care and effects]]/All_India_Index_Upto_April23__1[[#This Row],[TOTAL BROADER CATEGORIES]]</f>
        <v>9.5338474584406641E-2</v>
      </c>
      <c r="AM268" s="2">
        <f>All_India_Index_Upto_April23__1[[#This Row],[Education]]/All_India_Index_Upto_April23__1[[#This Row],[TOTAL BROADER CATEGORIES]]</f>
        <v>0.10625829986720212</v>
      </c>
      <c r="AN268" s="2">
        <f>All_India_Index_Upto_April23__1[[#This Row],[Recreation and amusement]]/All_India_Index_Upto_April23__1[[#This Row],[TOTAL BROADER CATEGORIES]]</f>
        <v>9.88664181373098E-2</v>
      </c>
      <c r="AO268" s="2">
        <f>All_India_Index_Upto_April23__1[[#This Row],[Transport and communication]]/All_India_Index_Upto_April23__1[[#This Row],[TOTAL BROADER CATEGORIES]]</f>
        <v>9.1810531031503495E-2</v>
      </c>
      <c r="AP268" s="2">
        <f>All_India_Index_Upto_April23__1[[#This Row],[Health]]/All_India_Index_Upto_April23__1[[#This Row],[TOTAL BROADER CATEGORIES]]</f>
        <v>9.88664181373098E-2</v>
      </c>
      <c r="AQ268" s="2">
        <f>All_India_Index_Upto_April23__1[[#This Row],[Fuel and light]]/All_India_Index_Upto_April23__1[[#This Row],[TOTAL BROADER CATEGORIES]]</f>
        <v>9.6514455768707694E-2</v>
      </c>
      <c r="AR268">
        <f>MONTH(1 &amp; All_India_Index_Upto_April23__1[[#This Row],[Month]])</f>
        <v>10</v>
      </c>
      <c r="AS268" s="19" t="str">
        <f>All_India_Index_Upto_April23__1[[#This Row],[MONTH IN NUM]]&amp;"/"&amp;All_India_Index_Upto_April23__1[[#This Row],[Year]]</f>
        <v>10/2015</v>
      </c>
      <c r="AT26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121.61428571428571</v>
      </c>
      <c r="AU26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1190.4952380952382</v>
      </c>
    </row>
    <row r="269" spans="1:47" x14ac:dyDescent="0.3">
      <c r="A269" t="s">
        <v>32</v>
      </c>
      <c r="B269">
        <v>2015</v>
      </c>
      <c r="C269" t="s">
        <v>41</v>
      </c>
      <c r="D269">
        <v>123.4</v>
      </c>
      <c r="E269">
        <v>129</v>
      </c>
      <c r="F269">
        <v>115.6</v>
      </c>
      <c r="G269">
        <v>128.30000000000001</v>
      </c>
      <c r="H269">
        <v>107</v>
      </c>
      <c r="I269">
        <v>124</v>
      </c>
      <c r="J269">
        <v>168.5</v>
      </c>
      <c r="K269">
        <v>165.4</v>
      </c>
      <c r="L269">
        <v>86.3</v>
      </c>
      <c r="M269">
        <v>134.4</v>
      </c>
      <c r="N269">
        <v>119.1</v>
      </c>
      <c r="O269">
        <v>132.30000000000001</v>
      </c>
      <c r="P269">
        <v>131.5</v>
      </c>
      <c r="Q269">
        <v>134.69999999999999</v>
      </c>
      <c r="R269">
        <v>124</v>
      </c>
      <c r="S269">
        <v>118.6</v>
      </c>
      <c r="T269">
        <v>123.2</v>
      </c>
      <c r="U269">
        <v>121.6</v>
      </c>
      <c r="V269">
        <v>115.1</v>
      </c>
      <c r="W269">
        <v>120.4</v>
      </c>
      <c r="X269">
        <v>117.1</v>
      </c>
      <c r="Y269">
        <v>109.1</v>
      </c>
      <c r="Z269">
        <v>117.3</v>
      </c>
      <c r="AA269">
        <v>126.5</v>
      </c>
      <c r="AB269">
        <v>112.9</v>
      </c>
      <c r="AC269">
        <v>116.2</v>
      </c>
      <c r="AD269">
        <v>123.5</v>
      </c>
      <c r="AE269">
        <v>128.53571428571428</v>
      </c>
      <c r="AF269">
        <v>121.93333333333334</v>
      </c>
      <c r="AG269">
        <v>121</v>
      </c>
      <c r="AH269" s="2">
        <f>All_India_Index_Upto_April23__1[[#This Row],[House]]/All_India_Index_Upto_April23__1[[#This Row],[TOTAL BROADER CATEGORIES]]</f>
        <v>0.10205208632457867</v>
      </c>
      <c r="AI269" s="2">
        <f>All_India_Index_Upto_April23__1[[#This Row],[Cloth]]/All_India_Index_Upto_April23__1[[#This Row],[TOTAL BROADER CATEGORIES]]</f>
        <v>0.10283926495187569</v>
      </c>
      <c r="AJ269" s="2">
        <f>All_India_Index_Upto_April23__1[[#This Row],[Food]]/All_India_Index_Upto_April23__1[[#This Row],[TOTAL BROADER CATEGORIES]]</f>
        <v>0.1084077504965049</v>
      </c>
      <c r="AK269" s="2">
        <f>All_India_Index_Upto_April23__1[[#This Row],[Miscellaneous]]/All_India_Index_Upto_April23__1[[#This Row],[TOTAL BROADER CATEGORIES]]</f>
        <v>9.8003739098479675E-2</v>
      </c>
      <c r="AL269" s="2">
        <f>All_India_Index_Upto_April23__1[[#This Row],[Personal care and effects]]/All_India_Index_Upto_April23__1[[#This Row],[TOTAL BROADER CATEGORIES]]</f>
        <v>9.522050038053663E-2</v>
      </c>
      <c r="AM269" s="2">
        <f>All_India_Index_Upto_April23__1[[#This Row],[Education]]/All_India_Index_Upto_April23__1[[#This Row],[TOTAL BROADER CATEGORIES]]</f>
        <v>0.10669081752115042</v>
      </c>
      <c r="AN269" s="2">
        <f>All_India_Index_Upto_April23__1[[#This Row],[Recreation and amusement]]/All_India_Index_Upto_April23__1[[#This Row],[TOTAL BROADER CATEGORIES]]</f>
        <v>9.8931485337794028E-2</v>
      </c>
      <c r="AO269" s="2">
        <f>All_India_Index_Upto_April23__1[[#This Row],[Transport and communication]]/All_India_Index_Upto_April23__1[[#This Row],[TOTAL BROADER CATEGORIES]]</f>
        <v>9.2015558826541582E-2</v>
      </c>
      <c r="AP269" s="2">
        <f>All_India_Index_Upto_April23__1[[#This Row],[Health]]/All_India_Index_Upto_April23__1[[#This Row],[TOTAL BROADER CATEGORIES]]</f>
        <v>9.8762804203373231E-2</v>
      </c>
      <c r="AQ269" s="2">
        <f>All_India_Index_Upto_April23__1[[#This Row],[Fuel and light]]/All_India_Index_Upto_April23__1[[#This Row],[TOTAL BROADER CATEGORIES]]</f>
        <v>9.7075992859165322E-2</v>
      </c>
      <c r="AR269">
        <f>MONTH(1 &amp; All_India_Index_Upto_April23__1[[#This Row],[Month]])</f>
        <v>9</v>
      </c>
      <c r="AS269" s="19" t="str">
        <f>All_India_Index_Upto_April23__1[[#This Row],[MONTH IN NUM]]&amp;"/"&amp;All_India_Index_Upto_April23__1[[#This Row],[Year]]</f>
        <v>9/2015</v>
      </c>
      <c r="AT26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121.34285714285716</v>
      </c>
      <c r="AU26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1185.6690476190474</v>
      </c>
    </row>
    <row r="270" spans="1:47" x14ac:dyDescent="0.3">
      <c r="A270" t="s">
        <v>33</v>
      </c>
      <c r="B270">
        <v>2015</v>
      </c>
      <c r="C270" t="s">
        <v>41</v>
      </c>
      <c r="D270">
        <v>124.6</v>
      </c>
      <c r="E270">
        <v>130.4</v>
      </c>
      <c r="F270">
        <v>118.7</v>
      </c>
      <c r="G270">
        <v>128.9</v>
      </c>
      <c r="H270">
        <v>111.9</v>
      </c>
      <c r="I270">
        <v>128.4</v>
      </c>
      <c r="J270">
        <v>162.19999999999999</v>
      </c>
      <c r="K270">
        <v>150</v>
      </c>
      <c r="L270">
        <v>90.4</v>
      </c>
      <c r="M270">
        <v>128.4</v>
      </c>
      <c r="N270">
        <v>120.7</v>
      </c>
      <c r="O270">
        <v>132.5</v>
      </c>
      <c r="P270">
        <v>131.19999999999999</v>
      </c>
      <c r="Q270">
        <v>132</v>
      </c>
      <c r="R270">
        <v>127.9</v>
      </c>
      <c r="S270">
        <v>123.4</v>
      </c>
      <c r="T270">
        <v>127.2</v>
      </c>
      <c r="U270">
        <v>121.6</v>
      </c>
      <c r="V270">
        <v>120.4</v>
      </c>
      <c r="W270">
        <v>122.6</v>
      </c>
      <c r="X270">
        <v>119.8</v>
      </c>
      <c r="Y270">
        <v>111.3</v>
      </c>
      <c r="Z270">
        <v>118.3</v>
      </c>
      <c r="AA270">
        <v>125.7</v>
      </c>
      <c r="AB270">
        <v>113.4</v>
      </c>
      <c r="AC270">
        <v>117.5</v>
      </c>
      <c r="AD270">
        <v>125.4</v>
      </c>
      <c r="AE270">
        <v>127.87857142857145</v>
      </c>
      <c r="AF270">
        <v>126.16666666666667</v>
      </c>
      <c r="AG270">
        <v>122.1</v>
      </c>
      <c r="AH270" s="2">
        <f>All_India_Index_Upto_April23__1[[#This Row],[House]]/All_India_Index_Upto_April23__1[[#This Row],[TOTAL BROADER CATEGORIES]]</f>
        <v>0.10153464180141722</v>
      </c>
      <c r="AI270" s="2">
        <f>All_India_Index_Upto_April23__1[[#This Row],[Cloth]]/All_India_Index_Upto_April23__1[[#This Row],[TOTAL BROADER CATEGORIES]]</f>
        <v>0.1049163579629714</v>
      </c>
      <c r="AJ270" s="2">
        <f>All_India_Index_Upto_April23__1[[#This Row],[Food]]/All_India_Index_Upto_April23__1[[#This Row],[TOTAL BROADER CATEGORIES]]</f>
        <v>0.10633992583191605</v>
      </c>
      <c r="AK270" s="2">
        <f>All_India_Index_Upto_April23__1[[#This Row],[Miscellaneous]]/All_India_Index_Upto_April23__1[[#This Row],[TOTAL BROADER CATEGORIES]]</f>
        <v>9.7709421880970718E-2</v>
      </c>
      <c r="AL270" s="2">
        <f>All_India_Index_Upto_April23__1[[#This Row],[Personal care and effects]]/All_India_Index_Upto_April23__1[[#This Row],[TOTAL BROADER CATEGORIES]]</f>
        <v>9.429998673448578E-2</v>
      </c>
      <c r="AM270" s="2">
        <f>All_India_Index_Upto_April23__1[[#This Row],[Education]]/All_India_Index_Upto_April23__1[[#This Row],[TOTAL BROADER CATEGORIES]]</f>
        <v>0.10452829217394059</v>
      </c>
      <c r="AN270" s="2">
        <f>All_India_Index_Upto_April23__1[[#This Row],[Recreation and amusement]]/All_India_Index_Upto_April23__1[[#This Row],[TOTAL BROADER CATEGORIES]]</f>
        <v>9.8374677519309242E-2</v>
      </c>
      <c r="AO270" s="2">
        <f>All_India_Index_Upto_April23__1[[#This Row],[Transport and communication]]/All_India_Index_Upto_April23__1[[#This Row],[TOTAL BROADER CATEGORIES]]</f>
        <v>9.2553690683847153E-2</v>
      </c>
      <c r="AP270" s="2">
        <f>All_India_Index_Upto_April23__1[[#This Row],[Health]]/All_India_Index_Upto_April23__1[[#This Row],[TOTAL BROADER CATEGORIES]]</f>
        <v>9.9622031841193975E-2</v>
      </c>
      <c r="AQ270" s="2">
        <f>All_India_Index_Upto_April23__1[[#This Row],[Fuel and light]]/All_India_Index_Upto_April23__1[[#This Row],[TOTAL BROADER CATEGORIES]]</f>
        <v>0.10012097356994787</v>
      </c>
      <c r="AR270">
        <f>MONTH(1 &amp; All_India_Index_Upto_April23__1[[#This Row],[Month]])</f>
        <v>9</v>
      </c>
      <c r="AS270" s="19" t="str">
        <f>All_India_Index_Upto_April23__1[[#This Row],[MONTH IN NUM]]&amp;"/"&amp;All_India_Index_Upto_April23__1[[#This Row],[Year]]</f>
        <v>9/2015</v>
      </c>
      <c r="AT27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124.11428571428573</v>
      </c>
      <c r="AU27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1202.5452380952381</v>
      </c>
    </row>
    <row r="271" spans="1:47" x14ac:dyDescent="0.3">
      <c r="A271" t="s">
        <v>30</v>
      </c>
      <c r="B271">
        <v>2015</v>
      </c>
      <c r="C271" t="s">
        <v>41</v>
      </c>
      <c r="D271">
        <v>125.1</v>
      </c>
      <c r="E271">
        <v>131.1</v>
      </c>
      <c r="F271">
        <v>120.7</v>
      </c>
      <c r="G271">
        <v>129.19999999999999</v>
      </c>
      <c r="H271">
        <v>114.7</v>
      </c>
      <c r="I271">
        <v>132.30000000000001</v>
      </c>
      <c r="J271">
        <v>158.9</v>
      </c>
      <c r="K271">
        <v>142.1</v>
      </c>
      <c r="L271">
        <v>92.5</v>
      </c>
      <c r="M271">
        <v>125.4</v>
      </c>
      <c r="N271">
        <v>121.9</v>
      </c>
      <c r="O271">
        <v>132.69999999999999</v>
      </c>
      <c r="P271">
        <v>131</v>
      </c>
      <c r="Q271">
        <v>131</v>
      </c>
      <c r="R271">
        <v>130.4</v>
      </c>
      <c r="S271">
        <v>126.8</v>
      </c>
      <c r="T271">
        <v>129.9</v>
      </c>
      <c r="U271">
        <v>140.85</v>
      </c>
      <c r="V271">
        <v>123.7</v>
      </c>
      <c r="W271">
        <v>124.5</v>
      </c>
      <c r="X271">
        <v>121.4</v>
      </c>
      <c r="Y271">
        <v>113.8</v>
      </c>
      <c r="Z271">
        <v>119.6</v>
      </c>
      <c r="AA271">
        <v>124.5</v>
      </c>
      <c r="AB271">
        <v>113.7</v>
      </c>
      <c r="AC271">
        <v>118.8</v>
      </c>
      <c r="AD271">
        <v>127</v>
      </c>
      <c r="AE271">
        <v>127.75714285714287</v>
      </c>
      <c r="AF271">
        <v>129.03333333333333</v>
      </c>
      <c r="AG271">
        <v>132.67500000000001</v>
      </c>
      <c r="AH271" s="2">
        <f>All_India_Index_Upto_April23__1[[#This Row],[House]]/All_India_Index_Upto_April23__1[[#This Row],[TOTAL BROADER CATEGORIES]]</f>
        <v>0.10830917489414182</v>
      </c>
      <c r="AI271" s="2">
        <f>All_India_Index_Upto_April23__1[[#This Row],[Cloth]]/All_India_Index_Upto_April23__1[[#This Row],[TOTAL BROADER CATEGORIES]]</f>
        <v>0.10533630199490558</v>
      </c>
      <c r="AJ271" s="2">
        <f>All_India_Index_Upto_April23__1[[#This Row],[Food]]/All_India_Index_Upto_April23__1[[#This Row],[TOTAL BROADER CATEGORIES]]</f>
        <v>0.10429448448984471</v>
      </c>
      <c r="AK271" s="2">
        <f>All_India_Index_Upto_April23__1[[#This Row],[Miscellaneous]]/All_India_Index_Upto_April23__1[[#This Row],[TOTAL BROADER CATEGORIES]]</f>
        <v>9.6982325060667396E-2</v>
      </c>
      <c r="AL271" s="2">
        <f>All_India_Index_Upto_April23__1[[#This Row],[Personal care and effects]]/All_India_Index_Upto_April23__1[[#This Row],[TOTAL BROADER CATEGORIES]]</f>
        <v>9.28189424191741E-2</v>
      </c>
      <c r="AM271" s="2">
        <f>All_India_Index_Upto_April23__1[[#This Row],[Education]]/All_India_Index_Upto_April23__1[[#This Row],[TOTAL BROADER CATEGORIES]]</f>
        <v>0.10163551742468932</v>
      </c>
      <c r="AN271" s="2">
        <f>All_India_Index_Upto_April23__1[[#This Row],[Recreation and amusement]]/All_India_Index_Upto_April23__1[[#This Row],[TOTAL BROADER CATEGORIES]]</f>
        <v>9.7635404690705557E-2</v>
      </c>
      <c r="AO271" s="2">
        <f>All_India_Index_Upto_April23__1[[#This Row],[Transport and communication]]/All_India_Index_Upto_April23__1[[#This Row],[TOTAL BROADER CATEGORIES]]</f>
        <v>9.2900577372928866E-2</v>
      </c>
      <c r="AP271" s="2">
        <f>All_India_Index_Upto_April23__1[[#This Row],[Health]]/All_India_Index_Upto_April23__1[[#This Row],[TOTAL BROADER CATEGORIES]]</f>
        <v>9.9104833858291441E-2</v>
      </c>
      <c r="AQ271" s="2">
        <f>All_India_Index_Upto_April23__1[[#This Row],[Fuel and light]]/All_India_Index_Upto_April23__1[[#This Row],[TOTAL BROADER CATEGORIES]]</f>
        <v>0.10098243779465116</v>
      </c>
      <c r="AR271">
        <f>MONTH(1 &amp; All_India_Index_Upto_April23__1[[#This Row],[Month]])</f>
        <v>9</v>
      </c>
      <c r="AS271" s="19" t="str">
        <f>All_India_Index_Upto_April23__1[[#This Row],[MONTH IN NUM]]&amp;"/"&amp;All_India_Index_Upto_April23__1[[#This Row],[Year]]</f>
        <v>9/2015</v>
      </c>
      <c r="AT27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128.66428571428568</v>
      </c>
      <c r="AU27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1224.9654761904762</v>
      </c>
    </row>
    <row r="272" spans="1:47" x14ac:dyDescent="0.3">
      <c r="A272" t="s">
        <v>30</v>
      </c>
      <c r="B272">
        <v>2015</v>
      </c>
      <c r="C272" t="s">
        <v>40</v>
      </c>
      <c r="D272">
        <v>124.7</v>
      </c>
      <c r="E272">
        <v>131.30000000000001</v>
      </c>
      <c r="F272">
        <v>121.3</v>
      </c>
      <c r="G272">
        <v>128.80000000000001</v>
      </c>
      <c r="H272">
        <v>114</v>
      </c>
      <c r="I272">
        <v>134.19999999999999</v>
      </c>
      <c r="J272">
        <v>153.6</v>
      </c>
      <c r="K272">
        <v>137.9</v>
      </c>
      <c r="L272">
        <v>93.1</v>
      </c>
      <c r="M272">
        <v>123.9</v>
      </c>
      <c r="N272">
        <v>121.5</v>
      </c>
      <c r="O272">
        <v>132.5</v>
      </c>
      <c r="P272">
        <v>129.80000000000001</v>
      </c>
      <c r="Q272">
        <v>130.1</v>
      </c>
      <c r="R272">
        <v>129.5</v>
      </c>
      <c r="S272">
        <v>126.3</v>
      </c>
      <c r="T272">
        <v>129</v>
      </c>
      <c r="U272">
        <v>140.85</v>
      </c>
      <c r="V272">
        <v>123.8</v>
      </c>
      <c r="W272">
        <v>123.7</v>
      </c>
      <c r="X272">
        <v>121.1</v>
      </c>
      <c r="Y272">
        <v>113.6</v>
      </c>
      <c r="Z272">
        <v>118.5</v>
      </c>
      <c r="AA272">
        <v>123.6</v>
      </c>
      <c r="AB272">
        <v>112.5</v>
      </c>
      <c r="AC272">
        <v>118.2</v>
      </c>
      <c r="AD272">
        <v>126.1</v>
      </c>
      <c r="AE272">
        <v>126.90714285714284</v>
      </c>
      <c r="AF272">
        <v>128.26666666666668</v>
      </c>
      <c r="AG272">
        <v>132.27500000000001</v>
      </c>
      <c r="AH272" s="2">
        <f>All_India_Index_Upto_April23__1[[#This Row],[House]]/All_India_Index_Upto_April23__1[[#This Row],[TOTAL BROADER CATEGORIES]]</f>
        <v>0.1085334393489029</v>
      </c>
      <c r="AI272" s="2">
        <f>All_India_Index_Upto_April23__1[[#This Row],[Cloth]]/All_India_Index_Upto_April23__1[[#This Row],[TOTAL BROADER CATEGORIES]]</f>
        <v>0.10524454724742101</v>
      </c>
      <c r="AJ272" s="2">
        <f>All_India_Index_Upto_April23__1[[#This Row],[Food]]/All_India_Index_Upto_April23__1[[#This Row],[TOTAL BROADER CATEGORIES]]</f>
        <v>0.10412903944228516</v>
      </c>
      <c r="AK272" s="2">
        <f>All_India_Index_Upto_April23__1[[#This Row],[Miscellaneous]]/All_India_Index_Upto_April23__1[[#This Row],[TOTAL BROADER CATEGORIES]]</f>
        <v>9.698471011937497E-2</v>
      </c>
      <c r="AL272" s="2">
        <f>All_India_Index_Upto_April23__1[[#This Row],[Personal care and effects]]/All_India_Index_Upto_April23__1[[#This Row],[TOTAL BROADER CATEGORIES]]</f>
        <v>9.2307782474024394E-2</v>
      </c>
      <c r="AM272" s="2">
        <f>All_India_Index_Upto_April23__1[[#This Row],[Education]]/All_India_Index_Upto_April23__1[[#This Row],[TOTAL BROADER CATEGORIES]]</f>
        <v>0.10141548367812812</v>
      </c>
      <c r="AN272" s="2">
        <f>All_India_Index_Upto_April23__1[[#This Row],[Recreation and amusement]]/All_India_Index_Upto_April23__1[[#This Row],[TOTAL BROADER CATEGORIES]]</f>
        <v>9.7230864205972364E-2</v>
      </c>
      <c r="AO272" s="2">
        <f>All_India_Index_Upto_April23__1[[#This Row],[Transport and communication]]/All_India_Index_Upto_April23__1[[#This Row],[TOTAL BROADER CATEGORIES]]</f>
        <v>9.3210347458214854E-2</v>
      </c>
      <c r="AP272" s="2">
        <f>All_India_Index_Upto_April23__1[[#This Row],[Health]]/All_India_Index_Upto_April23__1[[#This Row],[TOTAL BROADER CATEGORIES]]</f>
        <v>9.936419962314981E-2</v>
      </c>
      <c r="AQ272" s="2">
        <f>All_India_Index_Upto_April23__1[[#This Row],[Fuel and light]]/All_India_Index_Upto_April23__1[[#This Row],[TOTAL BROADER CATEGORIES]]</f>
        <v>0.1015795864025264</v>
      </c>
      <c r="AR272">
        <f>MONTH(1 &amp; All_India_Index_Upto_April23__1[[#This Row],[Month]])</f>
        <v>8</v>
      </c>
      <c r="AS272" s="19" t="str">
        <f>All_India_Index_Upto_April23__1[[#This Row],[MONTH IN NUM]]&amp;"/"&amp;All_India_Index_Upto_April23__1[[#This Row],[Year]]</f>
        <v>8/2015</v>
      </c>
      <c r="AT27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128.10714285714286</v>
      </c>
      <c r="AU27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1218.7488095238095</v>
      </c>
    </row>
    <row r="273" spans="1:47" x14ac:dyDescent="0.3">
      <c r="A273" t="s">
        <v>32</v>
      </c>
      <c r="B273">
        <v>2015</v>
      </c>
      <c r="C273" t="s">
        <v>40</v>
      </c>
      <c r="D273">
        <v>123.1</v>
      </c>
      <c r="E273">
        <v>131.69999999999999</v>
      </c>
      <c r="F273">
        <v>118.1</v>
      </c>
      <c r="G273">
        <v>128</v>
      </c>
      <c r="H273">
        <v>106.8</v>
      </c>
      <c r="I273">
        <v>130.1</v>
      </c>
      <c r="J273">
        <v>165.5</v>
      </c>
      <c r="K273">
        <v>156</v>
      </c>
      <c r="L273">
        <v>85.3</v>
      </c>
      <c r="M273">
        <v>132.69999999999999</v>
      </c>
      <c r="N273">
        <v>118.8</v>
      </c>
      <c r="O273">
        <v>131.69999999999999</v>
      </c>
      <c r="P273">
        <v>131.1</v>
      </c>
      <c r="Q273">
        <v>134.19999999999999</v>
      </c>
      <c r="R273">
        <v>123.7</v>
      </c>
      <c r="S273">
        <v>118.2</v>
      </c>
      <c r="T273">
        <v>122.9</v>
      </c>
      <c r="U273">
        <v>120.9</v>
      </c>
      <c r="V273">
        <v>115.3</v>
      </c>
      <c r="W273">
        <v>120</v>
      </c>
      <c r="X273">
        <v>116.6</v>
      </c>
      <c r="Y273">
        <v>109.9</v>
      </c>
      <c r="Z273">
        <v>117.2</v>
      </c>
      <c r="AA273">
        <v>126.2</v>
      </c>
      <c r="AB273">
        <v>112</v>
      </c>
      <c r="AC273">
        <v>116.2</v>
      </c>
      <c r="AD273">
        <v>123.2</v>
      </c>
      <c r="AE273">
        <v>128.07857142857142</v>
      </c>
      <c r="AF273">
        <v>121.60000000000001</v>
      </c>
      <c r="AG273">
        <v>120.45</v>
      </c>
      <c r="AH273" s="2">
        <f>All_India_Index_Upto_April23__1[[#This Row],[House]]/All_India_Index_Upto_April23__1[[#This Row],[TOTAL BROADER CATEGORIES]]</f>
        <v>0.10177194104795587</v>
      </c>
      <c r="AI273" s="2">
        <f>All_India_Index_Upto_April23__1[[#This Row],[Cloth]]/All_India_Index_Upto_April23__1[[#This Row],[TOTAL BROADER CATEGORIES]]</f>
        <v>0.10274361171798617</v>
      </c>
      <c r="AJ273" s="2">
        <f>All_India_Index_Upto_April23__1[[#This Row],[Food]]/All_India_Index_Upto_April23__1[[#This Row],[TOTAL BROADER CATEGORIES]]</f>
        <v>0.10821755766654192</v>
      </c>
      <c r="AK273" s="2">
        <f>All_India_Index_Upto_April23__1[[#This Row],[Miscellaneous]]/All_India_Index_Upto_April23__1[[#This Row],[TOTAL BROADER CATEGORIES]]</f>
        <v>9.8180984223930859E-2</v>
      </c>
      <c r="AL273" s="2">
        <f>All_India_Index_Upto_April23__1[[#This Row],[Personal care and effects]]/All_India_Index_Upto_April23__1[[#This Row],[TOTAL BROADER CATEGORIES]]</f>
        <v>9.4632273950776724E-2</v>
      </c>
      <c r="AM273" s="2">
        <f>All_India_Index_Upto_April23__1[[#This Row],[Education]]/All_India_Index_Upto_April23__1[[#This Row],[TOTAL BROADER CATEGORIES]]</f>
        <v>0.10663029439810735</v>
      </c>
      <c r="AN273" s="2">
        <f>All_India_Index_Upto_April23__1[[#This Row],[Recreation and amusement]]/All_India_Index_Upto_April23__1[[#This Row],[TOTAL BROADER CATEGORIES]]</f>
        <v>9.9025915241348503E-2</v>
      </c>
      <c r="AO273" s="2">
        <f>All_India_Index_Upto_April23__1[[#This Row],[Transport and communication]]/All_India_Index_Upto_April23__1[[#This Row],[TOTAL BROADER CATEGORIES]]</f>
        <v>9.2857918814199678E-2</v>
      </c>
      <c r="AP273" s="2">
        <f>All_India_Index_Upto_April23__1[[#This Row],[Health]]/All_India_Index_Upto_April23__1[[#This Row],[TOTAL BROADER CATEGORIES]]</f>
        <v>9.8518956630897908E-2</v>
      </c>
      <c r="AQ273" s="2">
        <f>All_India_Index_Upto_April23__1[[#This Row],[Fuel and light]]/All_India_Index_Upto_April23__1[[#This Row],[TOTAL BROADER CATEGORIES]]</f>
        <v>9.7420546308254974E-2</v>
      </c>
      <c r="AR273">
        <f>MONTH(1 &amp; All_India_Index_Upto_April23__1[[#This Row],[Month]])</f>
        <v>8</v>
      </c>
      <c r="AS273" s="19" t="str">
        <f>All_India_Index_Upto_April23__1[[#This Row],[MONTH IN NUM]]&amp;"/"&amp;All_India_Index_Upto_April23__1[[#This Row],[Year]]</f>
        <v>8/2015</v>
      </c>
      <c r="AT27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121.02857142857144</v>
      </c>
      <c r="AU27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1183.5285714285715</v>
      </c>
    </row>
    <row r="274" spans="1:47" x14ac:dyDescent="0.3">
      <c r="A274" t="s">
        <v>33</v>
      </c>
      <c r="B274">
        <v>2015</v>
      </c>
      <c r="C274" t="s">
        <v>40</v>
      </c>
      <c r="D274">
        <v>124.2</v>
      </c>
      <c r="E274">
        <v>131.4</v>
      </c>
      <c r="F274">
        <v>120.1</v>
      </c>
      <c r="G274">
        <v>128.5</v>
      </c>
      <c r="H274">
        <v>111.4</v>
      </c>
      <c r="I274">
        <v>132.30000000000001</v>
      </c>
      <c r="J274">
        <v>157.6</v>
      </c>
      <c r="K274">
        <v>144</v>
      </c>
      <c r="L274">
        <v>90.5</v>
      </c>
      <c r="M274">
        <v>126.8</v>
      </c>
      <c r="N274">
        <v>120.4</v>
      </c>
      <c r="O274">
        <v>132.1</v>
      </c>
      <c r="P274">
        <v>130.30000000000001</v>
      </c>
      <c r="Q274">
        <v>131.19999999999999</v>
      </c>
      <c r="R274">
        <v>127.2</v>
      </c>
      <c r="S274">
        <v>122.9</v>
      </c>
      <c r="T274">
        <v>126.6</v>
      </c>
      <c r="U274">
        <v>120.9</v>
      </c>
      <c r="V274">
        <v>120.6</v>
      </c>
      <c r="W274">
        <v>122</v>
      </c>
      <c r="X274">
        <v>119.4</v>
      </c>
      <c r="Y274">
        <v>111.7</v>
      </c>
      <c r="Z274">
        <v>117.8</v>
      </c>
      <c r="AA274">
        <v>125.1</v>
      </c>
      <c r="AB274">
        <v>112.3</v>
      </c>
      <c r="AC274">
        <v>117.2</v>
      </c>
      <c r="AD274">
        <v>124.8</v>
      </c>
      <c r="AE274">
        <v>127.2</v>
      </c>
      <c r="AF274">
        <v>125.56666666666668</v>
      </c>
      <c r="AG274">
        <v>121.45</v>
      </c>
      <c r="AH274" s="2">
        <f>All_India_Index_Upto_April23__1[[#This Row],[House]]/All_India_Index_Upto_April23__1[[#This Row],[TOTAL BROADER CATEGORIES]]</f>
        <v>0.10135050557031391</v>
      </c>
      <c r="AI274" s="2">
        <f>All_India_Index_Upto_April23__1[[#This Row],[Cloth]]/All_India_Index_Upto_April23__1[[#This Row],[TOTAL BROADER CATEGORIES]]</f>
        <v>0.1047858801930486</v>
      </c>
      <c r="AJ274" s="2">
        <f>All_India_Index_Upto_April23__1[[#This Row],[Food]]/All_India_Index_Upto_April23__1[[#This Row],[TOTAL BROADER CATEGORIES]]</f>
        <v>0.10614890332271659</v>
      </c>
      <c r="AK274" s="2">
        <f>All_India_Index_Upto_April23__1[[#This Row],[Miscellaneous]]/All_India_Index_Upto_April23__1[[#This Row],[TOTAL BROADER CATEGORIES]]</f>
        <v>9.7803863753320633E-2</v>
      </c>
      <c r="AL274" s="2">
        <f>All_India_Index_Upto_April23__1[[#This Row],[Personal care and effects]]/All_India_Index_Upto_April23__1[[#This Row],[TOTAL BROADER CATEGORIES]]</f>
        <v>9.3714794364316609E-2</v>
      </c>
      <c r="AM274" s="2">
        <f>All_India_Index_Upto_April23__1[[#This Row],[Education]]/All_India_Index_Upto_April23__1[[#This Row],[TOTAL BROADER CATEGORIES]]</f>
        <v>0.10439644501314344</v>
      </c>
      <c r="AN274" s="2">
        <f>All_India_Index_Upto_April23__1[[#This Row],[Recreation and amusement]]/All_India_Index_Upto_April23__1[[#This Row],[TOTAL BROADER CATEGORIES]]</f>
        <v>9.8304566127484394E-2</v>
      </c>
      <c r="AO274" s="2">
        <f>All_India_Index_Upto_April23__1[[#This Row],[Transport and communication]]/All_India_Index_Upto_April23__1[[#This Row],[TOTAL BROADER CATEGORIES]]</f>
        <v>9.3214091990152861E-2</v>
      </c>
      <c r="AP274" s="2">
        <f>All_India_Index_Upto_April23__1[[#This Row],[Health]]/All_India_Index_Upto_April23__1[[#This Row],[TOTAL BROADER CATEGORIES]]</f>
        <v>9.9639772458587753E-2</v>
      </c>
      <c r="AQ274" s="2">
        <f>All_India_Index_Upto_April23__1[[#This Row],[Fuel and light]]/All_India_Index_Upto_April23__1[[#This Row],[TOTAL BROADER CATEGORIES]]</f>
        <v>0.10064117720691526</v>
      </c>
      <c r="AR274">
        <f>MONTH(1 &amp; All_India_Index_Upto_April23__1[[#This Row],[Month]])</f>
        <v>8</v>
      </c>
      <c r="AS274" s="19" t="str">
        <f>All_India_Index_Upto_April23__1[[#This Row],[MONTH IN NUM]]&amp;"/"&amp;All_India_Index_Upto_April23__1[[#This Row],[Year]]</f>
        <v>8/2015</v>
      </c>
      <c r="AT27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123.61428571428573</v>
      </c>
      <c r="AU27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1198.3166666666666</v>
      </c>
    </row>
    <row r="275" spans="1:47" x14ac:dyDescent="0.3">
      <c r="A275" t="s">
        <v>33</v>
      </c>
      <c r="B275">
        <v>2015</v>
      </c>
      <c r="C275" t="s">
        <v>39</v>
      </c>
      <c r="D275">
        <v>123.7</v>
      </c>
      <c r="E275">
        <v>132.5</v>
      </c>
      <c r="F275">
        <v>121</v>
      </c>
      <c r="G275">
        <v>128.30000000000001</v>
      </c>
      <c r="H275">
        <v>110.9</v>
      </c>
      <c r="I275">
        <v>133.1</v>
      </c>
      <c r="J275">
        <v>145.1</v>
      </c>
      <c r="K275">
        <v>139.1</v>
      </c>
      <c r="L275">
        <v>91.3</v>
      </c>
      <c r="M275">
        <v>126.1</v>
      </c>
      <c r="N275">
        <v>119.9</v>
      </c>
      <c r="O275">
        <v>131.4</v>
      </c>
      <c r="P275">
        <v>128.19999999999999</v>
      </c>
      <c r="Q275">
        <v>130.4</v>
      </c>
      <c r="R275">
        <v>126.7</v>
      </c>
      <c r="S275">
        <v>122.3</v>
      </c>
      <c r="T275">
        <v>126.1</v>
      </c>
      <c r="U275">
        <v>119.9</v>
      </c>
      <c r="V275">
        <v>120.1</v>
      </c>
      <c r="W275">
        <v>121.3</v>
      </c>
      <c r="X275">
        <v>119</v>
      </c>
      <c r="Y275">
        <v>112.7</v>
      </c>
      <c r="Z275">
        <v>117.2</v>
      </c>
      <c r="AA275">
        <v>124.4</v>
      </c>
      <c r="AB275">
        <v>112.3</v>
      </c>
      <c r="AC275">
        <v>117.2</v>
      </c>
      <c r="AD275">
        <v>123.6</v>
      </c>
      <c r="AE275">
        <v>125.78571428571431</v>
      </c>
      <c r="AF275">
        <v>125.03333333333335</v>
      </c>
      <c r="AG275">
        <v>120.6</v>
      </c>
      <c r="AH275" s="2">
        <f>All_India_Index_Upto_April23__1[[#This Row],[House]]/All_India_Index_Upto_April23__1[[#This Row],[TOTAL BROADER CATEGORIES]]</f>
        <v>0.10097804287759114</v>
      </c>
      <c r="AI275" s="2">
        <f>All_India_Index_Upto_April23__1[[#This Row],[Cloth]]/All_India_Index_Upto_April23__1[[#This Row],[TOTAL BROADER CATEGORIES]]</f>
        <v>0.10469006048475522</v>
      </c>
      <c r="AJ275" s="2">
        <f>All_India_Index_Upto_April23__1[[#This Row],[Food]]/All_India_Index_Upto_April23__1[[#This Row],[TOTAL BROADER CATEGORIES]]</f>
        <v>0.10532002695299575</v>
      </c>
      <c r="AK275" s="2">
        <f>All_India_Index_Upto_April23__1[[#This Row],[Miscellaneous]]/All_India_Index_Upto_April23__1[[#This Row],[TOTAL BROADER CATEGORIES]]</f>
        <v>9.8131232381871325E-2</v>
      </c>
      <c r="AL275" s="2">
        <f>All_India_Index_Upto_April23__1[[#This Row],[Personal care and effects]]/All_India_Index_Upto_April23__1[[#This Row],[TOTAL BROADER CATEGORIES]]</f>
        <v>9.40284760792163E-2</v>
      </c>
      <c r="AM275" s="2">
        <f>All_India_Index_Upto_April23__1[[#This Row],[Education]]/All_India_Index_Upto_April23__1[[#This Row],[TOTAL BROADER CATEGORIES]]</f>
        <v>0.10415977225516035</v>
      </c>
      <c r="AN275" s="2">
        <f>All_India_Index_Upto_April23__1[[#This Row],[Recreation and amusement]]/All_India_Index_Upto_April23__1[[#This Row],[TOTAL BROADER CATEGORIES]]</f>
        <v>9.8131232381871325E-2</v>
      </c>
      <c r="AO275" s="2">
        <f>All_India_Index_Upto_April23__1[[#This Row],[Transport and communication]]/All_India_Index_Upto_April23__1[[#This Row],[TOTAL BROADER CATEGORIES]]</f>
        <v>9.4363394961065689E-2</v>
      </c>
      <c r="AP275" s="2">
        <f>All_India_Index_Upto_April23__1[[#This Row],[Health]]/All_India_Index_Upto_April23__1[[#This Row],[TOTAL BROADER CATEGORIES]]</f>
        <v>9.9638367350193588E-2</v>
      </c>
      <c r="AQ275" s="2">
        <f>All_India_Index_Upto_April23__1[[#This Row],[Fuel and light]]/All_India_Index_Upto_April23__1[[#This Row],[TOTAL BROADER CATEGORIES]]</f>
        <v>0.10055939427527941</v>
      </c>
      <c r="AR275">
        <f>MONTH(1 &amp; All_India_Index_Upto_April23__1[[#This Row],[Month]])</f>
        <v>7</v>
      </c>
      <c r="AS275" s="19" t="str">
        <f>All_India_Index_Upto_April23__1[[#This Row],[MONTH IN NUM]]&amp;"/"&amp;All_India_Index_Upto_April23__1[[#This Row],[Year]]</f>
        <v>7/2015</v>
      </c>
      <c r="AT27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122.97142857142856</v>
      </c>
      <c r="AU27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1194.3190476190475</v>
      </c>
    </row>
    <row r="276" spans="1:47" x14ac:dyDescent="0.3">
      <c r="A276" t="s">
        <v>30</v>
      </c>
      <c r="B276">
        <v>2015</v>
      </c>
      <c r="C276" t="s">
        <v>39</v>
      </c>
      <c r="D276">
        <v>124</v>
      </c>
      <c r="E276">
        <v>131.5</v>
      </c>
      <c r="F276">
        <v>122</v>
      </c>
      <c r="G276">
        <v>128.69999999999999</v>
      </c>
      <c r="H276">
        <v>113.5</v>
      </c>
      <c r="I276">
        <v>133.30000000000001</v>
      </c>
      <c r="J276">
        <v>140.80000000000001</v>
      </c>
      <c r="K276">
        <v>133.80000000000001</v>
      </c>
      <c r="L276">
        <v>94.1</v>
      </c>
      <c r="M276">
        <v>123.4</v>
      </c>
      <c r="N276">
        <v>121</v>
      </c>
      <c r="O276">
        <v>131.69999999999999</v>
      </c>
      <c r="P276">
        <v>127.5</v>
      </c>
      <c r="Q276">
        <v>129.4</v>
      </c>
      <c r="R276">
        <v>128.80000000000001</v>
      </c>
      <c r="S276">
        <v>125.5</v>
      </c>
      <c r="T276">
        <v>128.30000000000001</v>
      </c>
      <c r="U276">
        <v>140.85</v>
      </c>
      <c r="V276">
        <v>123</v>
      </c>
      <c r="W276">
        <v>123</v>
      </c>
      <c r="X276">
        <v>120.8</v>
      </c>
      <c r="Y276">
        <v>114.1</v>
      </c>
      <c r="Z276">
        <v>118</v>
      </c>
      <c r="AA276">
        <v>122.9</v>
      </c>
      <c r="AB276">
        <v>112.7</v>
      </c>
      <c r="AC276">
        <v>118.1</v>
      </c>
      <c r="AD276">
        <v>124.7</v>
      </c>
      <c r="AE276">
        <v>125.33571428571429</v>
      </c>
      <c r="AF276">
        <v>127.53333333333335</v>
      </c>
      <c r="AG276">
        <v>131.92500000000001</v>
      </c>
      <c r="AH276" s="2">
        <f>All_India_Index_Upto_April23__1[[#This Row],[House]]/All_India_Index_Upto_April23__1[[#This Row],[TOTAL BROADER CATEGORIES]]</f>
        <v>0.1086344257522123</v>
      </c>
      <c r="AI276" s="2">
        <f>All_India_Index_Upto_April23__1[[#This Row],[Cloth]]/All_India_Index_Upto_April23__1[[#This Row],[TOTAL BROADER CATEGORIES]]</f>
        <v>0.10501808172016025</v>
      </c>
      <c r="AJ276" s="2">
        <f>All_India_Index_Upto_April23__1[[#This Row],[Food]]/All_India_Index_Upto_April23__1[[#This Row],[TOTAL BROADER CATEGORIES]]</f>
        <v>0.10320843924708677</v>
      </c>
      <c r="AK276" s="2">
        <f>All_India_Index_Upto_April23__1[[#This Row],[Miscellaneous]]/All_India_Index_Upto_April23__1[[#This Row],[TOTAL BROADER CATEGORIES]]</f>
        <v>9.7250147290780908E-2</v>
      </c>
      <c r="AL276" s="2">
        <f>All_India_Index_Upto_April23__1[[#This Row],[Personal care and effects]]/All_India_Index_Upto_April23__1[[#This Row],[TOTAL BROADER CATEGORIES]]</f>
        <v>9.2803485179263401E-2</v>
      </c>
      <c r="AM276" s="2">
        <f>All_India_Index_Upto_April23__1[[#This Row],[Education]]/All_India_Index_Upto_April23__1[[#This Row],[TOTAL BROADER CATEGORIES]]</f>
        <v>0.10120273583435202</v>
      </c>
      <c r="AN276" s="2">
        <f>All_India_Index_Upto_April23__1[[#This Row],[Recreation and amusement]]/All_India_Index_Upto_April23__1[[#This Row],[TOTAL BROADER CATEGORIES]]</f>
        <v>9.7167801696123171E-2</v>
      </c>
      <c r="AO276" s="2">
        <f>All_India_Index_Upto_April23__1[[#This Row],[Transport and communication]]/All_India_Index_Upto_April23__1[[#This Row],[TOTAL BROADER CATEGORIES]]</f>
        <v>9.3956323504471639E-2</v>
      </c>
      <c r="AP276" s="2">
        <f>All_India_Index_Upto_April23__1[[#This Row],[Health]]/All_India_Index_Upto_April23__1[[#This Row],[TOTAL BROADER CATEGORIES]]</f>
        <v>9.9473478346539648E-2</v>
      </c>
      <c r="AQ276" s="2">
        <f>All_India_Index_Upto_April23__1[[#This Row],[Fuel and light]]/All_India_Index_Upto_April23__1[[#This Row],[TOTAL BROADER CATEGORIES]]</f>
        <v>0.10128508142900974</v>
      </c>
      <c r="AR276">
        <f>MONTH(1 &amp; All_India_Index_Upto_April23__1[[#This Row],[Month]])</f>
        <v>7</v>
      </c>
      <c r="AS276" s="19" t="str">
        <f>All_India_Index_Upto_April23__1[[#This Row],[MONTH IN NUM]]&amp;"/"&amp;All_India_Index_Upto_April23__1[[#This Row],[Year]]</f>
        <v>7/2015</v>
      </c>
      <c r="AT27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127.47857142857141</v>
      </c>
      <c r="AU27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1214.3940476190478</v>
      </c>
    </row>
    <row r="277" spans="1:47" x14ac:dyDescent="0.3">
      <c r="A277" t="s">
        <v>32</v>
      </c>
      <c r="B277">
        <v>2015</v>
      </c>
      <c r="C277" t="s">
        <v>39</v>
      </c>
      <c r="D277">
        <v>123.2</v>
      </c>
      <c r="E277">
        <v>134.30000000000001</v>
      </c>
      <c r="F277">
        <v>119.5</v>
      </c>
      <c r="G277">
        <v>127.7</v>
      </c>
      <c r="H277">
        <v>106.3</v>
      </c>
      <c r="I277">
        <v>132.80000000000001</v>
      </c>
      <c r="J277">
        <v>153.5</v>
      </c>
      <c r="K277">
        <v>149.5</v>
      </c>
      <c r="L277">
        <v>85.7</v>
      </c>
      <c r="M277">
        <v>131.5</v>
      </c>
      <c r="N277">
        <v>118.3</v>
      </c>
      <c r="O277">
        <v>131.1</v>
      </c>
      <c r="P277">
        <v>129.5</v>
      </c>
      <c r="Q277">
        <v>133.1</v>
      </c>
      <c r="R277">
        <v>123.5</v>
      </c>
      <c r="S277">
        <v>117.9</v>
      </c>
      <c r="T277">
        <v>122.7</v>
      </c>
      <c r="U277">
        <v>119.9</v>
      </c>
      <c r="V277">
        <v>115.3</v>
      </c>
      <c r="W277">
        <v>119.5</v>
      </c>
      <c r="X277">
        <v>116</v>
      </c>
      <c r="Y277">
        <v>111.5</v>
      </c>
      <c r="Z277">
        <v>116.6</v>
      </c>
      <c r="AA277">
        <v>125.4</v>
      </c>
      <c r="AB277">
        <v>111.7</v>
      </c>
      <c r="AC277">
        <v>116.3</v>
      </c>
      <c r="AD277">
        <v>122.4</v>
      </c>
      <c r="AE277">
        <v>126.85714285714285</v>
      </c>
      <c r="AF277">
        <v>121.36666666666667</v>
      </c>
      <c r="AG277">
        <v>119.7</v>
      </c>
      <c r="AH277" s="2">
        <f>All_India_Index_Upto_April23__1[[#This Row],[House]]/All_India_Index_Upto_April23__1[[#This Row],[TOTAL BROADER CATEGORIES]]</f>
        <v>0.10137849261147319</v>
      </c>
      <c r="AI277" s="2">
        <f>All_India_Index_Upto_April23__1[[#This Row],[Cloth]]/All_India_Index_Upto_April23__1[[#This Row],[TOTAL BROADER CATEGORIES]]</f>
        <v>0.10279005613989806</v>
      </c>
      <c r="AJ277" s="2">
        <f>All_India_Index_Upto_April23__1[[#This Row],[Food]]/All_India_Index_Upto_April23__1[[#This Row],[TOTAL BROADER CATEGORIES]]</f>
        <v>0.10744014970639479</v>
      </c>
      <c r="AK277" s="2">
        <f>All_India_Index_Upto_April23__1[[#This Row],[Miscellaneous]]/All_India_Index_Upto_April23__1[[#This Row],[TOTAL BROADER CATEGORIES]]</f>
        <v>9.8498903013486488E-2</v>
      </c>
      <c r="AL277" s="2">
        <f>All_India_Index_Upto_April23__1[[#This Row],[Personal care and effects]]/All_India_Index_Upto_April23__1[[#This Row],[TOTAL BROADER CATEGORIES]]</f>
        <v>9.4602987675033889E-2</v>
      </c>
      <c r="AM277" s="2">
        <f>All_India_Index_Upto_April23__1[[#This Row],[Education]]/All_India_Index_Upto_April23__1[[#This Row],[TOTAL BROADER CATEGORIES]]</f>
        <v>0.10620603987868621</v>
      </c>
      <c r="AN277" s="2">
        <f>All_India_Index_Upto_April23__1[[#This Row],[Recreation and amusement]]/All_India_Index_Upto_April23__1[[#This Row],[TOTAL BROADER CATEGORIES]]</f>
        <v>9.8752984448602962E-2</v>
      </c>
      <c r="AO277" s="2">
        <f>All_India_Index_Upto_April23__1[[#This Row],[Transport and communication]]/All_India_Index_Upto_April23__1[[#This Row],[TOTAL BROADER CATEGORIES]]</f>
        <v>9.4433600051622907E-2</v>
      </c>
      <c r="AP277" s="2">
        <f>All_India_Index_Upto_April23__1[[#This Row],[Health]]/All_India_Index_Upto_April23__1[[#This Row],[TOTAL BROADER CATEGORIES]]</f>
        <v>9.8244821578370015E-2</v>
      </c>
      <c r="AQ277" s="2">
        <f>All_India_Index_Upto_April23__1[[#This Row],[Fuel and light]]/All_India_Index_Upto_April23__1[[#This Row],[TOTAL BROADER CATEGORIES]]</f>
        <v>9.7651964896431576E-2</v>
      </c>
      <c r="AR277">
        <f>MONTH(1 &amp; All_India_Index_Upto_April23__1[[#This Row],[Month]])</f>
        <v>7</v>
      </c>
      <c r="AS277" s="19" t="str">
        <f>All_India_Index_Upto_April23__1[[#This Row],[MONTH IN NUM]]&amp;"/"&amp;All_India_Index_Upto_April23__1[[#This Row],[Year]]</f>
        <v>7/2015</v>
      </c>
      <c r="AT27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120.60000000000001</v>
      </c>
      <c r="AU27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1180.7238095238095</v>
      </c>
    </row>
    <row r="278" spans="1:47" x14ac:dyDescent="0.3">
      <c r="A278" t="s">
        <v>32</v>
      </c>
      <c r="B278">
        <v>2015</v>
      </c>
      <c r="C278" t="s">
        <v>38</v>
      </c>
      <c r="D278">
        <v>123.6</v>
      </c>
      <c r="E278">
        <v>134.4</v>
      </c>
      <c r="F278">
        <v>120.9</v>
      </c>
      <c r="G278">
        <v>127.3</v>
      </c>
      <c r="H278">
        <v>106</v>
      </c>
      <c r="I278">
        <v>132.30000000000001</v>
      </c>
      <c r="J278">
        <v>146.69999999999999</v>
      </c>
      <c r="K278">
        <v>148.1</v>
      </c>
      <c r="L278">
        <v>89.8</v>
      </c>
      <c r="M278">
        <v>130.5</v>
      </c>
      <c r="N278">
        <v>118</v>
      </c>
      <c r="O278">
        <v>130.5</v>
      </c>
      <c r="P278">
        <v>128.5</v>
      </c>
      <c r="Q278">
        <v>132.1</v>
      </c>
      <c r="R278">
        <v>123.2</v>
      </c>
      <c r="S278">
        <v>117.6</v>
      </c>
      <c r="T278">
        <v>122.3</v>
      </c>
      <c r="U278">
        <v>119</v>
      </c>
      <c r="V278">
        <v>115.1</v>
      </c>
      <c r="W278">
        <v>119.2</v>
      </c>
      <c r="X278">
        <v>115.4</v>
      </c>
      <c r="Y278">
        <v>111.7</v>
      </c>
      <c r="Z278">
        <v>116.2</v>
      </c>
      <c r="AA278">
        <v>123.8</v>
      </c>
      <c r="AB278">
        <v>112.5</v>
      </c>
      <c r="AC278">
        <v>116</v>
      </c>
      <c r="AD278">
        <v>121.7</v>
      </c>
      <c r="AE278">
        <v>126.33571428571427</v>
      </c>
      <c r="AF278">
        <v>121.03333333333335</v>
      </c>
      <c r="AG278">
        <v>119.1</v>
      </c>
      <c r="AH278" s="2">
        <f>All_India_Index_Upto_April23__1[[#This Row],[House]]/All_India_Index_Upto_April23__1[[#This Row],[TOTAL BROADER CATEGORIES]]</f>
        <v>0.10117493340560788</v>
      </c>
      <c r="AI278" s="2">
        <f>All_India_Index_Upto_April23__1[[#This Row],[Cloth]]/All_India_Index_Upto_April23__1[[#This Row],[TOTAL BROADER CATEGORIES]]</f>
        <v>0.10281729168647138</v>
      </c>
      <c r="AJ278" s="2">
        <f>All_India_Index_Upto_April23__1[[#This Row],[Food]]/All_India_Index_Upto_April23__1[[#This Row],[TOTAL BROADER CATEGORIES]]</f>
        <v>0.10732164130652432</v>
      </c>
      <c r="AK278" s="2">
        <f>All_India_Index_Upto_April23__1[[#This Row],[Miscellaneous]]/All_India_Index_Upto_April23__1[[#This Row],[TOTAL BROADER CATEGORIES]]</f>
        <v>9.8541496851809518E-2</v>
      </c>
      <c r="AL278" s="2">
        <f>All_India_Index_Upto_April23__1[[#This Row],[Personal care and effects]]/All_India_Index_Upto_April23__1[[#This Row],[TOTAL BROADER CATEGORIES]]</f>
        <v>9.5568262033004919E-2</v>
      </c>
      <c r="AM278" s="2">
        <f>All_India_Index_Upto_April23__1[[#This Row],[Education]]/All_India_Index_Upto_April23__1[[#This Row],[TOTAL BROADER CATEGORIES]]</f>
        <v>0.1051675630194312</v>
      </c>
      <c r="AN278" s="2">
        <f>All_India_Index_Upto_April23__1[[#This Row],[Recreation and amusement]]/All_India_Index_Upto_April23__1[[#This Row],[TOTAL BROADER CATEGORIES]]</f>
        <v>9.8711395984312653E-2</v>
      </c>
      <c r="AO278" s="2">
        <f>All_India_Index_Upto_April23__1[[#This Row],[Transport and communication]]/All_India_Index_Upto_April23__1[[#This Row],[TOTAL BROADER CATEGORIES]]</f>
        <v>9.488866550299245E-2</v>
      </c>
      <c r="AP278" s="2">
        <f>All_India_Index_Upto_April23__1[[#This Row],[Health]]/All_India_Index_Upto_April23__1[[#This Row],[TOTAL BROADER CATEGORIES]]</f>
        <v>9.803179945430017E-2</v>
      </c>
      <c r="AQ278" s="2">
        <f>All_India_Index_Upto_April23__1[[#This Row],[Fuel and light]]/All_India_Index_Upto_April23__1[[#This Row],[TOTAL BROADER CATEGORIES]]</f>
        <v>9.7776950755545475E-2</v>
      </c>
      <c r="AR278">
        <f>MONTH(1 &amp; All_India_Index_Upto_April23__1[[#This Row],[Month]])</f>
        <v>6</v>
      </c>
      <c r="AS278" s="19" t="str">
        <f>All_India_Index_Upto_April23__1[[#This Row],[MONTH IN NUM]]&amp;"/"&amp;All_India_Index_Upto_April23__1[[#This Row],[Year]]</f>
        <v>6/2015</v>
      </c>
      <c r="AT27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120.02857142857144</v>
      </c>
      <c r="AU27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1177.1690476190477</v>
      </c>
    </row>
    <row r="279" spans="1:47" x14ac:dyDescent="0.3">
      <c r="A279" t="s">
        <v>33</v>
      </c>
      <c r="B279">
        <v>2015</v>
      </c>
      <c r="C279" t="s">
        <v>38</v>
      </c>
      <c r="D279">
        <v>123.9</v>
      </c>
      <c r="E279">
        <v>131.80000000000001</v>
      </c>
      <c r="F279">
        <v>121.6</v>
      </c>
      <c r="G279">
        <v>128.19999999999999</v>
      </c>
      <c r="H279">
        <v>111.1</v>
      </c>
      <c r="I279">
        <v>132.80000000000001</v>
      </c>
      <c r="J279">
        <v>139.1</v>
      </c>
      <c r="K279">
        <v>137.4</v>
      </c>
      <c r="L279">
        <v>94.1</v>
      </c>
      <c r="M279">
        <v>125.5</v>
      </c>
      <c r="N279">
        <v>119.8</v>
      </c>
      <c r="O279">
        <v>130.9</v>
      </c>
      <c r="P279">
        <v>127.3</v>
      </c>
      <c r="Q279">
        <v>129.19999999999999</v>
      </c>
      <c r="R279">
        <v>126.4</v>
      </c>
      <c r="S279">
        <v>122</v>
      </c>
      <c r="T279">
        <v>125.7</v>
      </c>
      <c r="U279">
        <v>119</v>
      </c>
      <c r="V279">
        <v>119.8</v>
      </c>
      <c r="W279">
        <v>121.1</v>
      </c>
      <c r="X279">
        <v>118.5</v>
      </c>
      <c r="Y279">
        <v>112.9</v>
      </c>
      <c r="Z279">
        <v>116.9</v>
      </c>
      <c r="AA279">
        <v>123.1</v>
      </c>
      <c r="AB279">
        <v>112.8</v>
      </c>
      <c r="AC279">
        <v>117</v>
      </c>
      <c r="AD279">
        <v>123</v>
      </c>
      <c r="AE279">
        <v>125.19285714285715</v>
      </c>
      <c r="AF279">
        <v>124.7</v>
      </c>
      <c r="AG279">
        <v>120.05</v>
      </c>
      <c r="AH279" s="2">
        <f>All_India_Index_Upto_April23__1[[#This Row],[House]]/All_India_Index_Upto_April23__1[[#This Row],[TOTAL BROADER CATEGORIES]]</f>
        <v>0.10080248542571313</v>
      </c>
      <c r="AI279" s="2">
        <f>All_India_Index_Upto_April23__1[[#This Row],[Cloth]]/All_India_Index_Upto_April23__1[[#This Row],[TOTAL BROADER CATEGORIES]]</f>
        <v>0.10470695487368953</v>
      </c>
      <c r="AJ279" s="2">
        <f>All_India_Index_Upto_April23__1[[#This Row],[Food]]/All_India_Index_Upto_April23__1[[#This Row],[TOTAL BROADER CATEGORIES]]</f>
        <v>0.10512079264928149</v>
      </c>
      <c r="AK279" s="2">
        <f>All_India_Index_Upto_April23__1[[#This Row],[Miscellaneous]]/All_India_Index_Upto_April23__1[[#This Row],[TOTAL BROADER CATEGORIES]]</f>
        <v>9.8241489336180224E-2</v>
      </c>
      <c r="AL279" s="2">
        <f>All_India_Index_Upto_April23__1[[#This Row],[Personal care and effects]]/All_India_Index_Upto_April23__1[[#This Row],[TOTAL BROADER CATEGORIES]]</f>
        <v>9.4714871770266065E-2</v>
      </c>
      <c r="AM279" s="2">
        <f>All_India_Index_Upto_April23__1[[#This Row],[Education]]/All_India_Index_Upto_April23__1[[#This Row],[TOTAL BROADER CATEGORIES]]</f>
        <v>0.10336348151524602</v>
      </c>
      <c r="AN279" s="2">
        <f>All_India_Index_Upto_April23__1[[#This Row],[Recreation and amusement]]/All_India_Index_Upto_April23__1[[#This Row],[TOTAL BROADER CATEGORIES]]</f>
        <v>9.815752225127751E-2</v>
      </c>
      <c r="AO279" s="2">
        <f>All_India_Index_Upto_April23__1[[#This Row],[Transport and communication]]/All_India_Index_Upto_April23__1[[#This Row],[TOTAL BROADER CATEGORIES]]</f>
        <v>9.4798838855168779E-2</v>
      </c>
      <c r="AP279" s="2">
        <f>All_India_Index_Upto_April23__1[[#This Row],[Health]]/All_India_Index_Upto_April23__1[[#This Row],[TOTAL BROADER CATEGORIES]]</f>
        <v>9.9500995609720991E-2</v>
      </c>
      <c r="AQ279" s="2">
        <f>All_India_Index_Upto_April23__1[[#This Row],[Fuel and light]]/All_India_Index_Upto_April23__1[[#This Row],[TOTAL BROADER CATEGORIES]]</f>
        <v>0.10059256771345633</v>
      </c>
      <c r="AR279">
        <f>MONTH(1 &amp; All_India_Index_Upto_April23__1[[#This Row],[Month]])</f>
        <v>6</v>
      </c>
      <c r="AS279" s="19" t="str">
        <f>All_India_Index_Upto_April23__1[[#This Row],[MONTH IN NUM]]&amp;"/"&amp;All_India_Index_Upto_April23__1[[#This Row],[Year]]</f>
        <v>6/2015</v>
      </c>
      <c r="AT27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122.44285714285715</v>
      </c>
      <c r="AU27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1190.9428571428571</v>
      </c>
    </row>
    <row r="280" spans="1:47" x14ac:dyDescent="0.3">
      <c r="A280" t="s">
        <v>30</v>
      </c>
      <c r="B280">
        <v>2015</v>
      </c>
      <c r="C280" t="s">
        <v>38</v>
      </c>
      <c r="D280">
        <v>124.1</v>
      </c>
      <c r="E280">
        <v>130.4</v>
      </c>
      <c r="F280">
        <v>122.1</v>
      </c>
      <c r="G280">
        <v>128.69999999999999</v>
      </c>
      <c r="H280">
        <v>114.1</v>
      </c>
      <c r="I280">
        <v>133.19999999999999</v>
      </c>
      <c r="J280">
        <v>135.19999999999999</v>
      </c>
      <c r="K280">
        <v>131.9</v>
      </c>
      <c r="L280">
        <v>96.3</v>
      </c>
      <c r="M280">
        <v>123</v>
      </c>
      <c r="N280">
        <v>121.1</v>
      </c>
      <c r="O280">
        <v>131.19999999999999</v>
      </c>
      <c r="P280">
        <v>126.6</v>
      </c>
      <c r="Q280">
        <v>128.19999999999999</v>
      </c>
      <c r="R280">
        <v>128.4</v>
      </c>
      <c r="S280">
        <v>125.1</v>
      </c>
      <c r="T280">
        <v>128</v>
      </c>
      <c r="U280">
        <v>140.85</v>
      </c>
      <c r="V280">
        <v>122.6</v>
      </c>
      <c r="W280">
        <v>122.8</v>
      </c>
      <c r="X280">
        <v>120.4</v>
      </c>
      <c r="Y280">
        <v>114.2</v>
      </c>
      <c r="Z280">
        <v>117.9</v>
      </c>
      <c r="AA280">
        <v>122</v>
      </c>
      <c r="AB280">
        <v>113</v>
      </c>
      <c r="AC280">
        <v>117.9</v>
      </c>
      <c r="AD280">
        <v>124.1</v>
      </c>
      <c r="AE280">
        <v>124.72142857142856</v>
      </c>
      <c r="AF280">
        <v>127.16666666666667</v>
      </c>
      <c r="AG280">
        <v>131.82499999999999</v>
      </c>
      <c r="AH280" s="2">
        <f>All_India_Index_Upto_April23__1[[#This Row],[House]]/All_India_Index_Upto_April23__1[[#This Row],[TOTAL BROADER CATEGORIES]]</f>
        <v>0.10879225496370251</v>
      </c>
      <c r="AI280" s="2">
        <f>All_India_Index_Upto_April23__1[[#This Row],[Cloth]]/All_India_Index_Upto_April23__1[[#This Row],[TOTAL BROADER CATEGORIES]]</f>
        <v>0.10494783556141984</v>
      </c>
      <c r="AJ280" s="2">
        <f>All_India_Index_Upto_April23__1[[#This Row],[Food]]/All_India_Index_Upto_April23__1[[#This Row],[TOTAL BROADER CATEGORIES]]</f>
        <v>0.10292983467915849</v>
      </c>
      <c r="AK280" s="2">
        <f>All_India_Index_Upto_April23__1[[#This Row],[Miscellaneous]]/All_India_Index_Upto_April23__1[[#This Row],[TOTAL BROADER CATEGORIES]]</f>
        <v>9.7300260650260026E-2</v>
      </c>
      <c r="AL280" s="2">
        <f>All_India_Index_Upto_April23__1[[#This Row],[Personal care and effects]]/All_India_Index_Upto_April23__1[[#This Row],[TOTAL BROADER CATEGORIES]]</f>
        <v>9.3256399096517242E-2</v>
      </c>
      <c r="AM280" s="2">
        <f>All_India_Index_Upto_April23__1[[#This Row],[Education]]/All_India_Index_Upto_April23__1[[#This Row],[TOTAL BROADER CATEGORIES]]</f>
        <v>0.10068389990951419</v>
      </c>
      <c r="AN280" s="2">
        <f>All_India_Index_Upto_April23__1[[#This Row],[Recreation and amusement]]/All_India_Index_Upto_April23__1[[#This Row],[TOTAL BROADER CATEGORIES]]</f>
        <v>9.7300260650260026E-2</v>
      </c>
      <c r="AO280" s="2">
        <f>All_India_Index_Upto_April23__1[[#This Row],[Transport and communication]]/All_India_Index_Upto_April23__1[[#This Row],[TOTAL BROADER CATEGORIES]]</f>
        <v>9.4246732538250166E-2</v>
      </c>
      <c r="AP280" s="2">
        <f>All_India_Index_Upto_April23__1[[#This Row],[Health]]/All_India_Index_Upto_April23__1[[#This Row],[TOTAL BROADER CATEGORIES]]</f>
        <v>9.9363455320536961E-2</v>
      </c>
      <c r="AQ280" s="2">
        <f>All_India_Index_Upto_April23__1[[#This Row],[Fuel and light]]/All_India_Index_Upto_April23__1[[#This Row],[TOTAL BROADER CATEGORIES]]</f>
        <v>0.10117906663038065</v>
      </c>
      <c r="AR280">
        <f>MONTH(1 &amp; All_India_Index_Upto_April23__1[[#This Row],[Month]])</f>
        <v>6</v>
      </c>
      <c r="AS280" s="19" t="str">
        <f>All_India_Index_Upto_April23__1[[#This Row],[MONTH IN NUM]]&amp;"/"&amp;All_India_Index_Upto_April23__1[[#This Row],[Year]]</f>
        <v>6/2015</v>
      </c>
      <c r="AT28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127.10714285714286</v>
      </c>
      <c r="AU28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1211.7130952380951</v>
      </c>
    </row>
    <row r="281" spans="1:47" x14ac:dyDescent="0.3">
      <c r="A281" t="s">
        <v>30</v>
      </c>
      <c r="B281">
        <v>2015</v>
      </c>
      <c r="C281" t="s">
        <v>37</v>
      </c>
      <c r="D281">
        <v>123.5</v>
      </c>
      <c r="E281">
        <v>127.1</v>
      </c>
      <c r="F281">
        <v>117.3</v>
      </c>
      <c r="G281">
        <v>127.7</v>
      </c>
      <c r="H281">
        <v>112.5</v>
      </c>
      <c r="I281">
        <v>134.1</v>
      </c>
      <c r="J281">
        <v>128.5</v>
      </c>
      <c r="K281">
        <v>124.3</v>
      </c>
      <c r="L281">
        <v>97.6</v>
      </c>
      <c r="M281">
        <v>120.7</v>
      </c>
      <c r="N281">
        <v>120.2</v>
      </c>
      <c r="O281">
        <v>129.80000000000001</v>
      </c>
      <c r="P281">
        <v>124.4</v>
      </c>
      <c r="Q281">
        <v>126.7</v>
      </c>
      <c r="R281">
        <v>127.3</v>
      </c>
      <c r="S281">
        <v>124.1</v>
      </c>
      <c r="T281">
        <v>126.8</v>
      </c>
      <c r="U281">
        <v>140.85</v>
      </c>
      <c r="V281">
        <v>121.9</v>
      </c>
      <c r="W281">
        <v>121.5</v>
      </c>
      <c r="X281">
        <v>119.4</v>
      </c>
      <c r="Y281">
        <v>113.3</v>
      </c>
      <c r="Z281">
        <v>116.7</v>
      </c>
      <c r="AA281">
        <v>120.5</v>
      </c>
      <c r="AB281">
        <v>112.3</v>
      </c>
      <c r="AC281">
        <v>116.9</v>
      </c>
      <c r="AD281">
        <v>122.4</v>
      </c>
      <c r="AE281">
        <v>122.45714285714287</v>
      </c>
      <c r="AF281">
        <v>126.06666666666666</v>
      </c>
      <c r="AG281">
        <v>131.17500000000001</v>
      </c>
      <c r="AH281" s="2">
        <f>All_India_Index_Upto_April23__1[[#This Row],[House]]/All_India_Index_Upto_April23__1[[#This Row],[TOTAL BROADER CATEGORIES]]</f>
        <v>0.1092488798685686</v>
      </c>
      <c r="AI281" s="2">
        <f>All_India_Index_Upto_April23__1[[#This Row],[Cloth]]/All_India_Index_Upto_April23__1[[#This Row],[TOTAL BROADER CATEGORIES]]</f>
        <v>0.104994412975777</v>
      </c>
      <c r="AJ281" s="2">
        <f>All_India_Index_Upto_April23__1[[#This Row],[Food]]/All_India_Index_Upto_April23__1[[#This Row],[TOTAL BROADER CATEGORIES]]</f>
        <v>0.10198822709394431</v>
      </c>
      <c r="AK281" s="2">
        <f>All_India_Index_Upto_April23__1[[#This Row],[Miscellaneous]]/All_India_Index_Upto_April23__1[[#This Row],[TOTAL BROADER CATEGORIES]]</f>
        <v>9.735996993814118E-2</v>
      </c>
      <c r="AL281" s="2">
        <f>All_India_Index_Upto_April23__1[[#This Row],[Personal care and effects]]/All_India_Index_Upto_April23__1[[#This Row],[TOTAL BROADER CATEGORIES]]</f>
        <v>9.352886761380029E-2</v>
      </c>
      <c r="AM281" s="2">
        <f>All_India_Index_Upto_April23__1[[#This Row],[Education]]/All_India_Index_Upto_April23__1[[#This Row],[TOTAL BROADER CATEGORIES]]</f>
        <v>0.10035822393110361</v>
      </c>
      <c r="AN281" s="2">
        <f>All_India_Index_Upto_April23__1[[#This Row],[Recreation and amusement]]/All_India_Index_Upto_April23__1[[#This Row],[TOTAL BROADER CATEGORIES]]</f>
        <v>9.7193400271865488E-2</v>
      </c>
      <c r="AO281" s="2">
        <f>All_India_Index_Upto_April23__1[[#This Row],[Transport and communication]]/All_India_Index_Upto_April23__1[[#This Row],[TOTAL BROADER CATEGORIES]]</f>
        <v>9.436171594517874E-2</v>
      </c>
      <c r="AP281" s="2">
        <f>All_India_Index_Upto_April23__1[[#This Row],[Health]]/All_India_Index_Upto_April23__1[[#This Row],[TOTAL BROADER CATEGORIES]]</f>
        <v>9.9442090766587318E-2</v>
      </c>
      <c r="AQ281" s="2">
        <f>All_India_Index_Upto_April23__1[[#This Row],[Fuel and light]]/All_India_Index_Upto_April23__1[[#This Row],[TOTAL BROADER CATEGORIES]]</f>
        <v>0.10152421159503344</v>
      </c>
      <c r="AR281">
        <f>MONTH(1 &amp; All_India_Index_Upto_April23__1[[#This Row],[Month]])</f>
        <v>5</v>
      </c>
      <c r="AS281" s="19" t="str">
        <f>All_India_Index_Upto_April23__1[[#This Row],[MONTH IN NUM]]&amp;"/"&amp;All_India_Index_Upto_April23__1[[#This Row],[Year]]</f>
        <v>5/2015</v>
      </c>
      <c r="AT28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126.13571428571427</v>
      </c>
      <c r="AU28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1200.6988095238096</v>
      </c>
    </row>
    <row r="282" spans="1:47" x14ac:dyDescent="0.3">
      <c r="A282" t="s">
        <v>32</v>
      </c>
      <c r="B282">
        <v>2015</v>
      </c>
      <c r="C282" t="s">
        <v>37</v>
      </c>
      <c r="D282">
        <v>123.8</v>
      </c>
      <c r="E282">
        <v>129.69999999999999</v>
      </c>
      <c r="F282">
        <v>111.3</v>
      </c>
      <c r="G282">
        <v>126.6</v>
      </c>
      <c r="H282">
        <v>105.2</v>
      </c>
      <c r="I282">
        <v>130.80000000000001</v>
      </c>
      <c r="J282">
        <v>135.6</v>
      </c>
      <c r="K282">
        <v>142.6</v>
      </c>
      <c r="L282">
        <v>90.8</v>
      </c>
      <c r="M282">
        <v>128.80000000000001</v>
      </c>
      <c r="N282">
        <v>117.7</v>
      </c>
      <c r="O282">
        <v>129.9</v>
      </c>
      <c r="P282">
        <v>126.1</v>
      </c>
      <c r="Q282">
        <v>131.30000000000001</v>
      </c>
      <c r="R282">
        <v>122.4</v>
      </c>
      <c r="S282">
        <v>117.4</v>
      </c>
      <c r="T282">
        <v>121.6</v>
      </c>
      <c r="U282">
        <v>119.6</v>
      </c>
      <c r="V282">
        <v>114.9</v>
      </c>
      <c r="W282">
        <v>118.7</v>
      </c>
      <c r="X282">
        <v>114.9</v>
      </c>
      <c r="Y282">
        <v>110.8</v>
      </c>
      <c r="Z282">
        <v>116</v>
      </c>
      <c r="AA282">
        <v>122</v>
      </c>
      <c r="AB282">
        <v>112.4</v>
      </c>
      <c r="AC282">
        <v>115.2</v>
      </c>
      <c r="AD282">
        <v>120.7</v>
      </c>
      <c r="AE282">
        <v>123.58571428571429</v>
      </c>
      <c r="AF282">
        <v>120.46666666666665</v>
      </c>
      <c r="AG282">
        <v>119.15</v>
      </c>
      <c r="AH282" s="2">
        <f>All_India_Index_Upto_April23__1[[#This Row],[House]]/All_India_Index_Upto_April23__1[[#This Row],[TOTAL BROADER CATEGORIES]]</f>
        <v>0.10188965059482967</v>
      </c>
      <c r="AI282" s="2">
        <f>All_India_Index_Upto_April23__1[[#This Row],[Cloth]]/All_India_Index_Upto_April23__1[[#This Row],[TOTAL BROADER CATEGORIES]]</f>
        <v>0.10301558182954662</v>
      </c>
      <c r="AJ282" s="2">
        <f>All_India_Index_Upto_April23__1[[#This Row],[Food]]/All_India_Index_Upto_April23__1[[#This Row],[TOTAL BROADER CATEGORIES]]</f>
        <v>0.10568279687019622</v>
      </c>
      <c r="AK282" s="2">
        <f>All_India_Index_Upto_April23__1[[#This Row],[Miscellaneous]]/All_India_Index_Upto_April23__1[[#This Row],[TOTAL BROADER CATEGORIES]]</f>
        <v>9.8511856890678789E-2</v>
      </c>
      <c r="AL282" s="2">
        <f>All_India_Index_Upto_April23__1[[#This Row],[Personal care and effects]]/All_India_Index_Upto_April23__1[[#This Row],[TOTAL BROADER CATEGORIES]]</f>
        <v>9.6117471480141464E-2</v>
      </c>
      <c r="AM282" s="2">
        <f>All_India_Index_Upto_April23__1[[#This Row],[Education]]/All_India_Index_Upto_April23__1[[#This Row],[TOTAL BROADER CATEGORIES]]</f>
        <v>0.10432679288769803</v>
      </c>
      <c r="AN282" s="2">
        <f>All_India_Index_Upto_April23__1[[#This Row],[Recreation and amusement]]/All_India_Index_Upto_April23__1[[#This Row],[TOTAL BROADER CATEGORIES]]</f>
        <v>9.9195967007975172E-2</v>
      </c>
      <c r="AO282" s="2">
        <f>All_India_Index_Upto_April23__1[[#This Row],[Transport and communication]]/All_India_Index_Upto_April23__1[[#This Row],[TOTAL BROADER CATEGORIES]]</f>
        <v>9.4749251245548699E-2</v>
      </c>
      <c r="AP282" s="2">
        <f>All_India_Index_Upto_April23__1[[#This Row],[Health]]/All_India_Index_Upto_April23__1[[#This Row],[TOTAL BROADER CATEGORIES]]</f>
        <v>9.8255315596692649E-2</v>
      </c>
      <c r="AQ282" s="2">
        <f>All_India_Index_Upto_April23__1[[#This Row],[Fuel and light]]/All_India_Index_Upto_April23__1[[#This Row],[TOTAL BROADER CATEGORIES]]</f>
        <v>9.8255315596692649E-2</v>
      </c>
      <c r="AR282">
        <f>MONTH(1 &amp; All_India_Index_Upto_April23__1[[#This Row],[Month]])</f>
        <v>5</v>
      </c>
      <c r="AS282" s="19" t="str">
        <f>All_India_Index_Upto_April23__1[[#This Row],[MONTH IN NUM]]&amp;"/"&amp;All_India_Index_Upto_April23__1[[#This Row],[Year]]</f>
        <v>5/2015</v>
      </c>
      <c r="AT28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119.51428571428572</v>
      </c>
      <c r="AU28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1169.402380952381</v>
      </c>
    </row>
    <row r="283" spans="1:47" x14ac:dyDescent="0.3">
      <c r="A283" t="s">
        <v>33</v>
      </c>
      <c r="B283">
        <v>2015</v>
      </c>
      <c r="C283" t="s">
        <v>37</v>
      </c>
      <c r="D283">
        <v>123.6</v>
      </c>
      <c r="E283">
        <v>128</v>
      </c>
      <c r="F283">
        <v>115</v>
      </c>
      <c r="G283">
        <v>127.3</v>
      </c>
      <c r="H283">
        <v>109.8</v>
      </c>
      <c r="I283">
        <v>132.6</v>
      </c>
      <c r="J283">
        <v>130.9</v>
      </c>
      <c r="K283">
        <v>130.5</v>
      </c>
      <c r="L283">
        <v>95.3</v>
      </c>
      <c r="M283">
        <v>123.4</v>
      </c>
      <c r="N283">
        <v>119.2</v>
      </c>
      <c r="O283">
        <v>129.80000000000001</v>
      </c>
      <c r="P283">
        <v>125</v>
      </c>
      <c r="Q283">
        <v>127.9</v>
      </c>
      <c r="R283">
        <v>125.4</v>
      </c>
      <c r="S283">
        <v>121.3</v>
      </c>
      <c r="T283">
        <v>124.7</v>
      </c>
      <c r="U283">
        <v>119.6</v>
      </c>
      <c r="V283">
        <v>119.2</v>
      </c>
      <c r="W283">
        <v>120.2</v>
      </c>
      <c r="X283">
        <v>117.7</v>
      </c>
      <c r="Y283">
        <v>112</v>
      </c>
      <c r="Z283">
        <v>116.3</v>
      </c>
      <c r="AA283">
        <v>121.4</v>
      </c>
      <c r="AB283">
        <v>112.3</v>
      </c>
      <c r="AC283">
        <v>116.1</v>
      </c>
      <c r="AD283">
        <v>121.6</v>
      </c>
      <c r="AE283">
        <v>122.73571428571429</v>
      </c>
      <c r="AF283">
        <v>123.8</v>
      </c>
      <c r="AG283">
        <v>119.9</v>
      </c>
      <c r="AH283" s="2">
        <f>All_India_Index_Upto_April23__1[[#This Row],[House]]/All_India_Index_Upto_April23__1[[#This Row],[TOTAL BROADER CATEGORIES]]</f>
        <v>0.10148668992327738</v>
      </c>
      <c r="AI283" s="2">
        <f>All_India_Index_Upto_April23__1[[#This Row],[Cloth]]/All_India_Index_Upto_April23__1[[#This Row],[TOTAL BROADER CATEGORIES]]</f>
        <v>0.10478775823604451</v>
      </c>
      <c r="AJ283" s="2">
        <f>All_India_Index_Upto_April23__1[[#This Row],[Food]]/All_India_Index_Upto_April23__1[[#This Row],[TOTAL BROADER CATEGORIES]]</f>
        <v>0.10388691724959342</v>
      </c>
      <c r="AK283" s="2">
        <f>All_India_Index_Upto_April23__1[[#This Row],[Miscellaneous]]/All_India_Index_Upto_April23__1[[#This Row],[TOTAL BROADER CATEGORIES]]</f>
        <v>9.8270264387760653E-2</v>
      </c>
      <c r="AL283" s="2">
        <f>All_India_Index_Upto_April23__1[[#This Row],[Personal care and effects]]/All_India_Index_Upto_April23__1[[#This Row],[TOTAL BROADER CATEGORIES]]</f>
        <v>9.505383885224393E-2</v>
      </c>
      <c r="AM283" s="2">
        <f>All_India_Index_Upto_April23__1[[#This Row],[Education]]/All_India_Index_Upto_April23__1[[#This Row],[TOTAL BROADER CATEGORIES]]</f>
        <v>0.10275633158203397</v>
      </c>
      <c r="AN283" s="2">
        <f>All_India_Index_Upto_April23__1[[#This Row],[Recreation and amusement]]/All_India_Index_Upto_April23__1[[#This Row],[TOTAL BROADER CATEGORIES]]</f>
        <v>9.8439549942261534E-2</v>
      </c>
      <c r="AO283" s="2">
        <f>All_India_Index_Upto_April23__1[[#This Row],[Transport and communication]]/All_India_Index_Upto_April23__1[[#This Row],[TOTAL BROADER CATEGORIES]]</f>
        <v>9.4799910520492622E-2</v>
      </c>
      <c r="AP283" s="2">
        <f>All_India_Index_Upto_April23__1[[#This Row],[Health]]/All_India_Index_Upto_April23__1[[#This Row],[TOTAL BROADER CATEGORIES]]</f>
        <v>9.9624548823767686E-2</v>
      </c>
      <c r="AQ283" s="2">
        <f>All_India_Index_Upto_April23__1[[#This Row],[Fuel and light]]/All_India_Index_Upto_April23__1[[#This Row],[TOTAL BROADER CATEGORIES]]</f>
        <v>0.10089419048252429</v>
      </c>
      <c r="AR283">
        <f>MONTH(1 &amp; All_India_Index_Upto_April23__1[[#This Row],[Month]])</f>
        <v>5</v>
      </c>
      <c r="AS283" s="19" t="str">
        <f>All_India_Index_Upto_April23__1[[#This Row],[MONTH IN NUM]]&amp;"/"&amp;All_India_Index_Upto_April23__1[[#This Row],[Year]]</f>
        <v>5/2015</v>
      </c>
      <c r="AT28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121.68571428571428</v>
      </c>
      <c r="AU28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1181.4357142857143</v>
      </c>
    </row>
    <row r="284" spans="1:47" x14ac:dyDescent="0.3">
      <c r="A284" t="s">
        <v>33</v>
      </c>
      <c r="B284">
        <v>2015</v>
      </c>
      <c r="C284" t="s">
        <v>36</v>
      </c>
      <c r="D284">
        <v>123.5</v>
      </c>
      <c r="E284">
        <v>126.4</v>
      </c>
      <c r="F284">
        <v>114.4</v>
      </c>
      <c r="G284">
        <v>126.6</v>
      </c>
      <c r="H284">
        <v>109.2</v>
      </c>
      <c r="I284">
        <v>132.5</v>
      </c>
      <c r="J284">
        <v>128.6</v>
      </c>
      <c r="K284">
        <v>124.8</v>
      </c>
      <c r="L284">
        <v>95.7</v>
      </c>
      <c r="M284">
        <v>122.4</v>
      </c>
      <c r="N284">
        <v>118.5</v>
      </c>
      <c r="O284">
        <v>129.1</v>
      </c>
      <c r="P284">
        <v>124</v>
      </c>
      <c r="Q284">
        <v>126.9</v>
      </c>
      <c r="R284">
        <v>124.7</v>
      </c>
      <c r="S284">
        <v>120.8</v>
      </c>
      <c r="T284">
        <v>124.1</v>
      </c>
      <c r="U284">
        <v>119.2</v>
      </c>
      <c r="V284">
        <v>118.7</v>
      </c>
      <c r="W284">
        <v>119.7</v>
      </c>
      <c r="X284">
        <v>117.1</v>
      </c>
      <c r="Y284">
        <v>110.1</v>
      </c>
      <c r="Z284">
        <v>115.9</v>
      </c>
      <c r="AA284">
        <v>121</v>
      </c>
      <c r="AB284">
        <v>111.7</v>
      </c>
      <c r="AC284">
        <v>115.1</v>
      </c>
      <c r="AD284">
        <v>120.7</v>
      </c>
      <c r="AE284">
        <v>121.61428571428573</v>
      </c>
      <c r="AF284">
        <v>123.2</v>
      </c>
      <c r="AG284">
        <v>119.45</v>
      </c>
      <c r="AH284" s="2">
        <f>All_India_Index_Upto_April23__1[[#This Row],[House]]/All_India_Index_Upto_April23__1[[#This Row],[TOTAL BROADER CATEGORIES]]</f>
        <v>0.10175793015741658</v>
      </c>
      <c r="AI284" s="2">
        <f>All_India_Index_Upto_April23__1[[#This Row],[Cloth]]/All_India_Index_Upto_April23__1[[#This Row],[TOTAL BROADER CATEGORIES]]</f>
        <v>0.10495250728667829</v>
      </c>
      <c r="AJ284" s="2">
        <f>All_India_Index_Upto_April23__1[[#This Row],[Food]]/All_India_Index_Upto_April23__1[[#This Row],[TOTAL BROADER CATEGORIES]]</f>
        <v>0.10360165752916192</v>
      </c>
      <c r="AK284" s="2">
        <f>All_India_Index_Upto_April23__1[[#This Row],[Miscellaneous]]/All_India_Index_Upto_April23__1[[#This Row],[TOTAL BROADER CATEGORIES]]</f>
        <v>9.8052220687472977E-2</v>
      </c>
      <c r="AL284" s="2">
        <f>All_India_Index_Upto_April23__1[[#This Row],[Personal care and effects]]/All_India_Index_Upto_April23__1[[#This Row],[TOTAL BROADER CATEGORIES]]</f>
        <v>9.51558040902757E-2</v>
      </c>
      <c r="AM284" s="2">
        <f>All_India_Index_Upto_April23__1[[#This Row],[Education]]/All_India_Index_Upto_April23__1[[#This Row],[TOTAL BROADER CATEGORIES]]</f>
        <v>0.10307835537084475</v>
      </c>
      <c r="AN284" s="2">
        <f>All_India_Index_Upto_April23__1[[#This Row],[Recreation and amusement]]/All_India_Index_Upto_April23__1[[#This Row],[TOTAL BROADER CATEGORIES]]</f>
        <v>9.8733730475048825E-2</v>
      </c>
      <c r="AO284" s="2">
        <f>All_India_Index_Upto_April23__1[[#This Row],[Transport and communication]]/All_India_Index_Upto_April23__1[[#This Row],[TOTAL BROADER CATEGORIES]]</f>
        <v>9.3792784515124017E-2</v>
      </c>
      <c r="AP284" s="2">
        <f>All_India_Index_Upto_April23__1[[#This Row],[Health]]/All_India_Index_Upto_April23__1[[#This Row],[TOTAL BROADER CATEGORIES]]</f>
        <v>9.9755995156412564E-2</v>
      </c>
      <c r="AQ284" s="2">
        <f>All_India_Index_Upto_April23__1[[#This Row],[Fuel and light]]/All_India_Index_Upto_April23__1[[#This Row],[TOTAL BROADER CATEGORIES]]</f>
        <v>0.10111901473156423</v>
      </c>
      <c r="AR284">
        <f>MONTH(1 &amp; All_India_Index_Upto_April23__1[[#This Row],[Month]])</f>
        <v>4</v>
      </c>
      <c r="AS284" s="19" t="str">
        <f>All_India_Index_Upto_April23__1[[#This Row],[MONTH IN NUM]]&amp;"/"&amp;All_India_Index_Upto_April23__1[[#This Row],[Year]]</f>
        <v>4/2015</v>
      </c>
      <c r="AT28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121.17142857142856</v>
      </c>
      <c r="AU28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1173.8642857142859</v>
      </c>
    </row>
    <row r="285" spans="1:47" x14ac:dyDescent="0.3">
      <c r="A285" t="s">
        <v>30</v>
      </c>
      <c r="B285">
        <v>2015</v>
      </c>
      <c r="C285" t="s">
        <v>36</v>
      </c>
      <c r="D285">
        <v>123.3</v>
      </c>
      <c r="E285">
        <v>125.5</v>
      </c>
      <c r="F285">
        <v>117.2</v>
      </c>
      <c r="G285">
        <v>126.8</v>
      </c>
      <c r="H285">
        <v>111.9</v>
      </c>
      <c r="I285">
        <v>134.19999999999999</v>
      </c>
      <c r="J285">
        <v>127.5</v>
      </c>
      <c r="K285">
        <v>121.5</v>
      </c>
      <c r="L285">
        <v>97.8</v>
      </c>
      <c r="M285">
        <v>119.8</v>
      </c>
      <c r="N285">
        <v>119.4</v>
      </c>
      <c r="O285">
        <v>128.69999999999999</v>
      </c>
      <c r="P285">
        <v>123.6</v>
      </c>
      <c r="Q285">
        <v>125.7</v>
      </c>
      <c r="R285">
        <v>126.4</v>
      </c>
      <c r="S285">
        <v>123.3</v>
      </c>
      <c r="T285">
        <v>126</v>
      </c>
      <c r="U285">
        <v>140.85</v>
      </c>
      <c r="V285">
        <v>121.2</v>
      </c>
      <c r="W285">
        <v>120.9</v>
      </c>
      <c r="X285">
        <v>118.6</v>
      </c>
      <c r="Y285">
        <v>111.9</v>
      </c>
      <c r="Z285">
        <v>116.2</v>
      </c>
      <c r="AA285">
        <v>119.9</v>
      </c>
      <c r="AB285">
        <v>111.6</v>
      </c>
      <c r="AC285">
        <v>116</v>
      </c>
      <c r="AD285">
        <v>121.5</v>
      </c>
      <c r="AE285">
        <v>121.63571428571429</v>
      </c>
      <c r="AF285">
        <v>125.23333333333333</v>
      </c>
      <c r="AG285">
        <v>130.875</v>
      </c>
      <c r="AH285" s="2">
        <f>All_India_Index_Upto_April23__1[[#This Row],[House]]/All_India_Index_Upto_April23__1[[#This Row],[TOTAL BROADER CATEGORIES]]</f>
        <v>0.1096891865329796</v>
      </c>
      <c r="AI285" s="2">
        <f>All_India_Index_Upto_April23__1[[#This Row],[Cloth]]/All_India_Index_Upto_April23__1[[#This Row],[TOTAL BROADER CATEGORIES]]</f>
        <v>0.10496078288555348</v>
      </c>
      <c r="AJ285" s="2">
        <f>All_India_Index_Upto_April23__1[[#This Row],[Food]]/All_India_Index_Upto_April23__1[[#This Row],[TOTAL BROADER CATEGORIES]]</f>
        <v>0.1019455400447597</v>
      </c>
      <c r="AK285" s="2">
        <f>All_India_Index_Upto_April23__1[[#This Row],[Miscellaneous]]/All_India_Index_Upto_April23__1[[#This Row],[TOTAL BROADER CATEGORIES]]</f>
        <v>9.7222125217387836E-2</v>
      </c>
      <c r="AL285" s="2">
        <f>All_India_Index_Upto_April23__1[[#This Row],[Personal care and effects]]/All_India_Index_Upto_April23__1[[#This Row],[TOTAL BROADER CATEGORIES]]</f>
        <v>9.3534389433280019E-2</v>
      </c>
      <c r="AM285" s="2">
        <f>All_India_Index_Upto_April23__1[[#This Row],[Education]]/All_India_Index_Upto_April23__1[[#This Row],[TOTAL BROADER CATEGORIES]]</f>
        <v>0.10049080011693795</v>
      </c>
      <c r="AN285" s="2">
        <f>All_India_Index_Upto_April23__1[[#This Row],[Recreation and amusement]]/All_India_Index_Upto_April23__1[[#This Row],[TOTAL BROADER CATEGORIES]]</f>
        <v>9.7389749571210923E-2</v>
      </c>
      <c r="AO285" s="2">
        <f>All_India_Index_Upto_April23__1[[#This Row],[Transport and communication]]/All_India_Index_Upto_April23__1[[#This Row],[TOTAL BROADER CATEGORIES]]</f>
        <v>9.3785825964014649E-2</v>
      </c>
      <c r="AP285" s="2">
        <f>All_India_Index_Upto_April23__1[[#This Row],[Health]]/All_India_Index_Upto_April23__1[[#This Row],[TOTAL BROADER CATEGORIES]]</f>
        <v>9.9401241817087899E-2</v>
      </c>
      <c r="AQ285" s="2">
        <f>All_India_Index_Upto_April23__1[[#This Row],[Fuel and light]]/All_India_Index_Upto_April23__1[[#This Row],[TOTAL BROADER CATEGORIES]]</f>
        <v>0.10158035841678799</v>
      </c>
      <c r="AR285">
        <f>MONTH(1 &amp; All_India_Index_Upto_April23__1[[#This Row],[Month]])</f>
        <v>4</v>
      </c>
      <c r="AS285" s="19" t="str">
        <f>All_India_Index_Upto_April23__1[[#This Row],[MONTH IN NUM]]&amp;"/"&amp;All_India_Index_Upto_April23__1[[#This Row],[Year]]</f>
        <v>4/2015</v>
      </c>
      <c r="AT28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125.50714285714285</v>
      </c>
      <c r="AU28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1193.1440476190476</v>
      </c>
    </row>
    <row r="286" spans="1:47" x14ac:dyDescent="0.3">
      <c r="A286" t="s">
        <v>32</v>
      </c>
      <c r="B286">
        <v>2015</v>
      </c>
      <c r="C286" t="s">
        <v>36</v>
      </c>
      <c r="D286">
        <v>123.8</v>
      </c>
      <c r="E286">
        <v>128.19999999999999</v>
      </c>
      <c r="F286">
        <v>110</v>
      </c>
      <c r="G286">
        <v>126.3</v>
      </c>
      <c r="H286">
        <v>104.5</v>
      </c>
      <c r="I286">
        <v>130.6</v>
      </c>
      <c r="J286">
        <v>130.80000000000001</v>
      </c>
      <c r="K286">
        <v>131.30000000000001</v>
      </c>
      <c r="L286">
        <v>91.6</v>
      </c>
      <c r="M286">
        <v>127.7</v>
      </c>
      <c r="N286">
        <v>117.2</v>
      </c>
      <c r="O286">
        <v>129.5</v>
      </c>
      <c r="P286">
        <v>124.6</v>
      </c>
      <c r="Q286">
        <v>130.1</v>
      </c>
      <c r="R286">
        <v>122.1</v>
      </c>
      <c r="S286">
        <v>117.2</v>
      </c>
      <c r="T286">
        <v>121.3</v>
      </c>
      <c r="U286">
        <v>119.2</v>
      </c>
      <c r="V286">
        <v>114.7</v>
      </c>
      <c r="W286">
        <v>118.4</v>
      </c>
      <c r="X286">
        <v>114.6</v>
      </c>
      <c r="Y286">
        <v>108.4</v>
      </c>
      <c r="Z286">
        <v>115.6</v>
      </c>
      <c r="AA286">
        <v>121.7</v>
      </c>
      <c r="AB286">
        <v>111.8</v>
      </c>
      <c r="AC286">
        <v>114.2</v>
      </c>
      <c r="AD286">
        <v>119.7</v>
      </c>
      <c r="AE286">
        <v>121.87142857142855</v>
      </c>
      <c r="AF286">
        <v>120.2</v>
      </c>
      <c r="AG286">
        <v>118.80000000000001</v>
      </c>
      <c r="AH286" s="2">
        <f>All_India_Index_Upto_April23__1[[#This Row],[House]]/All_India_Index_Upto_April23__1[[#This Row],[TOTAL BROADER CATEGORIES]]</f>
        <v>0.1022488350075617</v>
      </c>
      <c r="AI286" s="2">
        <f>All_India_Index_Upto_April23__1[[#This Row],[Cloth]]/All_India_Index_Upto_April23__1[[#This Row],[TOTAL BROADER CATEGORIES]]</f>
        <v>0.1034537876086609</v>
      </c>
      <c r="AJ286" s="2">
        <f>All_India_Index_Upto_April23__1[[#This Row],[Food]]/All_India_Index_Upto_April23__1[[#This Row],[TOTAL BROADER CATEGORIES]]</f>
        <v>0.10489235346915689</v>
      </c>
      <c r="AK286" s="2">
        <f>All_India_Index_Upto_April23__1[[#This Row],[Miscellaneous]]/All_India_Index_Upto_April23__1[[#This Row],[TOTAL BROADER CATEGORIES]]</f>
        <v>9.8289705032521421E-2</v>
      </c>
      <c r="AL286" s="2">
        <f>All_India_Index_Upto_April23__1[[#This Row],[Personal care and effects]]/All_India_Index_Upto_April23__1[[#This Row],[TOTAL BROADER CATEGORIES]]</f>
        <v>9.6224072002065633E-2</v>
      </c>
      <c r="AM286" s="2">
        <f>All_India_Index_Upto_April23__1[[#This Row],[Education]]/All_India_Index_Upto_April23__1[[#This Row],[TOTAL BROADER CATEGORIES]]</f>
        <v>0.10474480825269578</v>
      </c>
      <c r="AN286" s="2">
        <f>All_India_Index_Upto_April23__1[[#This Row],[Recreation and amusement]]/All_India_Index_Upto_April23__1[[#This Row],[TOTAL BROADER CATEGORIES]]</f>
        <v>9.9494657633620628E-2</v>
      </c>
      <c r="AO286" s="2">
        <f>All_India_Index_Upto_April23__1[[#This Row],[Transport and communication]]/All_India_Index_Upto_April23__1[[#This Row],[TOTAL BROADER CATEGORIES]]</f>
        <v>9.3297758542253265E-2</v>
      </c>
      <c r="AP286" s="2">
        <f>All_India_Index_Upto_April23__1[[#This Row],[Health]]/All_India_Index_Upto_April23__1[[#This Row],[TOTAL BROADER CATEGORIES]]</f>
        <v>9.8633977204264048E-2</v>
      </c>
      <c r="AQ286" s="2">
        <f>All_India_Index_Upto_April23__1[[#This Row],[Fuel and light]]/All_India_Index_Upto_April23__1[[#This Row],[TOTAL BROADER CATEGORIES]]</f>
        <v>9.8720045247199711E-2</v>
      </c>
      <c r="AR286">
        <f>MONTH(1 &amp; All_India_Index_Upto_April23__1[[#This Row],[Month]])</f>
        <v>4</v>
      </c>
      <c r="AS286" s="19" t="str">
        <f>All_India_Index_Upto_April23__1[[#This Row],[MONTH IN NUM]]&amp;"/"&amp;All_India_Index_Upto_April23__1[[#This Row],[Year]]</f>
        <v>4/2015</v>
      </c>
      <c r="AT28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119.22857142857143</v>
      </c>
      <c r="AU28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1161.8714285714286</v>
      </c>
    </row>
    <row r="287" spans="1:47" x14ac:dyDescent="0.3">
      <c r="A287" t="s">
        <v>32</v>
      </c>
      <c r="B287">
        <v>2015</v>
      </c>
      <c r="C287" t="s">
        <v>35</v>
      </c>
      <c r="D287">
        <v>124</v>
      </c>
      <c r="E287">
        <v>126.7</v>
      </c>
      <c r="F287">
        <v>113.5</v>
      </c>
      <c r="G287">
        <v>125.9</v>
      </c>
      <c r="H287">
        <v>104.8</v>
      </c>
      <c r="I287">
        <v>123.8</v>
      </c>
      <c r="J287">
        <v>131.4</v>
      </c>
      <c r="K287">
        <v>127.2</v>
      </c>
      <c r="L287">
        <v>93.2</v>
      </c>
      <c r="M287">
        <v>127.4</v>
      </c>
      <c r="N287">
        <v>117</v>
      </c>
      <c r="O287">
        <v>129.19999999999999</v>
      </c>
      <c r="P287">
        <v>123.9</v>
      </c>
      <c r="Q287">
        <v>128.80000000000001</v>
      </c>
      <c r="R287">
        <v>121.7</v>
      </c>
      <c r="S287">
        <v>116.9</v>
      </c>
      <c r="T287">
        <v>120.9</v>
      </c>
      <c r="U287">
        <v>118.6</v>
      </c>
      <c r="V287">
        <v>114.4</v>
      </c>
      <c r="W287">
        <v>118</v>
      </c>
      <c r="X287">
        <v>114.3</v>
      </c>
      <c r="Y287">
        <v>108.4</v>
      </c>
      <c r="Z287">
        <v>115.4</v>
      </c>
      <c r="AA287">
        <v>120.6</v>
      </c>
      <c r="AB287">
        <v>111.3</v>
      </c>
      <c r="AC287">
        <v>113.8</v>
      </c>
      <c r="AD287">
        <v>119.1</v>
      </c>
      <c r="AE287">
        <v>121.20000000000002</v>
      </c>
      <c r="AF287">
        <v>119.83333333333333</v>
      </c>
      <c r="AG287">
        <v>118.3</v>
      </c>
      <c r="AH287" s="2">
        <f>All_India_Index_Upto_April23__1[[#This Row],[House]]/All_India_Index_Upto_April23__1[[#This Row],[TOTAL BROADER CATEGORIES]]</f>
        <v>0.10220008063122731</v>
      </c>
      <c r="AI287" s="2">
        <f>All_India_Index_Upto_April23__1[[#This Row],[Cloth]]/All_India_Index_Upto_April23__1[[#This Row],[TOTAL BROADER CATEGORIES]]</f>
        <v>0.10352473650866784</v>
      </c>
      <c r="AJ287" s="2">
        <f>All_India_Index_Upto_April23__1[[#This Row],[Food]]/All_India_Index_Upto_April23__1[[#This Row],[TOTAL BROADER CATEGORIES]]</f>
        <v>0.10470540805160398</v>
      </c>
      <c r="AK287" s="2">
        <f>All_India_Index_Upto_April23__1[[#This Row],[Miscellaneous]]/All_India_Index_Upto_April23__1[[#This Row],[TOTAL BROADER CATEGORIES]]</f>
        <v>9.8312503599608345E-2</v>
      </c>
      <c r="AL287" s="2">
        <f>All_India_Index_Upto_April23__1[[#This Row],[Personal care and effects]]/All_India_Index_Upto_April23__1[[#This Row],[TOTAL BROADER CATEGORIES]]</f>
        <v>9.6152738582042249E-2</v>
      </c>
      <c r="AM287" s="2">
        <f>All_India_Index_Upto_April23__1[[#This Row],[Education]]/All_India_Index_Upto_April23__1[[#This Row],[TOTAL BROADER CATEGORIES]]</f>
        <v>0.10418706444738809</v>
      </c>
      <c r="AN287" s="2">
        <f>All_India_Index_Upto_April23__1[[#This Row],[Recreation and amusement]]/All_India_Index_Upto_April23__1[[#This Row],[TOTAL BROADER CATEGORIES]]</f>
        <v>9.9694753210850653E-2</v>
      </c>
      <c r="AO287" s="2">
        <f>All_India_Index_Upto_April23__1[[#This Row],[Transport and communication]]/All_India_Index_Upto_April23__1[[#This Row],[TOTAL BROADER CATEGORIES]]</f>
        <v>9.3647411161665597E-2</v>
      </c>
      <c r="AP287" s="2">
        <f>All_India_Index_Upto_April23__1[[#This Row],[Health]]/All_India_Index_Upto_April23__1[[#This Row],[TOTAL BROADER CATEGORIES]]</f>
        <v>9.8744456603121561E-2</v>
      </c>
      <c r="AQ287" s="2">
        <f>All_India_Index_Upto_April23__1[[#This Row],[Fuel and light]]/All_India_Index_Upto_April23__1[[#This Row],[TOTAL BROADER CATEGORIES]]</f>
        <v>9.8830847203824207E-2</v>
      </c>
      <c r="AR287">
        <f>MONTH(1 &amp; All_India_Index_Upto_April23__1[[#This Row],[Month]])</f>
        <v>3</v>
      </c>
      <c r="AS287" s="19" t="str">
        <f>All_India_Index_Upto_April23__1[[#This Row],[MONTH IN NUM]]&amp;"/"&amp;All_India_Index_Upto_April23__1[[#This Row],[Year]]</f>
        <v>3/2015</v>
      </c>
      <c r="AT28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118.72857142857143</v>
      </c>
      <c r="AU28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1157.5333333333335</v>
      </c>
    </row>
    <row r="288" spans="1:47" x14ac:dyDescent="0.3">
      <c r="A288" t="s">
        <v>33</v>
      </c>
      <c r="B288">
        <v>2015</v>
      </c>
      <c r="C288" t="s">
        <v>35</v>
      </c>
      <c r="D288">
        <v>123.5</v>
      </c>
      <c r="E288">
        <v>125.4</v>
      </c>
      <c r="F288">
        <v>116.8</v>
      </c>
      <c r="G288">
        <v>126</v>
      </c>
      <c r="H288">
        <v>109.2</v>
      </c>
      <c r="I288">
        <v>127.6</v>
      </c>
      <c r="J288">
        <v>129.19999999999999</v>
      </c>
      <c r="K288">
        <v>122.4</v>
      </c>
      <c r="L288">
        <v>97</v>
      </c>
      <c r="M288">
        <v>122.1</v>
      </c>
      <c r="N288">
        <v>118.1</v>
      </c>
      <c r="O288">
        <v>128.4</v>
      </c>
      <c r="P288">
        <v>123.4</v>
      </c>
      <c r="Q288">
        <v>125.8</v>
      </c>
      <c r="R288">
        <v>124.3</v>
      </c>
      <c r="S288">
        <v>120.4</v>
      </c>
      <c r="T288">
        <v>123.7</v>
      </c>
      <c r="U288">
        <v>118.6</v>
      </c>
      <c r="V288">
        <v>118.3</v>
      </c>
      <c r="W288">
        <v>119.2</v>
      </c>
      <c r="X288">
        <v>116.7</v>
      </c>
      <c r="Y288">
        <v>109.9</v>
      </c>
      <c r="Z288">
        <v>115.4</v>
      </c>
      <c r="AA288">
        <v>120.1</v>
      </c>
      <c r="AB288">
        <v>111</v>
      </c>
      <c r="AC288">
        <v>114.7</v>
      </c>
      <c r="AD288">
        <v>120.2</v>
      </c>
      <c r="AE288">
        <v>121.0642857142857</v>
      </c>
      <c r="AF288">
        <v>122.8</v>
      </c>
      <c r="AG288">
        <v>118.9</v>
      </c>
      <c r="AH288" s="2">
        <f>All_India_Index_Upto_April23__1[[#This Row],[House]]/All_India_Index_Upto_April23__1[[#This Row],[TOTAL BROADER CATEGORIES]]</f>
        <v>0.1017226734131422</v>
      </c>
      <c r="AI288" s="2">
        <f>All_India_Index_Upto_April23__1[[#This Row],[Cloth]]/All_India_Index_Upto_April23__1[[#This Row],[TOTAL BROADER CATEGORIES]]</f>
        <v>0.1050592455435985</v>
      </c>
      <c r="AJ288" s="2">
        <f>All_India_Index_Upto_April23__1[[#This Row],[Food]]/All_India_Index_Upto_April23__1[[#This Row],[TOTAL BROADER CATEGORIES]]</f>
        <v>0.10357428761740639</v>
      </c>
      <c r="AK288" s="2">
        <f>All_India_Index_Upto_April23__1[[#This Row],[Miscellaneous]]/All_India_Index_Upto_April23__1[[#This Row],[TOTAL BROADER CATEGORIES]]</f>
        <v>9.8129441888035407E-2</v>
      </c>
      <c r="AL288" s="2">
        <f>All_India_Index_Upto_April23__1[[#This Row],[Personal care and effects]]/All_India_Index_Upto_April23__1[[#This Row],[TOTAL BROADER CATEGORIES]]</f>
        <v>9.4963976020679422E-2</v>
      </c>
      <c r="AM288" s="2">
        <f>All_India_Index_Upto_April23__1[[#This Row],[Education]]/All_India_Index_Upto_April23__1[[#This Row],[TOTAL BROADER CATEGORIES]]</f>
        <v>0.10274931099174413</v>
      </c>
      <c r="AN288" s="2">
        <f>All_India_Index_Upto_April23__1[[#This Row],[Recreation and amusement]]/All_India_Index_Upto_April23__1[[#This Row],[TOTAL BROADER CATEGORIES]]</f>
        <v>9.8728313808886539E-2</v>
      </c>
      <c r="AO288" s="2">
        <f>All_India_Index_Upto_April23__1[[#This Row],[Transport and communication]]/All_India_Index_Upto_April23__1[[#This Row],[TOTAL BROADER CATEGORIES]]</f>
        <v>9.4022891573627643E-2</v>
      </c>
      <c r="AP288" s="2">
        <f>All_India_Index_Upto_April23__1[[#This Row],[Health]]/All_India_Index_Upto_April23__1[[#This Row],[TOTAL BROADER CATEGORIES]]</f>
        <v>9.9840504519038642E-2</v>
      </c>
      <c r="AQ288" s="2">
        <f>All_India_Index_Upto_April23__1[[#This Row],[Fuel and light]]/All_India_Index_Upto_April23__1[[#This Row],[TOTAL BROADER CATEGORIES]]</f>
        <v>0.10120935462384122</v>
      </c>
      <c r="AR288">
        <f>MONTH(1 &amp; All_India_Index_Upto_April23__1[[#This Row],[Month]])</f>
        <v>3</v>
      </c>
      <c r="AS288" s="19" t="str">
        <f>All_India_Index_Upto_April23__1[[#This Row],[MONTH IN NUM]]&amp;"/"&amp;All_India_Index_Upto_April23__1[[#This Row],[Year]]</f>
        <v>3/2015</v>
      </c>
      <c r="AT28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120.65714285714286</v>
      </c>
      <c r="AU28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1168.8642857142856</v>
      </c>
    </row>
    <row r="289" spans="1:47" x14ac:dyDescent="0.3">
      <c r="A289" t="s">
        <v>30</v>
      </c>
      <c r="B289">
        <v>2015</v>
      </c>
      <c r="C289" t="s">
        <v>35</v>
      </c>
      <c r="D289">
        <v>123.3</v>
      </c>
      <c r="E289">
        <v>124.7</v>
      </c>
      <c r="F289">
        <v>118.9</v>
      </c>
      <c r="G289">
        <v>126</v>
      </c>
      <c r="H289">
        <v>111.8</v>
      </c>
      <c r="I289">
        <v>130.9</v>
      </c>
      <c r="J289">
        <v>128</v>
      </c>
      <c r="K289">
        <v>119.9</v>
      </c>
      <c r="L289">
        <v>98.9</v>
      </c>
      <c r="M289">
        <v>119.4</v>
      </c>
      <c r="N289">
        <v>118.9</v>
      </c>
      <c r="O289">
        <v>127.7</v>
      </c>
      <c r="P289">
        <v>123.1</v>
      </c>
      <c r="Q289">
        <v>124.7</v>
      </c>
      <c r="R289">
        <v>126</v>
      </c>
      <c r="S289">
        <v>122.9</v>
      </c>
      <c r="T289">
        <v>125.5</v>
      </c>
      <c r="U289">
        <v>140.85</v>
      </c>
      <c r="V289">
        <v>120.6</v>
      </c>
      <c r="W289">
        <v>120.2</v>
      </c>
      <c r="X289">
        <v>118.2</v>
      </c>
      <c r="Y289">
        <v>111.6</v>
      </c>
      <c r="Z289">
        <v>115.5</v>
      </c>
      <c r="AA289">
        <v>119.4</v>
      </c>
      <c r="AB289">
        <v>110.8</v>
      </c>
      <c r="AC289">
        <v>115.5</v>
      </c>
      <c r="AD289">
        <v>121.1</v>
      </c>
      <c r="AE289">
        <v>121.15714285714286</v>
      </c>
      <c r="AF289">
        <v>124.8</v>
      </c>
      <c r="AG289">
        <v>130.52500000000001</v>
      </c>
      <c r="AH289" s="2">
        <f>All_India_Index_Upto_April23__1[[#This Row],[House]]/All_India_Index_Upto_April23__1[[#This Row],[TOTAL BROADER CATEGORIES]]</f>
        <v>0.10986193234594771</v>
      </c>
      <c r="AI289" s="2">
        <f>All_India_Index_Upto_April23__1[[#This Row],[Cloth]]/All_India_Index_Upto_April23__1[[#This Row],[TOTAL BROADER CATEGORIES]]</f>
        <v>0.10504324195958072</v>
      </c>
      <c r="AJ289" s="2">
        <f>All_India_Index_Upto_April23__1[[#This Row],[Food]]/All_India_Index_Upto_April23__1[[#This Row],[TOTAL BROADER CATEGORIES]]</f>
        <v>0.10197707589963417</v>
      </c>
      <c r="AK289" s="2">
        <f>All_India_Index_Upto_April23__1[[#This Row],[Miscellaneous]]/All_India_Index_Upto_April23__1[[#This Row],[TOTAL BROADER CATEGORIES]]</f>
        <v>9.7215500371246585E-2</v>
      </c>
      <c r="AL289" s="2">
        <f>All_India_Index_Upto_April23__1[[#This Row],[Personal care and effects]]/All_India_Index_Upto_April23__1[[#This Row],[TOTAL BROADER CATEGORIES]]</f>
        <v>9.3259544944884171E-2</v>
      </c>
      <c r="AM289" s="2">
        <f>All_India_Index_Upto_April23__1[[#This Row],[Education]]/All_India_Index_Upto_April23__1[[#This Row],[TOTAL BROADER CATEGORIES]]</f>
        <v>0.10049810168248348</v>
      </c>
      <c r="AN289" s="2">
        <f>All_India_Index_Upto_April23__1[[#This Row],[Recreation and amusement]]/All_India_Index_Upto_April23__1[[#This Row],[TOTAL BROADER CATEGORIES]]</f>
        <v>9.7215500371246585E-2</v>
      </c>
      <c r="AO289" s="2">
        <f>All_India_Index_Upto_April23__1[[#This Row],[Transport and communication]]/All_India_Index_Upto_April23__1[[#This Row],[TOTAL BROADER CATEGORIES]]</f>
        <v>9.3932899060009678E-2</v>
      </c>
      <c r="AP289" s="2">
        <f>All_India_Index_Upto_April23__1[[#This Row],[Health]]/All_India_Index_Upto_April23__1[[#This Row],[TOTAL BROADER CATEGORIES]]</f>
        <v>9.9488070509795204E-2</v>
      </c>
      <c r="AQ289" s="2">
        <f>All_India_Index_Upto_April23__1[[#This Row],[Fuel and light]]/All_India_Index_Upto_April23__1[[#This Row],[TOTAL BROADER CATEGORIES]]</f>
        <v>0.10150813285517175</v>
      </c>
      <c r="AR289">
        <f>MONTH(1 &amp; All_India_Index_Upto_April23__1[[#This Row],[Month]])</f>
        <v>3</v>
      </c>
      <c r="AS289" s="19" t="str">
        <f>All_India_Index_Upto_April23__1[[#This Row],[MONTH IN NUM]]&amp;"/"&amp;All_India_Index_Upto_April23__1[[#This Row],[Year]]</f>
        <v>3/2015</v>
      </c>
      <c r="AT28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125.06428571428572</v>
      </c>
      <c r="AU28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1188.0821428571428</v>
      </c>
    </row>
    <row r="290" spans="1:47" x14ac:dyDescent="0.3">
      <c r="A290" t="s">
        <v>30</v>
      </c>
      <c r="B290">
        <v>2015</v>
      </c>
      <c r="C290" t="s">
        <v>34</v>
      </c>
      <c r="D290">
        <v>123.4</v>
      </c>
      <c r="E290">
        <v>124.4</v>
      </c>
      <c r="F290">
        <v>122.1</v>
      </c>
      <c r="G290">
        <v>125.8</v>
      </c>
      <c r="H290">
        <v>111.5</v>
      </c>
      <c r="I290">
        <v>129.4</v>
      </c>
      <c r="J290">
        <v>128.19999999999999</v>
      </c>
      <c r="K290">
        <v>118.8</v>
      </c>
      <c r="L290">
        <v>100</v>
      </c>
      <c r="M290">
        <v>118.6</v>
      </c>
      <c r="N290">
        <v>118.8</v>
      </c>
      <c r="O290">
        <v>126.8</v>
      </c>
      <c r="P290">
        <v>122.8</v>
      </c>
      <c r="Q290">
        <v>124.2</v>
      </c>
      <c r="R290">
        <v>125.4</v>
      </c>
      <c r="S290">
        <v>122.7</v>
      </c>
      <c r="T290">
        <v>125</v>
      </c>
      <c r="U290">
        <v>140.85</v>
      </c>
      <c r="V290">
        <v>120</v>
      </c>
      <c r="W290">
        <v>119.6</v>
      </c>
      <c r="X290">
        <v>117.7</v>
      </c>
      <c r="Y290">
        <v>110.9</v>
      </c>
      <c r="Z290">
        <v>114.8</v>
      </c>
      <c r="AA290">
        <v>118.7</v>
      </c>
      <c r="AB290">
        <v>110.8</v>
      </c>
      <c r="AC290">
        <v>115</v>
      </c>
      <c r="AD290">
        <v>120.6</v>
      </c>
      <c r="AE290">
        <v>121.05714285714284</v>
      </c>
      <c r="AF290">
        <v>124.36666666666667</v>
      </c>
      <c r="AG290">
        <v>130.22499999999999</v>
      </c>
      <c r="AH290" s="2">
        <f>All_India_Index_Upto_April23__1[[#This Row],[House]]/All_India_Index_Upto_April23__1[[#This Row],[TOTAL BROADER CATEGORIES]]</f>
        <v>0.11002926026548486</v>
      </c>
      <c r="AI290" s="2">
        <f>All_India_Index_Upto_April23__1[[#This Row],[Cloth]]/All_India_Index_Upto_April23__1[[#This Row],[TOTAL BROADER CATEGORIES]]</f>
        <v>0.10507945736239177</v>
      </c>
      <c r="AJ290" s="2">
        <f>All_India_Index_Upto_April23__1[[#This Row],[Food]]/All_India_Index_Upto_April23__1[[#This Row],[TOTAL BROADER CATEGORIES]]</f>
        <v>0.10228318585851066</v>
      </c>
      <c r="AK290" s="2">
        <f>All_India_Index_Upto_April23__1[[#This Row],[Miscellaneous]]/All_India_Index_Upto_April23__1[[#This Row],[TOTAL BROADER CATEGORIES]]</f>
        <v>9.7165405494572921E-2</v>
      </c>
      <c r="AL290" s="2">
        <f>All_India_Index_Upto_April23__1[[#This Row],[Personal care and effects]]/All_India_Index_Upto_April23__1[[#This Row],[TOTAL BROADER CATEGORIES]]</f>
        <v>9.3616755902597215E-2</v>
      </c>
      <c r="AM290" s="2">
        <f>All_India_Index_Upto_April23__1[[#This Row],[Education]]/All_India_Index_Upto_April23__1[[#This Row],[TOTAL BROADER CATEGORIES]]</f>
        <v>0.10029159680178962</v>
      </c>
      <c r="AN290" s="2">
        <f>All_India_Index_Upto_April23__1[[#This Row],[Recreation and amusement]]/All_India_Index_Upto_April23__1[[#This Row],[TOTAL BROADER CATEGORIES]]</f>
        <v>9.6996422180669312E-2</v>
      </c>
      <c r="AO290" s="2">
        <f>All_India_Index_Upto_April23__1[[#This Row],[Transport and communication]]/All_India_Index_Upto_April23__1[[#This Row],[TOTAL BROADER CATEGORIES]]</f>
        <v>9.370124755954902E-2</v>
      </c>
      <c r="AP290" s="2">
        <f>All_India_Index_Upto_April23__1[[#This Row],[Health]]/All_India_Index_Upto_April23__1[[#This Row],[TOTAL BROADER CATEGORIES]]</f>
        <v>9.9446680232271586E-2</v>
      </c>
      <c r="AQ290" s="2">
        <f>All_India_Index_Upto_April23__1[[#This Row],[Fuel and light]]/All_India_Index_Upto_April23__1[[#This Row],[TOTAL BROADER CATEGORIES]]</f>
        <v>0.10138998834216305</v>
      </c>
      <c r="AR290">
        <f>MONTH(1 &amp; All_India_Index_Upto_April23__1[[#This Row],[Month]])</f>
        <v>2</v>
      </c>
      <c r="AS290" s="19" t="str">
        <f>All_India_Index_Upto_April23__1[[#This Row],[MONTH IN NUM]]&amp;"/"&amp;All_India_Index_Upto_April23__1[[#This Row],[Year]]</f>
        <v>2/2015</v>
      </c>
      <c r="AT29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124.60714285714286</v>
      </c>
      <c r="AU29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1183.5488095238095</v>
      </c>
    </row>
    <row r="291" spans="1:47" x14ac:dyDescent="0.3">
      <c r="A291" t="s">
        <v>32</v>
      </c>
      <c r="B291">
        <v>2015</v>
      </c>
      <c r="C291" t="s">
        <v>34</v>
      </c>
      <c r="D291">
        <v>124.3</v>
      </c>
      <c r="E291">
        <v>126.5</v>
      </c>
      <c r="F291">
        <v>119.5</v>
      </c>
      <c r="G291">
        <v>125.6</v>
      </c>
      <c r="H291">
        <v>104.9</v>
      </c>
      <c r="I291">
        <v>121.6</v>
      </c>
      <c r="J291">
        <v>131.80000000000001</v>
      </c>
      <c r="K291">
        <v>125.1</v>
      </c>
      <c r="L291">
        <v>95</v>
      </c>
      <c r="M291">
        <v>127.7</v>
      </c>
      <c r="N291">
        <v>116.8</v>
      </c>
      <c r="O291">
        <v>128.6</v>
      </c>
      <c r="P291">
        <v>123.7</v>
      </c>
      <c r="Q291">
        <v>128.1</v>
      </c>
      <c r="R291">
        <v>121.3</v>
      </c>
      <c r="S291">
        <v>116.5</v>
      </c>
      <c r="T291">
        <v>120.6</v>
      </c>
      <c r="U291">
        <v>118.1</v>
      </c>
      <c r="V291">
        <v>114</v>
      </c>
      <c r="W291">
        <v>117.7</v>
      </c>
      <c r="X291">
        <v>114.1</v>
      </c>
      <c r="Y291">
        <v>106.8</v>
      </c>
      <c r="Z291">
        <v>114.9</v>
      </c>
      <c r="AA291">
        <v>120.4</v>
      </c>
      <c r="AB291">
        <v>111.7</v>
      </c>
      <c r="AC291">
        <v>113.2</v>
      </c>
      <c r="AD291">
        <v>118.7</v>
      </c>
      <c r="AE291">
        <v>121.37142857142858</v>
      </c>
      <c r="AF291">
        <v>119.46666666666665</v>
      </c>
      <c r="AG291">
        <v>117.9</v>
      </c>
      <c r="AH291" s="2">
        <f>All_India_Index_Upto_April23__1[[#This Row],[House]]/All_India_Index_Upto_April23__1[[#This Row],[TOTAL BROADER CATEGORIES]]</f>
        <v>0.10218071364307943</v>
      </c>
      <c r="AI291" s="2">
        <f>All_India_Index_Upto_April23__1[[#This Row],[Cloth]]/All_India_Index_Upto_April23__1[[#This Row],[TOTAL BROADER CATEGORIES]]</f>
        <v>0.10353850090381583</v>
      </c>
      <c r="AJ291" s="2">
        <f>All_India_Index_Upto_April23__1[[#This Row],[Food]]/All_India_Index_Upto_April23__1[[#This Row],[TOTAL BROADER CATEGORIES]]</f>
        <v>0.10518930608404252</v>
      </c>
      <c r="AK291" s="2">
        <f>All_India_Index_Upto_April23__1[[#This Row],[Miscellaneous]]/All_India_Index_Upto_April23__1[[#This Row],[TOTAL BROADER CATEGORIES]]</f>
        <v>9.8107351860870148E-2</v>
      </c>
      <c r="AL291" s="2">
        <f>All_India_Index_Upto_April23__1[[#This Row],[Personal care and effects]]/All_India_Index_Upto_April23__1[[#This Row],[TOTAL BROADER CATEGORIES]]</f>
        <v>9.6807342781441666E-2</v>
      </c>
      <c r="AM291" s="2">
        <f>All_India_Index_Upto_April23__1[[#This Row],[Education]]/All_India_Index_Upto_April23__1[[#This Row],[TOTAL BROADER CATEGORIES]]</f>
        <v>0.10434739544212691</v>
      </c>
      <c r="AN291" s="2">
        <f>All_India_Index_Upto_April23__1[[#This Row],[Recreation and amusement]]/All_India_Index_Upto_April23__1[[#This Row],[TOTAL BROADER CATEGORIES]]</f>
        <v>9.9580695484222451E-2</v>
      </c>
      <c r="AO291" s="2">
        <f>All_India_Index_Upto_April23__1[[#This Row],[Transport and communication]]/All_India_Index_Upto_April23__1[[#This Row],[TOTAL BROADER CATEGORIES]]</f>
        <v>9.2560646455308593E-2</v>
      </c>
      <c r="AP291" s="2">
        <f>All_India_Index_Upto_April23__1[[#This Row],[Health]]/All_India_Index_Upto_April23__1[[#This Row],[TOTAL BROADER CATEGORIES]]</f>
        <v>9.8887357308527241E-2</v>
      </c>
      <c r="AQ291" s="2">
        <f>All_India_Index_Upto_April23__1[[#This Row],[Fuel and light]]/All_India_Index_Upto_April23__1[[#This Row],[TOTAL BROADER CATEGORIES]]</f>
        <v>9.8800690036565345E-2</v>
      </c>
      <c r="AR291">
        <f>MONTH(1 &amp; All_India_Index_Upto_April23__1[[#This Row],[Month]])</f>
        <v>2</v>
      </c>
      <c r="AS291" s="19" t="str">
        <f>All_India_Index_Upto_April23__1[[#This Row],[MONTH IN NUM]]&amp;"/"&amp;All_India_Index_Upto_April23__1[[#This Row],[Year]]</f>
        <v>2/2015</v>
      </c>
      <c r="AT29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118.37142857142858</v>
      </c>
      <c r="AU29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1153.8380952380951</v>
      </c>
    </row>
    <row r="292" spans="1:47" x14ac:dyDescent="0.3">
      <c r="A292" t="s">
        <v>33</v>
      </c>
      <c r="B292">
        <v>2015</v>
      </c>
      <c r="C292" t="s">
        <v>34</v>
      </c>
      <c r="D292">
        <v>123.7</v>
      </c>
      <c r="E292">
        <v>125.1</v>
      </c>
      <c r="F292">
        <v>121.1</v>
      </c>
      <c r="G292">
        <v>125.7</v>
      </c>
      <c r="H292">
        <v>109.1</v>
      </c>
      <c r="I292">
        <v>125.8</v>
      </c>
      <c r="J292">
        <v>129.4</v>
      </c>
      <c r="K292">
        <v>120.9</v>
      </c>
      <c r="L292">
        <v>98.3</v>
      </c>
      <c r="M292">
        <v>121.6</v>
      </c>
      <c r="N292">
        <v>118</v>
      </c>
      <c r="O292">
        <v>127.6</v>
      </c>
      <c r="P292">
        <v>123.1</v>
      </c>
      <c r="Q292">
        <v>125.2</v>
      </c>
      <c r="R292">
        <v>123.8</v>
      </c>
      <c r="S292">
        <v>120.1</v>
      </c>
      <c r="T292">
        <v>123.3</v>
      </c>
      <c r="U292">
        <v>118.1</v>
      </c>
      <c r="V292">
        <v>117.7</v>
      </c>
      <c r="W292">
        <v>118.7</v>
      </c>
      <c r="X292">
        <v>116.3</v>
      </c>
      <c r="Y292">
        <v>108.7</v>
      </c>
      <c r="Z292">
        <v>114.9</v>
      </c>
      <c r="AA292">
        <v>119.7</v>
      </c>
      <c r="AB292">
        <v>111.2</v>
      </c>
      <c r="AC292">
        <v>114.1</v>
      </c>
      <c r="AD292">
        <v>119.7</v>
      </c>
      <c r="AE292">
        <v>121.04285714285712</v>
      </c>
      <c r="AF292">
        <v>122.39999999999999</v>
      </c>
      <c r="AG292">
        <v>118.4</v>
      </c>
      <c r="AH292" s="2">
        <f>All_India_Index_Upto_April23__1[[#This Row],[House]]/All_India_Index_Upto_April23__1[[#This Row],[TOTAL BROADER CATEGORIES]]</f>
        <v>0.10167952791647752</v>
      </c>
      <c r="AI292" s="2">
        <f>All_India_Index_Upto_April23__1[[#This Row],[Cloth]]/All_India_Index_Upto_April23__1[[#This Row],[TOTAL BROADER CATEGORIES]]</f>
        <v>0.10511464710284499</v>
      </c>
      <c r="AJ292" s="2">
        <f>All_India_Index_Upto_April23__1[[#This Row],[Food]]/All_India_Index_Upto_April23__1[[#This Row],[TOTAL BROADER CATEGORIES]]</f>
        <v>0.10394916023604173</v>
      </c>
      <c r="AK292" s="2">
        <f>All_India_Index_Upto_April23__1[[#This Row],[Miscellaneous]]/All_India_Index_Upto_April23__1[[#This Row],[TOTAL BROADER CATEGORIES]]</f>
        <v>9.7986774791132464E-2</v>
      </c>
      <c r="AL292" s="2">
        <f>All_India_Index_Upto_April23__1[[#This Row],[Personal care and effects]]/All_India_Index_Upto_April23__1[[#This Row],[TOTAL BROADER CATEGORIES]]</f>
        <v>9.5496313381016051E-2</v>
      </c>
      <c r="AM292" s="2">
        <f>All_India_Index_Upto_April23__1[[#This Row],[Education]]/All_India_Index_Upto_April23__1[[#This Row],[TOTAL BROADER CATEGORIES]]</f>
        <v>0.10279594165204695</v>
      </c>
      <c r="AN292" s="2">
        <f>All_India_Index_Upto_April23__1[[#This Row],[Recreation and amusement]]/All_India_Index_Upto_April23__1[[#This Row],[TOTAL BROADER CATEGORIES]]</f>
        <v>9.8673798628405973E-2</v>
      </c>
      <c r="AO292" s="2">
        <f>All_India_Index_Upto_April23__1[[#This Row],[Transport and communication]]/All_India_Index_Upto_April23__1[[#This Row],[TOTAL BROADER CATEGORIES]]</f>
        <v>9.3349363889536366E-2</v>
      </c>
      <c r="AP292" s="2">
        <f>All_India_Index_Upto_April23__1[[#This Row],[Health]]/All_India_Index_Upto_April23__1[[#This Row],[TOTAL BROADER CATEGORIES]]</f>
        <v>9.987609034363458E-2</v>
      </c>
      <c r="AQ292" s="2">
        <f>All_India_Index_Upto_April23__1[[#This Row],[Fuel and light]]/All_India_Index_Upto_April23__1[[#This Row],[TOTAL BROADER CATEGORIES]]</f>
        <v>0.10107838205886321</v>
      </c>
      <c r="AR292">
        <f>MONTH(1 &amp; All_India_Index_Upto_April23__1[[#This Row],[Month]])</f>
        <v>2</v>
      </c>
      <c r="AS292" s="19" t="str">
        <f>All_India_Index_Upto_April23__1[[#This Row],[MONTH IN NUM]]&amp;"/"&amp;All_India_Index_Upto_April23__1[[#This Row],[Year]]</f>
        <v>2/2015</v>
      </c>
      <c r="AT29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120.2</v>
      </c>
      <c r="AU29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1164.4428571428573</v>
      </c>
    </row>
    <row r="293" spans="1:47" x14ac:dyDescent="0.3">
      <c r="A293" t="s">
        <v>33</v>
      </c>
      <c r="B293">
        <v>2015</v>
      </c>
      <c r="C293" t="s">
        <v>31</v>
      </c>
      <c r="D293">
        <v>123.4</v>
      </c>
      <c r="E293">
        <v>123.9</v>
      </c>
      <c r="F293">
        <v>123.8</v>
      </c>
      <c r="G293">
        <v>125</v>
      </c>
      <c r="H293">
        <v>108.5</v>
      </c>
      <c r="I293">
        <v>126.2</v>
      </c>
      <c r="J293">
        <v>133</v>
      </c>
      <c r="K293">
        <v>119.1</v>
      </c>
      <c r="L293">
        <v>99</v>
      </c>
      <c r="M293">
        <v>120.3</v>
      </c>
      <c r="N293">
        <v>117.3</v>
      </c>
      <c r="O293">
        <v>126.7</v>
      </c>
      <c r="P293">
        <v>123.1</v>
      </c>
      <c r="Q293">
        <v>124</v>
      </c>
      <c r="R293">
        <v>123.1</v>
      </c>
      <c r="S293">
        <v>119.3</v>
      </c>
      <c r="T293">
        <v>122.5</v>
      </c>
      <c r="U293">
        <v>117.3</v>
      </c>
      <c r="V293">
        <v>116.5</v>
      </c>
      <c r="W293">
        <v>118.1</v>
      </c>
      <c r="X293">
        <v>115.5</v>
      </c>
      <c r="Y293">
        <v>109.4</v>
      </c>
      <c r="Z293">
        <v>114.3</v>
      </c>
      <c r="AA293">
        <v>119.7</v>
      </c>
      <c r="AB293">
        <v>110.7</v>
      </c>
      <c r="AC293">
        <v>114</v>
      </c>
      <c r="AD293">
        <v>119.5</v>
      </c>
      <c r="AE293">
        <v>120.95</v>
      </c>
      <c r="AF293">
        <v>121.63333333333333</v>
      </c>
      <c r="AG293">
        <v>117.69999999999999</v>
      </c>
      <c r="AH293" s="2">
        <f>All_India_Index_Upto_April23__1[[#This Row],[House]]/All_India_Index_Upto_April23__1[[#This Row],[TOTAL BROADER CATEGORIES]]</f>
        <v>0.10143199804662252</v>
      </c>
      <c r="AI293" s="2">
        <f>All_India_Index_Upto_April23__1[[#This Row],[Cloth]]/All_India_Index_Upto_April23__1[[#This Row],[TOTAL BROADER CATEGORIES]]</f>
        <v>0.10482168248998176</v>
      </c>
      <c r="AJ293" s="2">
        <f>All_India_Index_Upto_April23__1[[#This Row],[Food]]/All_India_Index_Upto_April23__1[[#This Row],[TOTAL BROADER CATEGORIES]]</f>
        <v>0.10423279663329649</v>
      </c>
      <c r="AK293" s="2">
        <f>All_India_Index_Upto_April23__1[[#This Row],[Miscellaneous]]/All_India_Index_Upto_April23__1[[#This Row],[TOTAL BROADER CATEGORIES]]</f>
        <v>9.8243396578716807E-2</v>
      </c>
      <c r="AL293" s="2">
        <f>All_India_Index_Upto_April23__1[[#This Row],[Personal care and effects]]/All_India_Index_Upto_April23__1[[#This Row],[TOTAL BROADER CATEGORIES]]</f>
        <v>9.5399508783017117E-2</v>
      </c>
      <c r="AM293" s="2">
        <f>All_India_Index_Upto_April23__1[[#This Row],[Education]]/All_India_Index_Upto_April23__1[[#This Row],[TOTAL BROADER CATEGORIES]]</f>
        <v>0.10315556640765265</v>
      </c>
      <c r="AN293" s="2">
        <f>All_India_Index_Upto_April23__1[[#This Row],[Recreation and amusement]]/All_India_Index_Upto_April23__1[[#This Row],[TOTAL BROADER CATEGORIES]]</f>
        <v>9.8501931832871328E-2</v>
      </c>
      <c r="AO293" s="2">
        <f>All_India_Index_Upto_April23__1[[#This Row],[Transport and communication]]/All_India_Index_Upto_April23__1[[#This Row],[TOTAL BROADER CATEGORIES]]</f>
        <v>9.4279189348347545E-2</v>
      </c>
      <c r="AP293" s="2">
        <f>All_India_Index_Upto_April23__1[[#This Row],[Health]]/All_India_Index_Upto_April23__1[[#This Row],[TOTAL BROADER CATEGORIES]]</f>
        <v>9.9536072849489399E-2</v>
      </c>
      <c r="AQ293" s="2">
        <f>All_India_Index_Upto_April23__1[[#This Row],[Fuel and light]]/All_India_Index_Upto_April23__1[[#This Row],[TOTAL BROADER CATEGORIES]]</f>
        <v>0.10039785703000446</v>
      </c>
      <c r="AR293">
        <f>MONTH(1 &amp; All_India_Index_Upto_April23__1[[#This Row],[Month]])</f>
        <v>1</v>
      </c>
      <c r="AS293" s="19" t="str">
        <f>All_India_Index_Upto_April23__1[[#This Row],[MONTH IN NUM]]&amp;"/"&amp;All_India_Index_Upto_April23__1[[#This Row],[Year]]</f>
        <v>1/2015</v>
      </c>
      <c r="AT29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119.5</v>
      </c>
      <c r="AU29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1160.3833333333332</v>
      </c>
    </row>
    <row r="294" spans="1:47" x14ac:dyDescent="0.3">
      <c r="A294" t="s">
        <v>30</v>
      </c>
      <c r="B294">
        <v>2015</v>
      </c>
      <c r="C294" t="s">
        <v>31</v>
      </c>
      <c r="D294">
        <v>123.1</v>
      </c>
      <c r="E294">
        <v>123.1</v>
      </c>
      <c r="F294">
        <v>122.1</v>
      </c>
      <c r="G294">
        <v>124.9</v>
      </c>
      <c r="H294">
        <v>111</v>
      </c>
      <c r="I294">
        <v>130.4</v>
      </c>
      <c r="J294">
        <v>132.30000000000001</v>
      </c>
      <c r="K294">
        <v>117.2</v>
      </c>
      <c r="L294">
        <v>100.5</v>
      </c>
      <c r="M294">
        <v>117.2</v>
      </c>
      <c r="N294">
        <v>117.9</v>
      </c>
      <c r="O294">
        <v>125.6</v>
      </c>
      <c r="P294">
        <v>122.8</v>
      </c>
      <c r="Q294">
        <v>122.7</v>
      </c>
      <c r="R294">
        <v>124.4</v>
      </c>
      <c r="S294">
        <v>121.6</v>
      </c>
      <c r="T294">
        <v>124</v>
      </c>
      <c r="U294">
        <v>140.85</v>
      </c>
      <c r="V294">
        <v>118.4</v>
      </c>
      <c r="W294">
        <v>118.9</v>
      </c>
      <c r="X294">
        <v>116.6</v>
      </c>
      <c r="Y294">
        <v>111</v>
      </c>
      <c r="Z294">
        <v>114</v>
      </c>
      <c r="AA294">
        <v>118.2</v>
      </c>
      <c r="AB294">
        <v>110.2</v>
      </c>
      <c r="AC294">
        <v>114.5</v>
      </c>
      <c r="AD294">
        <v>120.3</v>
      </c>
      <c r="AE294">
        <v>120.77142857142857</v>
      </c>
      <c r="AF294">
        <v>123.33333333333333</v>
      </c>
      <c r="AG294">
        <v>129.875</v>
      </c>
      <c r="AH294" s="2">
        <f>All_India_Index_Upto_April23__1[[#This Row],[House]]/All_India_Index_Upto_April23__1[[#This Row],[TOTAL BROADER CATEGORIES]]</f>
        <v>0.11035536866552899</v>
      </c>
      <c r="AI294" s="2">
        <f>All_India_Index_Upto_April23__1[[#This Row],[Cloth]]/All_India_Index_Upto_April23__1[[#This Row],[TOTAL BROADER CATEGORIES]]</f>
        <v>0.10479688522616805</v>
      </c>
      <c r="AJ294" s="2">
        <f>All_India_Index_Upto_April23__1[[#This Row],[Food]]/All_India_Index_Upto_April23__1[[#This Row],[TOTAL BROADER CATEGORIES]]</f>
        <v>0.10262002328594881</v>
      </c>
      <c r="AK294" s="2">
        <f>All_India_Index_Upto_April23__1[[#This Row],[Miscellaneous]]/All_India_Index_Upto_April23__1[[#This Row],[TOTAL BROADER CATEGORIES]]</f>
        <v>9.7291162365374939E-2</v>
      </c>
      <c r="AL294" s="2">
        <f>All_India_Index_Upto_April23__1[[#This Row],[Personal care and effects]]/All_India_Index_Upto_April23__1[[#This Row],[TOTAL BROADER CATEGORIES]]</f>
        <v>9.3637433123705829E-2</v>
      </c>
      <c r="AM294" s="2">
        <f>All_India_Index_Upto_April23__1[[#This Row],[Education]]/All_India_Index_Upto_April23__1[[#This Row],[TOTAL BROADER CATEGORIES]]</f>
        <v>0.10043506892215998</v>
      </c>
      <c r="AN294" s="2">
        <f>All_India_Index_Upto_April23__1[[#This Row],[Recreation and amusement]]/All_India_Index_Upto_April23__1[[#This Row],[TOTAL BROADER CATEGORIES]]</f>
        <v>9.6866310127971547E-2</v>
      </c>
      <c r="AO294" s="2">
        <f>All_India_Index_Upto_April23__1[[#This Row],[Transport and communication]]/All_India_Index_Upto_April23__1[[#This Row],[TOTAL BROADER CATEGORIES]]</f>
        <v>9.4317196703551251E-2</v>
      </c>
      <c r="AP294" s="2">
        <f>All_India_Index_Upto_April23__1[[#This Row],[Health]]/All_India_Index_Upto_April23__1[[#This Row],[TOTAL BROADER CATEGORIES]]</f>
        <v>9.9075541762469146E-2</v>
      </c>
      <c r="AQ294" s="2">
        <f>All_India_Index_Upto_April23__1[[#This Row],[Fuel and light]]/All_India_Index_Upto_April23__1[[#This Row],[TOTAL BROADER CATEGORIES]]</f>
        <v>0.10060500981712134</v>
      </c>
      <c r="AR294">
        <f>MONTH(1 &amp; All_India_Index_Upto_April23__1[[#This Row],[Month]])</f>
        <v>1</v>
      </c>
      <c r="AS294" s="19" t="str">
        <f>All_India_Index_Upto_April23__1[[#This Row],[MONTH IN NUM]]&amp;"/"&amp;All_India_Index_Upto_April23__1[[#This Row],[Year]]</f>
        <v>1/2015</v>
      </c>
      <c r="AT29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123.76428571428572</v>
      </c>
      <c r="AU29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1176.8797619047621</v>
      </c>
    </row>
    <row r="295" spans="1:47" x14ac:dyDescent="0.3">
      <c r="A295" t="s">
        <v>32</v>
      </c>
      <c r="B295">
        <v>2015</v>
      </c>
      <c r="C295" t="s">
        <v>31</v>
      </c>
      <c r="D295">
        <v>124</v>
      </c>
      <c r="E295">
        <v>125.5</v>
      </c>
      <c r="F295">
        <v>126.6</v>
      </c>
      <c r="G295">
        <v>125.2</v>
      </c>
      <c r="H295">
        <v>104.3</v>
      </c>
      <c r="I295">
        <v>121.3</v>
      </c>
      <c r="J295">
        <v>134.4</v>
      </c>
      <c r="K295">
        <v>122.9</v>
      </c>
      <c r="L295">
        <v>96.1</v>
      </c>
      <c r="M295">
        <v>126.6</v>
      </c>
      <c r="N295">
        <v>116.5</v>
      </c>
      <c r="O295">
        <v>128</v>
      </c>
      <c r="P295">
        <v>123.5</v>
      </c>
      <c r="Q295">
        <v>127.4</v>
      </c>
      <c r="R295">
        <v>121</v>
      </c>
      <c r="S295">
        <v>116.1</v>
      </c>
      <c r="T295">
        <v>120.2</v>
      </c>
      <c r="U295">
        <v>117.3</v>
      </c>
      <c r="V295">
        <v>113.4</v>
      </c>
      <c r="W295">
        <v>117.2</v>
      </c>
      <c r="X295">
        <v>113.7</v>
      </c>
      <c r="Y295">
        <v>107.9</v>
      </c>
      <c r="Z295">
        <v>114.6</v>
      </c>
      <c r="AA295">
        <v>120.8</v>
      </c>
      <c r="AB295">
        <v>111.4</v>
      </c>
      <c r="AC295">
        <v>113.4</v>
      </c>
      <c r="AD295">
        <v>118.5</v>
      </c>
      <c r="AE295">
        <v>121.59285714285714</v>
      </c>
      <c r="AF295">
        <v>119.10000000000001</v>
      </c>
      <c r="AG295">
        <v>117.25</v>
      </c>
      <c r="AH295" s="2">
        <f>All_India_Index_Upto_April23__1[[#This Row],[House]]/All_India_Index_Upto_April23__1[[#This Row],[TOTAL BROADER CATEGORIES]]</f>
        <v>0.10167864222001982</v>
      </c>
      <c r="AI295" s="2">
        <f>All_India_Index_Upto_April23__1[[#This Row],[Cloth]]/All_India_Index_Upto_April23__1[[#This Row],[TOTAL BROADER CATEGORIES]]</f>
        <v>0.10328295341922697</v>
      </c>
      <c r="AJ295" s="2">
        <f>All_India_Index_Upto_April23__1[[#This Row],[Food]]/All_India_Index_Upto_April23__1[[#This Row],[TOTAL BROADER CATEGORIES]]</f>
        <v>0.10544474727452924</v>
      </c>
      <c r="AK295" s="2">
        <f>All_India_Index_Upto_April23__1[[#This Row],[Miscellaneous]]/All_India_Index_Upto_April23__1[[#This Row],[TOTAL BROADER CATEGORIES]]</f>
        <v>9.8339940535183357E-2</v>
      </c>
      <c r="AL295" s="2">
        <f>All_India_Index_Upto_April23__1[[#This Row],[Personal care and effects]]/All_India_Index_Upto_April23__1[[#This Row],[TOTAL BROADER CATEGORIES]]</f>
        <v>9.6605550049554026E-2</v>
      </c>
      <c r="AM295" s="2">
        <f>All_India_Index_Upto_April23__1[[#This Row],[Education]]/All_India_Index_Upto_April23__1[[#This Row],[TOTAL BROADER CATEGORIES]]</f>
        <v>0.10475718533201189</v>
      </c>
      <c r="AN295" s="2">
        <f>All_India_Index_Upto_April23__1[[#This Row],[Recreation and amusement]]/All_India_Index_Upto_April23__1[[#This Row],[TOTAL BROADER CATEGORIES]]</f>
        <v>9.9380574826560944E-2</v>
      </c>
      <c r="AO295" s="2">
        <f>All_India_Index_Upto_April23__1[[#This Row],[Transport and communication]]/All_India_Index_Upto_April23__1[[#This Row],[TOTAL BROADER CATEGORIES]]</f>
        <v>9.3570366699702687E-2</v>
      </c>
      <c r="AP295" s="2">
        <f>All_India_Index_Upto_April23__1[[#This Row],[Health]]/All_India_Index_Upto_April23__1[[#This Row],[TOTAL BROADER CATEGORIES]]</f>
        <v>9.860009910802775E-2</v>
      </c>
      <c r="AQ295" s="2">
        <f>All_India_Index_Upto_April23__1[[#This Row],[Fuel and light]]/All_India_Index_Upto_April23__1[[#This Row],[TOTAL BROADER CATEGORIES]]</f>
        <v>9.8339940535183357E-2</v>
      </c>
      <c r="AR295">
        <f>MONTH(1 &amp; All_India_Index_Upto_April23__1[[#This Row],[Month]])</f>
        <v>1</v>
      </c>
      <c r="AS295" s="19" t="str">
        <f>All_India_Index_Upto_April23__1[[#This Row],[MONTH IN NUM]]&amp;"/"&amp;All_India_Index_Upto_April23__1[[#This Row],[Year]]</f>
        <v>1/2015</v>
      </c>
      <c r="AT29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v>
      </c>
      <c r="AU29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1153.1428571428571</v>
      </c>
    </row>
    <row r="296" spans="1:47" x14ac:dyDescent="0.3">
      <c r="A296" t="s">
        <v>32</v>
      </c>
      <c r="B296">
        <v>2014</v>
      </c>
      <c r="C296" t="s">
        <v>44</v>
      </c>
      <c r="D296">
        <v>124</v>
      </c>
      <c r="E296">
        <v>124.7</v>
      </c>
      <c r="F296">
        <v>126.3</v>
      </c>
      <c r="G296">
        <v>124.9</v>
      </c>
      <c r="H296">
        <v>103</v>
      </c>
      <c r="I296">
        <v>122.3</v>
      </c>
      <c r="J296">
        <v>141</v>
      </c>
      <c r="K296">
        <v>120.1</v>
      </c>
      <c r="L296">
        <v>97.8</v>
      </c>
      <c r="M296">
        <v>125.4</v>
      </c>
      <c r="N296">
        <v>116.1</v>
      </c>
      <c r="O296">
        <v>127.6</v>
      </c>
      <c r="P296">
        <v>124</v>
      </c>
      <c r="Q296">
        <v>126.4</v>
      </c>
      <c r="R296">
        <v>120.7</v>
      </c>
      <c r="S296">
        <v>115.8</v>
      </c>
      <c r="T296">
        <v>120</v>
      </c>
      <c r="U296">
        <v>116.5</v>
      </c>
      <c r="V296">
        <v>113</v>
      </c>
      <c r="W296">
        <v>116.8</v>
      </c>
      <c r="X296">
        <v>113.2</v>
      </c>
      <c r="Y296">
        <v>108.8</v>
      </c>
      <c r="Z296">
        <v>114.3</v>
      </c>
      <c r="AA296">
        <v>120.7</v>
      </c>
      <c r="AB296">
        <v>110.4</v>
      </c>
      <c r="AC296">
        <v>113.4</v>
      </c>
      <c r="AD296">
        <v>118.4</v>
      </c>
      <c r="AE296">
        <v>121.68571428571428</v>
      </c>
      <c r="AF296">
        <v>118.83333333333333</v>
      </c>
      <c r="AG296">
        <v>116.65</v>
      </c>
      <c r="AH296" s="2">
        <f>All_India_Index_Upto_April23__1[[#This Row],[House]]/All_India_Index_Upto_April23__1[[#This Row],[TOTAL BROADER CATEGORIES]]</f>
        <v>0.1013493805426897</v>
      </c>
      <c r="AI296" s="2">
        <f>All_India_Index_Upto_April23__1[[#This Row],[Cloth]]/All_India_Index_Upto_April23__1[[#This Row],[TOTAL BROADER CATEGORIES]]</f>
        <v>0.10324633280031112</v>
      </c>
      <c r="AJ296" s="2">
        <f>All_India_Index_Upto_April23__1[[#This Row],[Food]]/All_India_Index_Upto_April23__1[[#This Row],[TOTAL BROADER CATEGORIES]]</f>
        <v>0.10572457577155482</v>
      </c>
      <c r="AK296" s="2">
        <f>All_India_Index_Upto_April23__1[[#This Row],[Miscellaneous]]/All_India_Index_Upto_April23__1[[#This Row],[TOTAL BROADER CATEGORIES]]</f>
        <v>9.8525672983634918E-2</v>
      </c>
      <c r="AL296" s="2">
        <f>All_India_Index_Upto_April23__1[[#This Row],[Personal care and effects]]/All_India_Index_Upto_April23__1[[#This Row],[TOTAL BROADER CATEGORIES]]</f>
        <v>9.5919173698353566E-2</v>
      </c>
      <c r="AM296" s="2">
        <f>All_India_Index_Upto_April23__1[[#This Row],[Education]]/All_India_Index_Upto_April23__1[[#This Row],[TOTAL BROADER CATEGORIES]]</f>
        <v>0.10486815457781952</v>
      </c>
      <c r="AN296" s="2">
        <f>All_India_Index_Upto_April23__1[[#This Row],[Recreation and amusement]]/All_India_Index_Upto_April23__1[[#This Row],[TOTAL BROADER CATEGORIES]]</f>
        <v>9.9307622769219311E-2</v>
      </c>
      <c r="AO296" s="2">
        <f>All_India_Index_Upto_April23__1[[#This Row],[Transport and communication]]/All_India_Index_Upto_April23__1[[#This Row],[TOTAL BROADER CATEGORIES]]</f>
        <v>9.452904074620351E-2</v>
      </c>
      <c r="AP296" s="2">
        <f>All_India_Index_Upto_April23__1[[#This Row],[Health]]/All_India_Index_Upto_April23__1[[#This Row],[TOTAL BROADER CATEGORIES]]</f>
        <v>9.835190636461616E-2</v>
      </c>
      <c r="AQ296" s="2">
        <f>All_India_Index_Upto_April23__1[[#This Row],[Fuel and light]]/All_India_Index_Upto_April23__1[[#This Row],[TOTAL BROADER CATEGORIES]]</f>
        <v>9.8178139745597401E-2</v>
      </c>
      <c r="AR296">
        <f>MONTH(1 &amp; All_India_Index_Upto_April23__1[[#This Row],[Month]])</f>
        <v>12</v>
      </c>
      <c r="AS296" s="19" t="str">
        <f>All_India_Index_Upto_April23__1[[#This Row],[MONTH IN NUM]]&amp;"/"&amp;All_India_Index_Upto_April23__1[[#This Row],[Year]]</f>
        <v>12/2014</v>
      </c>
      <c r="AT29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117.64285714285714</v>
      </c>
      <c r="AU29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1150.9690476190476</v>
      </c>
    </row>
    <row r="297" spans="1:47" x14ac:dyDescent="0.3">
      <c r="A297" t="s">
        <v>33</v>
      </c>
      <c r="B297">
        <v>2014</v>
      </c>
      <c r="C297" t="s">
        <v>44</v>
      </c>
      <c r="D297">
        <v>122.9</v>
      </c>
      <c r="E297">
        <v>123.2</v>
      </c>
      <c r="F297">
        <v>123.5</v>
      </c>
      <c r="G297">
        <v>124.5</v>
      </c>
      <c r="H297">
        <v>107.6</v>
      </c>
      <c r="I297">
        <v>125.7</v>
      </c>
      <c r="J297">
        <v>140.5</v>
      </c>
      <c r="K297">
        <v>117.6</v>
      </c>
      <c r="L297">
        <v>100.6</v>
      </c>
      <c r="M297">
        <v>119.1</v>
      </c>
      <c r="N297">
        <v>116.8</v>
      </c>
      <c r="O297">
        <v>126.1</v>
      </c>
      <c r="P297">
        <v>123.6</v>
      </c>
      <c r="Q297">
        <v>123</v>
      </c>
      <c r="R297">
        <v>122.6</v>
      </c>
      <c r="S297">
        <v>118.6</v>
      </c>
      <c r="T297">
        <v>122</v>
      </c>
      <c r="U297">
        <v>116.5</v>
      </c>
      <c r="V297">
        <v>115.7</v>
      </c>
      <c r="W297">
        <v>117.5</v>
      </c>
      <c r="X297">
        <v>115.1</v>
      </c>
      <c r="Y297">
        <v>110.1</v>
      </c>
      <c r="Z297">
        <v>113.9</v>
      </c>
      <c r="AA297">
        <v>119.5</v>
      </c>
      <c r="AB297">
        <v>109.8</v>
      </c>
      <c r="AC297">
        <v>113.8</v>
      </c>
      <c r="AD297">
        <v>119.4</v>
      </c>
      <c r="AE297">
        <v>121.04999999999998</v>
      </c>
      <c r="AF297">
        <v>121.06666666666666</v>
      </c>
      <c r="AG297">
        <v>117</v>
      </c>
      <c r="AH297" s="2">
        <f>All_India_Index_Upto_April23__1[[#This Row],[House]]/All_India_Index_Upto_April23__1[[#This Row],[TOTAL BROADER CATEGORIES]]</f>
        <v>0.10112213883407038</v>
      </c>
      <c r="AI297" s="2">
        <f>All_India_Index_Upto_April23__1[[#This Row],[Cloth]]/All_India_Index_Upto_April23__1[[#This Row],[TOTAL BROADER CATEGORIES]]</f>
        <v>0.10463692542602382</v>
      </c>
      <c r="AJ297" s="2">
        <f>All_India_Index_Upto_April23__1[[#This Row],[Food]]/All_India_Index_Upto_April23__1[[#This Row],[TOTAL BROADER CATEGORIES]]</f>
        <v>0.10462252056294204</v>
      </c>
      <c r="AK297" s="2">
        <f>All_India_Index_Upto_April23__1[[#This Row],[Miscellaneous]]/All_India_Index_Upto_April23__1[[#This Row],[TOTAL BROADER CATEGORIES]]</f>
        <v>9.8356405122369317E-2</v>
      </c>
      <c r="AL297" s="2">
        <f>All_India_Index_Upto_April23__1[[#This Row],[Personal care and effects]]/All_India_Index_Upto_April23__1[[#This Row],[TOTAL BROADER CATEGORIES]]</f>
        <v>9.4899237982742968E-2</v>
      </c>
      <c r="AM297" s="2">
        <f>All_India_Index_Upto_April23__1[[#This Row],[Education]]/All_India_Index_Upto_April23__1[[#This Row],[TOTAL BROADER CATEGORIES]]</f>
        <v>0.10328286829633684</v>
      </c>
      <c r="AN297" s="2">
        <f>All_India_Index_Upto_April23__1[[#This Row],[Recreation and amusement]]/All_India_Index_Upto_April23__1[[#This Row],[TOTAL BROADER CATEGORIES]]</f>
        <v>9.8442834300859983E-2</v>
      </c>
      <c r="AO297" s="2">
        <f>All_India_Index_Upto_April23__1[[#This Row],[Transport and communication]]/All_India_Index_Upto_April23__1[[#This Row],[TOTAL BROADER CATEGORIES]]</f>
        <v>9.5158525518214951E-2</v>
      </c>
      <c r="AP297" s="2">
        <f>All_India_Index_Upto_April23__1[[#This Row],[Health]]/All_India_Index_Upto_April23__1[[#This Row],[TOTAL BROADER CATEGORIES]]</f>
        <v>9.9479984442747874E-2</v>
      </c>
      <c r="AQ297" s="2">
        <f>All_India_Index_Upto_April23__1[[#This Row],[Fuel and light]]/All_India_Index_Upto_April23__1[[#This Row],[TOTAL BROADER CATEGORIES]]</f>
        <v>9.9998559513691826E-2</v>
      </c>
      <c r="AR297">
        <f>MONTH(1 &amp; All_India_Index_Upto_April23__1[[#This Row],[Month]])</f>
        <v>12</v>
      </c>
      <c r="AS297" s="19" t="str">
        <f>All_India_Index_Upto_April23__1[[#This Row],[MONTH IN NUM]]&amp;"/"&amp;All_India_Index_Upto_April23__1[[#This Row],[Year]]</f>
        <v>12/2014</v>
      </c>
      <c r="AT29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118.91428571428573</v>
      </c>
      <c r="AU29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1157.0166666666667</v>
      </c>
    </row>
    <row r="298" spans="1:47" x14ac:dyDescent="0.3">
      <c r="A298" t="s">
        <v>30</v>
      </c>
      <c r="B298">
        <v>2014</v>
      </c>
      <c r="C298" t="s">
        <v>44</v>
      </c>
      <c r="D298">
        <v>122.4</v>
      </c>
      <c r="E298">
        <v>122.4</v>
      </c>
      <c r="F298">
        <v>121.8</v>
      </c>
      <c r="G298">
        <v>124.2</v>
      </c>
      <c r="H298">
        <v>110.2</v>
      </c>
      <c r="I298">
        <v>128.6</v>
      </c>
      <c r="J298">
        <v>140.30000000000001</v>
      </c>
      <c r="K298">
        <v>116.3</v>
      </c>
      <c r="L298">
        <v>102</v>
      </c>
      <c r="M298">
        <v>116</v>
      </c>
      <c r="N298">
        <v>117.3</v>
      </c>
      <c r="O298">
        <v>124.8</v>
      </c>
      <c r="P298">
        <v>123.3</v>
      </c>
      <c r="Q298">
        <v>121.7</v>
      </c>
      <c r="R298">
        <v>123.8</v>
      </c>
      <c r="S298">
        <v>120.6</v>
      </c>
      <c r="T298">
        <v>123.3</v>
      </c>
      <c r="U298">
        <v>140.85</v>
      </c>
      <c r="V298">
        <v>117.4</v>
      </c>
      <c r="W298">
        <v>118.2</v>
      </c>
      <c r="X298">
        <v>116.2</v>
      </c>
      <c r="Y298">
        <v>111.5</v>
      </c>
      <c r="Z298">
        <v>113.3</v>
      </c>
      <c r="AA298">
        <v>117.7</v>
      </c>
      <c r="AB298">
        <v>109.4</v>
      </c>
      <c r="AC298">
        <v>114.2</v>
      </c>
      <c r="AD298">
        <v>120.3</v>
      </c>
      <c r="AE298">
        <v>120.80714285714285</v>
      </c>
      <c r="AF298">
        <v>122.56666666666666</v>
      </c>
      <c r="AG298">
        <v>129.52500000000001</v>
      </c>
      <c r="AH298" s="2">
        <f>All_India_Index_Upto_April23__1[[#This Row],[House]]/All_India_Index_Upto_April23__1[[#This Row],[TOTAL BROADER CATEGORIES]]</f>
        <v>0.11045977443265517</v>
      </c>
      <c r="AI298" s="2">
        <f>All_India_Index_Upto_April23__1[[#This Row],[Cloth]]/All_India_Index_Upto_April23__1[[#This Row],[TOTAL BROADER CATEGORIES]]</f>
        <v>0.1045256618642149</v>
      </c>
      <c r="AJ298" s="2">
        <f>All_India_Index_Upto_April23__1[[#This Row],[Food]]/All_India_Index_Upto_April23__1[[#This Row],[TOTAL BROADER CATEGORIES]]</f>
        <v>0.10302512835246901</v>
      </c>
      <c r="AK298" s="2">
        <f>All_India_Index_Upto_April23__1[[#This Row],[Miscellaneous]]/All_India_Index_Upto_April23__1[[#This Row],[TOTAL BROADER CATEGORIES]]</f>
        <v>9.7390513338808882E-2</v>
      </c>
      <c r="AL298" s="2">
        <f>All_India_Index_Upto_April23__1[[#This Row],[Personal care and effects]]/All_India_Index_Upto_April23__1[[#This Row],[TOTAL BROADER CATEGORIES]]</f>
        <v>9.3297041674830924E-2</v>
      </c>
      <c r="AM298" s="2">
        <f>All_India_Index_Upto_April23__1[[#This Row],[Education]]/All_India_Index_Upto_April23__1[[#This Row],[TOTAL BROADER CATEGORIES]]</f>
        <v>0.10037533642712615</v>
      </c>
      <c r="AN298" s="2">
        <f>All_India_Index_Upto_April23__1[[#This Row],[Recreation and amusement]]/All_India_Index_Upto_April23__1[[#This Row],[TOTAL BROADER CATEGORIES]]</f>
        <v>9.6622987401813007E-2</v>
      </c>
      <c r="AO298" s="2">
        <f>All_India_Index_Upto_April23__1[[#This Row],[Transport and communication]]/All_India_Index_Upto_April23__1[[#This Row],[TOTAL BROADER CATEGORIES]]</f>
        <v>9.5087935527821285E-2</v>
      </c>
      <c r="AP298" s="2">
        <f>All_India_Index_Upto_April23__1[[#This Row],[Health]]/All_India_Index_Upto_April23__1[[#This Row],[TOTAL BROADER CATEGORIES]]</f>
        <v>9.9096126532133025E-2</v>
      </c>
      <c r="AQ298" s="2">
        <f>All_India_Index_Upto_April23__1[[#This Row],[Fuel and light]]/All_India_Index_Upto_April23__1[[#This Row],[TOTAL BROADER CATEGORIES]]</f>
        <v>0.10011949444812752</v>
      </c>
      <c r="AR298">
        <f>MONTH(1 &amp; All_India_Index_Upto_April23__1[[#This Row],[Month]])</f>
        <v>12</v>
      </c>
      <c r="AS298" s="19" t="str">
        <f>All_India_Index_Upto_April23__1[[#This Row],[MONTH IN NUM]]&amp;"/"&amp;All_India_Index_Upto_April23__1[[#This Row],[Year]]</f>
        <v>12/2014</v>
      </c>
      <c r="AT29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123.12142857142855</v>
      </c>
      <c r="AU29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1172.5988095238097</v>
      </c>
    </row>
    <row r="299" spans="1:47" x14ac:dyDescent="0.3">
      <c r="A299" t="s">
        <v>30</v>
      </c>
      <c r="B299">
        <v>2014</v>
      </c>
      <c r="C299" t="s">
        <v>43</v>
      </c>
      <c r="D299">
        <v>122.7</v>
      </c>
      <c r="E299">
        <v>122.6</v>
      </c>
      <c r="F299">
        <v>119.9</v>
      </c>
      <c r="G299">
        <v>124</v>
      </c>
      <c r="H299">
        <v>110.5</v>
      </c>
      <c r="I299">
        <v>128.80000000000001</v>
      </c>
      <c r="J299">
        <v>152</v>
      </c>
      <c r="K299">
        <v>116.2</v>
      </c>
      <c r="L299">
        <v>103.3</v>
      </c>
      <c r="M299">
        <v>115.8</v>
      </c>
      <c r="N299">
        <v>116.8</v>
      </c>
      <c r="O299">
        <v>124.5</v>
      </c>
      <c r="P299">
        <v>124.9</v>
      </c>
      <c r="Q299">
        <v>120.8</v>
      </c>
      <c r="R299">
        <v>123.3</v>
      </c>
      <c r="S299">
        <v>120.5</v>
      </c>
      <c r="T299">
        <v>122.9</v>
      </c>
      <c r="U299">
        <v>140.85</v>
      </c>
      <c r="V299">
        <v>117.3</v>
      </c>
      <c r="W299">
        <v>118.1</v>
      </c>
      <c r="X299">
        <v>115.9</v>
      </c>
      <c r="Y299">
        <v>112</v>
      </c>
      <c r="Z299">
        <v>113.3</v>
      </c>
      <c r="AA299">
        <v>117.2</v>
      </c>
      <c r="AB299">
        <v>108.8</v>
      </c>
      <c r="AC299">
        <v>114.1</v>
      </c>
      <c r="AD299">
        <v>121.1</v>
      </c>
      <c r="AE299">
        <v>121.62857142857142</v>
      </c>
      <c r="AF299">
        <v>122.23333333333335</v>
      </c>
      <c r="AG299">
        <v>129.47499999999999</v>
      </c>
      <c r="AH299" s="2">
        <f>All_India_Index_Upto_April23__1[[#This Row],[House]]/All_India_Index_Upto_April23__1[[#This Row],[TOTAL BROADER CATEGORIES]]</f>
        <v>0.11047949721005214</v>
      </c>
      <c r="AI299" s="2">
        <f>All_India_Index_Upto_April23__1[[#This Row],[Cloth]]/All_India_Index_Upto_April23__1[[#This Row],[TOTAL BROADER CATEGORIES]]</f>
        <v>0.10430026807472775</v>
      </c>
      <c r="AJ299" s="2">
        <f>All_India_Index_Upto_April23__1[[#This Row],[Food]]/All_India_Index_Upto_April23__1[[#This Row],[TOTAL BROADER CATEGORIES]]</f>
        <v>0.10378423184248298</v>
      </c>
      <c r="AK299" s="2">
        <f>All_India_Index_Upto_April23__1[[#This Row],[Miscellaneous]]/All_India_Index_Upto_April23__1[[#This Row],[TOTAL BROADER CATEGORIES]]</f>
        <v>9.7360190242648761E-2</v>
      </c>
      <c r="AL299" s="2">
        <f>All_India_Index_Upto_April23__1[[#This Row],[Personal care and effects]]/All_India_Index_Upto_April23__1[[#This Row],[TOTAL BROADER CATEGORIES]]</f>
        <v>9.2837762475023539E-2</v>
      </c>
      <c r="AM299" s="2">
        <f>All_India_Index_Upto_April23__1[[#This Row],[Education]]/All_India_Index_Upto_April23__1[[#This Row],[TOTAL BROADER CATEGORIES]]</f>
        <v>0.10000538384258051</v>
      </c>
      <c r="AN299" s="2">
        <f>All_India_Index_Upto_April23__1[[#This Row],[Recreation and amusement]]/All_India_Index_Upto_April23__1[[#This Row],[TOTAL BROADER CATEGORIES]]</f>
        <v>9.6677559636214772E-2</v>
      </c>
      <c r="AO299" s="2">
        <f>All_India_Index_Upto_April23__1[[#This Row],[Transport and communication]]/All_India_Index_Upto_April23__1[[#This Row],[TOTAL BROADER CATEGORIES]]</f>
        <v>9.5568284900759526E-2</v>
      </c>
      <c r="AP299" s="2">
        <f>All_India_Index_Upto_April23__1[[#This Row],[Health]]/All_India_Index_Upto_April23__1[[#This Row],[TOTAL BROADER CATEGORIES]]</f>
        <v>9.8896109107125263E-2</v>
      </c>
      <c r="AQ299" s="2">
        <f>All_India_Index_Upto_April23__1[[#This Row],[Fuel and light]]/All_India_Index_Upto_April23__1[[#This Row],[TOTAL BROADER CATEGORIES]]</f>
        <v>0.10009071266838475</v>
      </c>
      <c r="AR299">
        <f>MONTH(1 &amp; All_India_Index_Upto_April23__1[[#This Row],[Month]])</f>
        <v>11</v>
      </c>
      <c r="AS299" s="19" t="str">
        <f>All_India_Index_Upto_April23__1[[#This Row],[MONTH IN NUM]]&amp;"/"&amp;All_India_Index_Upto_April23__1[[#This Row],[Year]]</f>
        <v>11/2014</v>
      </c>
      <c r="AT29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122.87857142857142</v>
      </c>
      <c r="AU29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1171.9369047619048</v>
      </c>
    </row>
    <row r="300" spans="1:47" x14ac:dyDescent="0.3">
      <c r="A300" t="s">
        <v>32</v>
      </c>
      <c r="B300">
        <v>2014</v>
      </c>
      <c r="C300" t="s">
        <v>43</v>
      </c>
      <c r="D300">
        <v>124.5</v>
      </c>
      <c r="E300">
        <v>125.6</v>
      </c>
      <c r="F300">
        <v>122.7</v>
      </c>
      <c r="G300">
        <v>124.6</v>
      </c>
      <c r="H300">
        <v>103.2</v>
      </c>
      <c r="I300">
        <v>122.2</v>
      </c>
      <c r="J300">
        <v>153.19999999999999</v>
      </c>
      <c r="K300">
        <v>119.3</v>
      </c>
      <c r="L300">
        <v>99.8</v>
      </c>
      <c r="M300">
        <v>124.6</v>
      </c>
      <c r="N300">
        <v>115.8</v>
      </c>
      <c r="O300">
        <v>126.9</v>
      </c>
      <c r="P300">
        <v>125.4</v>
      </c>
      <c r="Q300">
        <v>125.8</v>
      </c>
      <c r="R300">
        <v>120.3</v>
      </c>
      <c r="S300">
        <v>115.4</v>
      </c>
      <c r="T300">
        <v>119.5</v>
      </c>
      <c r="U300">
        <v>117.1</v>
      </c>
      <c r="V300">
        <v>112.6</v>
      </c>
      <c r="W300">
        <v>116.4</v>
      </c>
      <c r="X300">
        <v>113</v>
      </c>
      <c r="Y300">
        <v>109.7</v>
      </c>
      <c r="Z300">
        <v>114</v>
      </c>
      <c r="AA300">
        <v>120.3</v>
      </c>
      <c r="AB300">
        <v>109.6</v>
      </c>
      <c r="AC300">
        <v>113.4</v>
      </c>
      <c r="AD300">
        <v>119</v>
      </c>
      <c r="AE300">
        <v>122.39999999999999</v>
      </c>
      <c r="AF300">
        <v>118.39999999999999</v>
      </c>
      <c r="AG300">
        <v>116.75</v>
      </c>
      <c r="AH300" s="2">
        <f>All_India_Index_Upto_April23__1[[#This Row],[House]]/All_India_Index_Upto_April23__1[[#This Row],[TOTAL BROADER CATEGORIES]]</f>
        <v>0.10150849889144896</v>
      </c>
      <c r="AI300" s="2">
        <f>All_India_Index_Upto_April23__1[[#This Row],[Cloth]]/All_India_Index_Upto_April23__1[[#This Row],[TOTAL BROADER CATEGORIES]]</f>
        <v>0.10294309437899404</v>
      </c>
      <c r="AJ300" s="2">
        <f>All_India_Index_Upto_April23__1[[#This Row],[Food]]/All_India_Index_Upto_April23__1[[#This Row],[TOTAL BROADER CATEGORIES]]</f>
        <v>0.10642090162152763</v>
      </c>
      <c r="AK300" s="2">
        <f>All_India_Index_Upto_April23__1[[#This Row],[Miscellaneous]]/All_India_Index_Upto_April23__1[[#This Row],[TOTAL BROADER CATEGORIES]]</f>
        <v>9.859583532582708E-2</v>
      </c>
      <c r="AL300" s="2">
        <f>All_India_Index_Upto_April23__1[[#This Row],[Personal care and effects]]/All_India_Index_Upto_April23__1[[#This Row],[TOTAL BROADER CATEGORIES]]</f>
        <v>9.5291918445420162E-2</v>
      </c>
      <c r="AM300" s="2">
        <f>All_India_Index_Upto_April23__1[[#This Row],[Education]]/All_India_Index_Upto_April23__1[[#This Row],[TOTAL BROADER CATEGORIES]]</f>
        <v>0.10459505281919751</v>
      </c>
      <c r="AN300" s="2">
        <f>All_India_Index_Upto_April23__1[[#This Row],[Recreation and amusement]]/All_India_Index_Upto_April23__1[[#This Row],[TOTAL BROADER CATEGORIES]]</f>
        <v>9.911750641220711E-2</v>
      </c>
      <c r="AO300" s="2">
        <f>All_India_Index_Upto_April23__1[[#This Row],[Transport and communication]]/All_India_Index_Upto_April23__1[[#This Row],[TOTAL BROADER CATEGORIES]]</f>
        <v>9.5378863626483512E-2</v>
      </c>
      <c r="AP300" s="2">
        <f>All_India_Index_Upto_April23__1[[#This Row],[Health]]/All_India_Index_Upto_April23__1[[#This Row],[TOTAL BROADER CATEGORIES]]</f>
        <v>9.8248054601573723E-2</v>
      </c>
      <c r="AQ300" s="2">
        <f>All_India_Index_Upto_April23__1[[#This Row],[Fuel and light]]/All_India_Index_Upto_April23__1[[#This Row],[TOTAL BROADER CATEGORIES]]</f>
        <v>9.7900273877320351E-2</v>
      </c>
      <c r="AR300">
        <f>MONTH(1 &amp; All_India_Index_Upto_April23__1[[#This Row],[Month]])</f>
        <v>11</v>
      </c>
      <c r="AS300" s="19" t="str">
        <f>All_India_Index_Upto_April23__1[[#This Row],[MONTH IN NUM]]&amp;"/"&amp;All_India_Index_Upto_April23__1[[#This Row],[Year]]</f>
        <v>11/2014</v>
      </c>
      <c r="AT30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117.37142857142855</v>
      </c>
      <c r="AU30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1150.1499999999999</v>
      </c>
    </row>
    <row r="301" spans="1:47" x14ac:dyDescent="0.3">
      <c r="A301" t="s">
        <v>33</v>
      </c>
      <c r="B301">
        <v>2014</v>
      </c>
      <c r="C301" t="s">
        <v>43</v>
      </c>
      <c r="D301">
        <v>123.3</v>
      </c>
      <c r="E301">
        <v>123.7</v>
      </c>
      <c r="F301">
        <v>121</v>
      </c>
      <c r="G301">
        <v>124.2</v>
      </c>
      <c r="H301">
        <v>107.8</v>
      </c>
      <c r="I301">
        <v>125.7</v>
      </c>
      <c r="J301">
        <v>152.4</v>
      </c>
      <c r="K301">
        <v>117.2</v>
      </c>
      <c r="L301">
        <v>102.1</v>
      </c>
      <c r="M301">
        <v>118.7</v>
      </c>
      <c r="N301">
        <v>116.4</v>
      </c>
      <c r="O301">
        <v>125.6</v>
      </c>
      <c r="P301">
        <v>125.1</v>
      </c>
      <c r="Q301">
        <v>122.1</v>
      </c>
      <c r="R301">
        <v>122.1</v>
      </c>
      <c r="S301">
        <v>118.4</v>
      </c>
      <c r="T301">
        <v>121.6</v>
      </c>
      <c r="U301">
        <v>117.1</v>
      </c>
      <c r="V301">
        <v>115.5</v>
      </c>
      <c r="W301">
        <v>117.3</v>
      </c>
      <c r="X301">
        <v>114.8</v>
      </c>
      <c r="Y301">
        <v>110.8</v>
      </c>
      <c r="Z301">
        <v>113.7</v>
      </c>
      <c r="AA301">
        <v>119</v>
      </c>
      <c r="AB301">
        <v>109.1</v>
      </c>
      <c r="AC301">
        <v>113.8</v>
      </c>
      <c r="AD301">
        <v>120.1</v>
      </c>
      <c r="AE301">
        <v>121.80714285714285</v>
      </c>
      <c r="AF301">
        <v>120.7</v>
      </c>
      <c r="AG301">
        <v>117.19999999999999</v>
      </c>
      <c r="AH301" s="2">
        <f>All_India_Index_Upto_April23__1[[#This Row],[House]]/All_India_Index_Upto_April23__1[[#This Row],[TOTAL BROADER CATEGORIES]]</f>
        <v>0.10134838817272709</v>
      </c>
      <c r="AI301" s="2">
        <f>All_India_Index_Upto_April23__1[[#This Row],[Cloth]]/All_India_Index_Upto_April23__1[[#This Row],[TOTAL BROADER CATEGORIES]]</f>
        <v>0.1043750038604792</v>
      </c>
      <c r="AJ301" s="2">
        <f>All_India_Index_Upto_April23__1[[#This Row],[Food]]/All_India_Index_Upto_April23__1[[#This Row],[TOTAL BROADER CATEGORIES]]</f>
        <v>0.1053324027004824</v>
      </c>
      <c r="AK301" s="2">
        <f>All_India_Index_Upto_April23__1[[#This Row],[Miscellaneous]]/All_India_Index_Upto_April23__1[[#This Row],[TOTAL BROADER CATEGORIES]]</f>
        <v>9.8408247218910783E-2</v>
      </c>
      <c r="AL301" s="2">
        <f>All_India_Index_Upto_April23__1[[#This Row],[Personal care and effects]]/All_India_Index_Upto_April23__1[[#This Row],[TOTAL BROADER CATEGORIES]]</f>
        <v>9.4343934723929407E-2</v>
      </c>
      <c r="AM301" s="2">
        <f>All_India_Index_Upto_April23__1[[#This Row],[Education]]/All_India_Index_Upto_April23__1[[#This Row],[TOTAL BROADER CATEGORIES]]</f>
        <v>0.10290493338357104</v>
      </c>
      <c r="AN301" s="2">
        <f>All_India_Index_Upto_April23__1[[#This Row],[Recreation and amusement]]/All_India_Index_Upto_April23__1[[#This Row],[TOTAL BROADER CATEGORIES]]</f>
        <v>9.832177248497502E-2</v>
      </c>
      <c r="AO301" s="2">
        <f>All_India_Index_Upto_April23__1[[#This Row],[Transport and communication]]/All_India_Index_Upto_April23__1[[#This Row],[TOTAL BROADER CATEGORIES]]</f>
        <v>9.5814005200837563E-2</v>
      </c>
      <c r="AP301" s="2">
        <f>All_India_Index_Upto_April23__1[[#This Row],[Health]]/All_India_Index_Upto_April23__1[[#This Row],[TOTAL BROADER CATEGORIES]]</f>
        <v>9.9272994558268532E-2</v>
      </c>
      <c r="AQ301" s="2">
        <f>All_India_Index_Upto_April23__1[[#This Row],[Fuel and light]]/All_India_Index_Upto_April23__1[[#This Row],[TOTAL BROADER CATEGORIES]]</f>
        <v>9.9878317695818952E-2</v>
      </c>
      <c r="AR301">
        <f>MONTH(1 &amp; All_India_Index_Upto_April23__1[[#This Row],[Month]])</f>
        <v>11</v>
      </c>
      <c r="AS301" s="19" t="str">
        <f>All_India_Index_Upto_April23__1[[#This Row],[MONTH IN NUM]]&amp;"/"&amp;All_India_Index_Upto_April23__1[[#This Row],[Year]]</f>
        <v>11/2014</v>
      </c>
      <c r="AT30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118.71428571428571</v>
      </c>
      <c r="AU30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1156.4071428571428</v>
      </c>
    </row>
    <row r="302" spans="1:47" x14ac:dyDescent="0.3">
      <c r="A302" t="s">
        <v>33</v>
      </c>
      <c r="B302">
        <v>2014</v>
      </c>
      <c r="C302" t="s">
        <v>42</v>
      </c>
      <c r="D302">
        <v>123.2</v>
      </c>
      <c r="E302">
        <v>123.8</v>
      </c>
      <c r="F302">
        <v>118.1</v>
      </c>
      <c r="G302">
        <v>123.2</v>
      </c>
      <c r="H302">
        <v>107.9</v>
      </c>
      <c r="I302">
        <v>126.4</v>
      </c>
      <c r="J302">
        <v>156.80000000000001</v>
      </c>
      <c r="K302">
        <v>116.1</v>
      </c>
      <c r="L302">
        <v>103.1</v>
      </c>
      <c r="M302">
        <v>118.1</v>
      </c>
      <c r="N302">
        <v>116.1</v>
      </c>
      <c r="O302">
        <v>124.5</v>
      </c>
      <c r="P302">
        <v>125.4</v>
      </c>
      <c r="Q302">
        <v>121.1</v>
      </c>
      <c r="R302">
        <v>121.5</v>
      </c>
      <c r="S302">
        <v>118.1</v>
      </c>
      <c r="T302">
        <v>121</v>
      </c>
      <c r="U302">
        <v>116.7</v>
      </c>
      <c r="V302">
        <v>114.7</v>
      </c>
      <c r="W302">
        <v>116.7</v>
      </c>
      <c r="X302">
        <v>114.3</v>
      </c>
      <c r="Y302">
        <v>111.8</v>
      </c>
      <c r="Z302">
        <v>113.3</v>
      </c>
      <c r="AA302">
        <v>118.8</v>
      </c>
      <c r="AB302">
        <v>109.6</v>
      </c>
      <c r="AC302">
        <v>113.9</v>
      </c>
      <c r="AD302">
        <v>120.1</v>
      </c>
      <c r="AE302">
        <v>121.7</v>
      </c>
      <c r="AF302">
        <v>120.2</v>
      </c>
      <c r="AG302">
        <v>116.7</v>
      </c>
      <c r="AH302" s="2">
        <f>All_India_Index_Upto_April23__1[[#This Row],[House]]/All_India_Index_Upto_April23__1[[#This Row],[TOTAL BROADER CATEGORIES]]</f>
        <v>0.10103896103896104</v>
      </c>
      <c r="AI302" s="2">
        <f>All_India_Index_Upto_April23__1[[#This Row],[Cloth]]/All_India_Index_Upto_April23__1[[#This Row],[TOTAL BROADER CATEGORIES]]</f>
        <v>0.10406926406926408</v>
      </c>
      <c r="AJ302" s="2">
        <f>All_India_Index_Upto_April23__1[[#This Row],[Food]]/All_India_Index_Upto_April23__1[[#This Row],[TOTAL BROADER CATEGORIES]]</f>
        <v>0.10536796536796537</v>
      </c>
      <c r="AK302" s="2">
        <f>All_India_Index_Upto_April23__1[[#This Row],[Miscellaneous]]/All_India_Index_Upto_April23__1[[#This Row],[TOTAL BROADER CATEGORIES]]</f>
        <v>9.8614718614718613E-2</v>
      </c>
      <c r="AL302" s="2">
        <f>All_India_Index_Upto_April23__1[[#This Row],[Personal care and effects]]/All_India_Index_Upto_April23__1[[#This Row],[TOTAL BROADER CATEGORIES]]</f>
        <v>9.4891774891774888E-2</v>
      </c>
      <c r="AM302" s="2">
        <f>All_India_Index_Upto_April23__1[[#This Row],[Education]]/All_India_Index_Upto_April23__1[[#This Row],[TOTAL BROADER CATEGORIES]]</f>
        <v>0.10285714285714286</v>
      </c>
      <c r="AN302" s="2">
        <f>All_India_Index_Upto_April23__1[[#This Row],[Recreation and amusement]]/All_India_Index_Upto_April23__1[[#This Row],[TOTAL BROADER CATEGORIES]]</f>
        <v>9.8095238095238096E-2</v>
      </c>
      <c r="AO302" s="2">
        <f>All_India_Index_Upto_April23__1[[#This Row],[Transport and communication]]/All_India_Index_Upto_April23__1[[#This Row],[TOTAL BROADER CATEGORIES]]</f>
        <v>9.6796536796536797E-2</v>
      </c>
      <c r="AP302" s="2">
        <f>All_India_Index_Upto_April23__1[[#This Row],[Health]]/All_India_Index_Upto_April23__1[[#This Row],[TOTAL BROADER CATEGORIES]]</f>
        <v>9.8961038961038958E-2</v>
      </c>
      <c r="AQ302" s="2">
        <f>All_India_Index_Upto_April23__1[[#This Row],[Fuel and light]]/All_India_Index_Upto_April23__1[[#This Row],[TOTAL BROADER CATEGORIES]]</f>
        <v>9.9307359307359316E-2</v>
      </c>
      <c r="AR302">
        <f>MONTH(1 &amp; All_India_Index_Upto_April23__1[[#This Row],[Month]])</f>
        <v>10</v>
      </c>
      <c r="AS302" s="19" t="str">
        <f>All_India_Index_Upto_April23__1[[#This Row],[MONTH IN NUM]]&amp;"/"&amp;All_India_Index_Upto_April23__1[[#This Row],[Year]]</f>
        <v>10/2014</v>
      </c>
      <c r="AT30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118.21428571428571</v>
      </c>
      <c r="AU30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1155</v>
      </c>
    </row>
    <row r="303" spans="1:47" x14ac:dyDescent="0.3">
      <c r="A303" t="s">
        <v>30</v>
      </c>
      <c r="B303">
        <v>2014</v>
      </c>
      <c r="C303" t="s">
        <v>42</v>
      </c>
      <c r="D303">
        <v>122.6</v>
      </c>
      <c r="E303">
        <v>122.5</v>
      </c>
      <c r="F303">
        <v>118.3</v>
      </c>
      <c r="G303">
        <v>123.2</v>
      </c>
      <c r="H303">
        <v>110.5</v>
      </c>
      <c r="I303">
        <v>128.9</v>
      </c>
      <c r="J303">
        <v>155.30000000000001</v>
      </c>
      <c r="K303">
        <v>115.5</v>
      </c>
      <c r="L303">
        <v>104</v>
      </c>
      <c r="M303">
        <v>115.3</v>
      </c>
      <c r="N303">
        <v>116.8</v>
      </c>
      <c r="O303">
        <v>123.2</v>
      </c>
      <c r="P303">
        <v>125.1</v>
      </c>
      <c r="Q303">
        <v>120</v>
      </c>
      <c r="R303">
        <v>122.7</v>
      </c>
      <c r="S303">
        <v>120.3</v>
      </c>
      <c r="T303">
        <v>122.3</v>
      </c>
      <c r="U303">
        <v>140.85</v>
      </c>
      <c r="V303">
        <v>116.4</v>
      </c>
      <c r="W303">
        <v>117.5</v>
      </c>
      <c r="X303">
        <v>115.3</v>
      </c>
      <c r="Y303">
        <v>112.6</v>
      </c>
      <c r="Z303">
        <v>113</v>
      </c>
      <c r="AA303">
        <v>116.9</v>
      </c>
      <c r="AB303">
        <v>109.3</v>
      </c>
      <c r="AC303">
        <v>114</v>
      </c>
      <c r="AD303">
        <v>121</v>
      </c>
      <c r="AE303">
        <v>121.51428571428571</v>
      </c>
      <c r="AF303">
        <v>121.76666666666667</v>
      </c>
      <c r="AG303">
        <v>129.17500000000001</v>
      </c>
      <c r="AH303" s="2">
        <f>All_India_Index_Upto_April23__1[[#This Row],[House]]/All_India_Index_Upto_April23__1[[#This Row],[TOTAL BROADER CATEGORIES]]</f>
        <v>0.11041013957586927</v>
      </c>
      <c r="AI303" s="2">
        <f>All_India_Index_Upto_April23__1[[#This Row],[Cloth]]/All_India_Index_Upto_April23__1[[#This Row],[TOTAL BROADER CATEGORIES]]</f>
        <v>0.10407799235420952</v>
      </c>
      <c r="AJ303" s="2">
        <f>All_India_Index_Upto_April23__1[[#This Row],[Food]]/All_India_Index_Upto_April23__1[[#This Row],[TOTAL BROADER CATEGORIES]]</f>
        <v>0.10386227401723508</v>
      </c>
      <c r="AK303" s="2">
        <f>All_India_Index_Upto_April23__1[[#This Row],[Miscellaneous]]/All_India_Index_Upto_April23__1[[#This Row],[TOTAL BROADER CATEGORIES]]</f>
        <v>9.743956579561909E-2</v>
      </c>
      <c r="AL303" s="2">
        <f>All_India_Index_Upto_April23__1[[#This Row],[Personal care and effects]]/All_India_Index_Upto_April23__1[[#This Row],[TOTAL BROADER CATEGORIES]]</f>
        <v>9.3422320539133033E-2</v>
      </c>
      <c r="AM303" s="2">
        <f>All_India_Index_Upto_April23__1[[#This Row],[Education]]/All_India_Index_Upto_April23__1[[#This Row],[TOTAL BROADER CATEGORIES]]</f>
        <v>9.9918291592174316E-2</v>
      </c>
      <c r="AN303" s="2">
        <f>All_India_Index_Upto_April23__1[[#This Row],[Recreation and amusement]]/All_India_Index_Upto_April23__1[[#This Row],[TOTAL BROADER CATEGORIES]]</f>
        <v>9.6584832762324185E-2</v>
      </c>
      <c r="AO303" s="2">
        <f>All_India_Index_Upto_April23__1[[#This Row],[Transport and communication]]/All_India_Index_Upto_April23__1[[#This Row],[TOTAL BROADER CATEGORIES]]</f>
        <v>9.6242939549006215E-2</v>
      </c>
      <c r="AP303" s="2">
        <f>All_India_Index_Upto_April23__1[[#This Row],[Health]]/All_India_Index_Upto_April23__1[[#This Row],[TOTAL BROADER CATEGORIES]]</f>
        <v>9.8550718738902462E-2</v>
      </c>
      <c r="AQ303" s="2">
        <f>All_India_Index_Upto_April23__1[[#This Row],[Fuel and light]]/All_India_Index_Upto_April23__1[[#This Row],[TOTAL BROADER CATEGORIES]]</f>
        <v>9.949092507552687E-2</v>
      </c>
      <c r="AR303">
        <f>MONTH(1 &amp; All_India_Index_Upto_April23__1[[#This Row],[Month]])</f>
        <v>10</v>
      </c>
      <c r="AS303" s="19" t="str">
        <f>All_India_Index_Upto_April23__1[[#This Row],[MONTH IN NUM]]&amp;"/"&amp;All_India_Index_Upto_April23__1[[#This Row],[Year]]</f>
        <v>10/2014</v>
      </c>
      <c r="AT30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122.42142857142856</v>
      </c>
      <c r="AU30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1169.9559523809523</v>
      </c>
    </row>
    <row r="304" spans="1:47" x14ac:dyDescent="0.3">
      <c r="A304" t="s">
        <v>32</v>
      </c>
      <c r="B304">
        <v>2014</v>
      </c>
      <c r="C304" t="s">
        <v>42</v>
      </c>
      <c r="D304">
        <v>124.6</v>
      </c>
      <c r="E304">
        <v>126.1</v>
      </c>
      <c r="F304">
        <v>117.8</v>
      </c>
      <c r="G304">
        <v>123.1</v>
      </c>
      <c r="H304">
        <v>103.5</v>
      </c>
      <c r="I304">
        <v>123.5</v>
      </c>
      <c r="J304">
        <v>159.6</v>
      </c>
      <c r="K304">
        <v>117.4</v>
      </c>
      <c r="L304">
        <v>101.2</v>
      </c>
      <c r="M304">
        <v>123.8</v>
      </c>
      <c r="N304">
        <v>115.2</v>
      </c>
      <c r="O304">
        <v>125.9</v>
      </c>
      <c r="P304">
        <v>125.8</v>
      </c>
      <c r="Q304">
        <v>124.3</v>
      </c>
      <c r="R304">
        <v>119.6</v>
      </c>
      <c r="S304">
        <v>114.9</v>
      </c>
      <c r="T304">
        <v>118.9</v>
      </c>
      <c r="U304">
        <v>116.7</v>
      </c>
      <c r="V304">
        <v>112</v>
      </c>
      <c r="W304">
        <v>115.8</v>
      </c>
      <c r="X304">
        <v>112.6</v>
      </c>
      <c r="Y304">
        <v>111</v>
      </c>
      <c r="Z304">
        <v>113.6</v>
      </c>
      <c r="AA304">
        <v>120.2</v>
      </c>
      <c r="AB304">
        <v>110.1</v>
      </c>
      <c r="AC304">
        <v>113.7</v>
      </c>
      <c r="AD304">
        <v>119.1</v>
      </c>
      <c r="AE304">
        <v>122.27142857142857</v>
      </c>
      <c r="AF304">
        <v>117.8</v>
      </c>
      <c r="AG304">
        <v>116.25</v>
      </c>
      <c r="AH304" s="2">
        <f>All_India_Index_Upto_April23__1[[#This Row],[House]]/All_India_Index_Upto_April23__1[[#This Row],[TOTAL BROADER CATEGORIES]]</f>
        <v>0.10112904127804739</v>
      </c>
      <c r="AI304" s="2">
        <f>All_India_Index_Upto_April23__1[[#This Row],[Cloth]]/All_India_Index_Upto_April23__1[[#This Row],[TOTAL BROADER CATEGORIES]]</f>
        <v>0.10247742849508802</v>
      </c>
      <c r="AJ304" s="2">
        <f>All_India_Index_Upto_April23__1[[#This Row],[Food]]/All_India_Index_Upto_April23__1[[#This Row],[TOTAL BROADER CATEGORIES]]</f>
        <v>0.10636724599678128</v>
      </c>
      <c r="AK304" s="2">
        <f>All_India_Index_Upto_April23__1[[#This Row],[Miscellaneous]]/All_India_Index_Upto_April23__1[[#This Row],[TOTAL BROADER CATEGORIES]]</f>
        <v>9.891072682420636E-2</v>
      </c>
      <c r="AL304" s="2">
        <f>All_India_Index_Upto_April23__1[[#This Row],[Personal care and effects]]/All_India_Index_Upto_April23__1[[#This Row],[TOTAL BROADER CATEGORIES]]</f>
        <v>9.5778988771724888E-2</v>
      </c>
      <c r="AM304" s="2">
        <f>All_India_Index_Upto_April23__1[[#This Row],[Education]]/All_India_Index_Upto_April23__1[[#This Row],[TOTAL BROADER CATEGORIES]]</f>
        <v>0.10456525386340901</v>
      </c>
      <c r="AN304" s="2">
        <f>All_India_Index_Upto_April23__1[[#This Row],[Recreation and amusement]]/All_India_Index_Upto_April23__1[[#This Row],[TOTAL BROADER CATEGORIES]]</f>
        <v>9.8823734100526306E-2</v>
      </c>
      <c r="AO304" s="2">
        <f>All_India_Index_Upto_April23__1[[#This Row],[Transport and communication]]/All_India_Index_Upto_April23__1[[#This Row],[TOTAL BROADER CATEGORIES]]</f>
        <v>9.6561923284845252E-2</v>
      </c>
      <c r="AP304" s="2">
        <f>All_India_Index_Upto_April23__1[[#This Row],[Health]]/All_India_Index_Upto_April23__1[[#This Row],[TOTAL BROADER CATEGORIES]]</f>
        <v>9.7953806863725901E-2</v>
      </c>
      <c r="AQ304" s="2">
        <f>All_India_Index_Upto_April23__1[[#This Row],[Fuel and light]]/All_India_Index_Upto_April23__1[[#This Row],[TOTAL BROADER CATEGORIES]]</f>
        <v>9.7431850521645658E-2</v>
      </c>
      <c r="AR304">
        <f>MONTH(1 &amp; All_India_Index_Upto_April23__1[[#This Row],[Month]])</f>
        <v>10</v>
      </c>
      <c r="AS304" s="19" t="str">
        <f>All_India_Index_Upto_April23__1[[#This Row],[MONTH IN NUM]]&amp;"/"&amp;All_India_Index_Upto_April23__1[[#This Row],[Year]]</f>
        <v>10/2014</v>
      </c>
      <c r="AT30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116.87142857142858</v>
      </c>
      <c r="AU30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1149.5214285714285</v>
      </c>
    </row>
    <row r="305" spans="1:47" x14ac:dyDescent="0.3">
      <c r="A305" t="s">
        <v>32</v>
      </c>
      <c r="B305">
        <v>2014</v>
      </c>
      <c r="C305" t="s">
        <v>41</v>
      </c>
      <c r="D305">
        <v>124.2</v>
      </c>
      <c r="E305">
        <v>125.4</v>
      </c>
      <c r="F305">
        <v>116.4</v>
      </c>
      <c r="G305">
        <v>122.7</v>
      </c>
      <c r="H305">
        <v>103.5</v>
      </c>
      <c r="I305">
        <v>124.5</v>
      </c>
      <c r="J305">
        <v>168.6</v>
      </c>
      <c r="K305">
        <v>116.9</v>
      </c>
      <c r="L305">
        <v>101.9</v>
      </c>
      <c r="M305">
        <v>122.9</v>
      </c>
      <c r="N305">
        <v>114.8</v>
      </c>
      <c r="O305">
        <v>125.2</v>
      </c>
      <c r="P305">
        <v>126.7</v>
      </c>
      <c r="Q305">
        <v>124.3</v>
      </c>
      <c r="R305">
        <v>119.2</v>
      </c>
      <c r="S305">
        <v>114.5</v>
      </c>
      <c r="T305">
        <v>118.4</v>
      </c>
      <c r="U305">
        <v>116.1</v>
      </c>
      <c r="V305">
        <v>111.8</v>
      </c>
      <c r="W305">
        <v>115.5</v>
      </c>
      <c r="X305">
        <v>112.3</v>
      </c>
      <c r="Y305">
        <v>111.2</v>
      </c>
      <c r="Z305">
        <v>113.4</v>
      </c>
      <c r="AA305">
        <v>120</v>
      </c>
      <c r="AB305">
        <v>110</v>
      </c>
      <c r="AC305">
        <v>113.6</v>
      </c>
      <c r="AD305">
        <v>119.2</v>
      </c>
      <c r="AE305">
        <v>122.71428571428574</v>
      </c>
      <c r="AF305">
        <v>117.36666666666667</v>
      </c>
      <c r="AG305">
        <v>115.8</v>
      </c>
      <c r="AH305" s="2">
        <f>All_India_Index_Upto_April23__1[[#This Row],[House]]/All_India_Index_Upto_April23__1[[#This Row],[TOTAL BROADER CATEGORIES]]</f>
        <v>0.10085518293947361</v>
      </c>
      <c r="AI305" s="2">
        <f>All_India_Index_Upto_April23__1[[#This Row],[Cloth]]/All_India_Index_Upto_April23__1[[#This Row],[TOTAL BROADER CATEGORIES]]</f>
        <v>0.10221966008344462</v>
      </c>
      <c r="AJ305" s="2">
        <f>All_India_Index_Upto_April23__1[[#This Row],[Food]]/All_India_Index_Upto_April23__1[[#This Row],[TOTAL BROADER CATEGORIES]]</f>
        <v>0.10687713069949155</v>
      </c>
      <c r="AK305" s="2">
        <f>All_India_Index_Upto_April23__1[[#This Row],[Miscellaneous]]/All_India_Index_Upto_April23__1[[#This Row],[TOTAL BROADER CATEGORIES]]</f>
        <v>9.8939108652195171E-2</v>
      </c>
      <c r="AL305" s="2">
        <f>All_India_Index_Upto_April23__1[[#This Row],[Personal care and effects]]/All_India_Index_Upto_April23__1[[#This Row],[TOTAL BROADER CATEGORIES]]</f>
        <v>9.5803714363921391E-2</v>
      </c>
      <c r="AM305" s="2">
        <f>All_India_Index_Upto_April23__1[[#This Row],[Education]]/All_India_Index_Upto_April23__1[[#This Row],[TOTAL BROADER CATEGORIES]]</f>
        <v>0.1045131429424597</v>
      </c>
      <c r="AN305" s="2">
        <f>All_India_Index_Upto_April23__1[[#This Row],[Recreation and amusement]]/All_India_Index_Upto_April23__1[[#This Row],[TOTAL BROADER CATEGORIES]]</f>
        <v>9.8764920080624416E-2</v>
      </c>
      <c r="AO305" s="2">
        <f>All_India_Index_Upto_April23__1[[#This Row],[Transport and communication]]/All_India_Index_Upto_April23__1[[#This Row],[TOTAL BROADER CATEGORIES]]</f>
        <v>9.6848845793345989E-2</v>
      </c>
      <c r="AP305" s="2">
        <f>All_India_Index_Upto_April23__1[[#This Row],[Health]]/All_India_Index_Upto_April23__1[[#This Row],[TOTAL BROADER CATEGORIES]]</f>
        <v>9.7806882936985196E-2</v>
      </c>
      <c r="AQ305" s="2">
        <f>All_India_Index_Upto_April23__1[[#This Row],[Fuel and light]]/All_India_Index_Upto_April23__1[[#This Row],[TOTAL BROADER CATEGORIES]]</f>
        <v>9.7371411508058281E-2</v>
      </c>
      <c r="AR305">
        <f>MONTH(1 &amp; All_India_Index_Upto_April23__1[[#This Row],[Month]])</f>
        <v>9</v>
      </c>
      <c r="AS305" s="19" t="str">
        <f>All_India_Index_Upto_April23__1[[#This Row],[MONTH IN NUM]]&amp;"/"&amp;All_India_Index_Upto_April23__1[[#This Row],[Year]]</f>
        <v>9/2014</v>
      </c>
      <c r="AT30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116.5</v>
      </c>
      <c r="AU30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1148.1809523809525</v>
      </c>
    </row>
    <row r="306" spans="1:47" x14ac:dyDescent="0.3">
      <c r="A306" t="s">
        <v>33</v>
      </c>
      <c r="B306">
        <v>2014</v>
      </c>
      <c r="C306" t="s">
        <v>41</v>
      </c>
      <c r="D306">
        <v>122.9</v>
      </c>
      <c r="E306">
        <v>123.5</v>
      </c>
      <c r="F306">
        <v>117.3</v>
      </c>
      <c r="G306">
        <v>122.7</v>
      </c>
      <c r="H306">
        <v>107.9</v>
      </c>
      <c r="I306">
        <v>127.3</v>
      </c>
      <c r="J306">
        <v>162.1</v>
      </c>
      <c r="K306">
        <v>115.6</v>
      </c>
      <c r="L306">
        <v>103.8</v>
      </c>
      <c r="M306">
        <v>117.6</v>
      </c>
      <c r="N306">
        <v>115.8</v>
      </c>
      <c r="O306">
        <v>123.8</v>
      </c>
      <c r="P306">
        <v>125.8</v>
      </c>
      <c r="Q306">
        <v>120.8</v>
      </c>
      <c r="R306">
        <v>120.7</v>
      </c>
      <c r="S306">
        <v>117.2</v>
      </c>
      <c r="T306">
        <v>120.1</v>
      </c>
      <c r="U306">
        <v>116.1</v>
      </c>
      <c r="V306">
        <v>114.3</v>
      </c>
      <c r="W306">
        <v>116.1</v>
      </c>
      <c r="X306">
        <v>113.7</v>
      </c>
      <c r="Y306">
        <v>112</v>
      </c>
      <c r="Z306">
        <v>113.1</v>
      </c>
      <c r="AA306">
        <v>118.6</v>
      </c>
      <c r="AB306">
        <v>109.5</v>
      </c>
      <c r="AC306">
        <v>113.7</v>
      </c>
      <c r="AD306">
        <v>120.1</v>
      </c>
      <c r="AE306">
        <v>121.92142857142855</v>
      </c>
      <c r="AF306">
        <v>119.33333333333333</v>
      </c>
      <c r="AG306">
        <v>116.1</v>
      </c>
      <c r="AH306" s="2">
        <f>All_India_Index_Upto_April23__1[[#This Row],[House]]/All_India_Index_Upto_April23__1[[#This Row],[TOTAL BROADER CATEGORIES]]</f>
        <v>0.10075896740758802</v>
      </c>
      <c r="AI306" s="2">
        <f>All_India_Index_Upto_April23__1[[#This Row],[Cloth]]/All_India_Index_Upto_April23__1[[#This Row],[TOTAL BROADER CATEGORIES]]</f>
        <v>0.10356505981026848</v>
      </c>
      <c r="AJ306" s="2">
        <f>All_India_Index_Upto_April23__1[[#This Row],[Food]]/All_India_Index_Upto_April23__1[[#This Row],[TOTAL BROADER CATEGORIES]]</f>
        <v>0.10581117353759811</v>
      </c>
      <c r="AK306" s="2">
        <f>All_India_Index_Upto_April23__1[[#This Row],[Miscellaneous]]/All_India_Index_Upto_April23__1[[#This Row],[TOTAL BROADER CATEGORIES]]</f>
        <v>9.8676094696320063E-2</v>
      </c>
      <c r="AL306" s="2">
        <f>All_India_Index_Upto_April23__1[[#This Row],[Personal care and effects]]/All_India_Index_Upto_April23__1[[#This Row],[TOTAL BROADER CATEGORIES]]</f>
        <v>9.5031067451601114E-2</v>
      </c>
      <c r="AM306" s="2">
        <f>All_India_Index_Upto_April23__1[[#This Row],[Education]]/All_India_Index_Upto_April23__1[[#This Row],[TOTAL BROADER CATEGORIES]]</f>
        <v>0.10292862648182549</v>
      </c>
      <c r="AN306" s="2">
        <f>All_India_Index_Upto_April23__1[[#This Row],[Recreation and amusement]]/All_India_Index_Upto_April23__1[[#This Row],[TOTAL BROADER CATEGORIES]]</f>
        <v>9.8155376518503062E-2</v>
      </c>
      <c r="AO306" s="2">
        <f>All_India_Index_Upto_April23__1[[#This Row],[Transport and communication]]/All_India_Index_Upto_April23__1[[#This Row],[TOTAL BROADER CATEGORIES]]</f>
        <v>9.7200726525838582E-2</v>
      </c>
      <c r="AP306" s="2">
        <f>All_India_Index_Upto_April23__1[[#This Row],[Health]]/All_India_Index_Upto_April23__1[[#This Row],[TOTAL BROADER CATEGORIES]]</f>
        <v>9.8676094696320063E-2</v>
      </c>
      <c r="AQ306" s="2">
        <f>All_India_Index_Upto_April23__1[[#This Row],[Fuel and light]]/All_India_Index_Upto_April23__1[[#This Row],[TOTAL BROADER CATEGORIES]]</f>
        <v>9.919681287413705E-2</v>
      </c>
      <c r="AR306">
        <f>MONTH(1 &amp; All_India_Index_Upto_April23__1[[#This Row],[Month]])</f>
        <v>9</v>
      </c>
      <c r="AS306" s="19" t="str">
        <f>All_India_Index_Upto_April23__1[[#This Row],[MONTH IN NUM]]&amp;"/"&amp;All_India_Index_Upto_April23__1[[#This Row],[Year]]</f>
        <v>9/2014</v>
      </c>
      <c r="AT30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117.5857142857143</v>
      </c>
      <c r="AU30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1152.2547619047618</v>
      </c>
    </row>
    <row r="307" spans="1:47" x14ac:dyDescent="0.3">
      <c r="A307" t="s">
        <v>30</v>
      </c>
      <c r="B307">
        <v>2014</v>
      </c>
      <c r="C307" t="s">
        <v>41</v>
      </c>
      <c r="D307">
        <v>122.3</v>
      </c>
      <c r="E307">
        <v>122.4</v>
      </c>
      <c r="F307">
        <v>117.8</v>
      </c>
      <c r="G307">
        <v>122.7</v>
      </c>
      <c r="H307">
        <v>110.4</v>
      </c>
      <c r="I307">
        <v>129.80000000000001</v>
      </c>
      <c r="J307">
        <v>158.80000000000001</v>
      </c>
      <c r="K307">
        <v>115</v>
      </c>
      <c r="L307">
        <v>104.7</v>
      </c>
      <c r="M307">
        <v>114.9</v>
      </c>
      <c r="N307">
        <v>116.5</v>
      </c>
      <c r="O307">
        <v>122.6</v>
      </c>
      <c r="P307">
        <v>125.3</v>
      </c>
      <c r="Q307">
        <v>119.5</v>
      </c>
      <c r="R307">
        <v>121.7</v>
      </c>
      <c r="S307">
        <v>119.2</v>
      </c>
      <c r="T307">
        <v>121.3</v>
      </c>
      <c r="U307">
        <v>140.85</v>
      </c>
      <c r="V307">
        <v>115.8</v>
      </c>
      <c r="W307">
        <v>116.7</v>
      </c>
      <c r="X307">
        <v>114.5</v>
      </c>
      <c r="Y307">
        <v>112.8</v>
      </c>
      <c r="Z307">
        <v>112.6</v>
      </c>
      <c r="AA307">
        <v>116.6</v>
      </c>
      <c r="AB307">
        <v>109.1</v>
      </c>
      <c r="AC307">
        <v>113.7</v>
      </c>
      <c r="AD307">
        <v>120.9</v>
      </c>
      <c r="AE307">
        <v>121.62142857142858</v>
      </c>
      <c r="AF307">
        <v>120.73333333333333</v>
      </c>
      <c r="AG307">
        <v>128.77500000000001</v>
      </c>
      <c r="AH307" s="2">
        <f>All_India_Index_Upto_April23__1[[#This Row],[House]]/All_India_Index_Upto_April23__1[[#This Row],[TOTAL BROADER CATEGORIES]]</f>
        <v>0.11041992256283731</v>
      </c>
      <c r="AI307" s="2">
        <f>All_India_Index_Upto_April23__1[[#This Row],[Cloth]]/All_India_Index_Upto_April23__1[[#This Row],[TOTAL BROADER CATEGORIES]]</f>
        <v>0.10352448314828104</v>
      </c>
      <c r="AJ307" s="2">
        <f>All_India_Index_Upto_April23__1[[#This Row],[Food]]/All_India_Index_Upto_April23__1[[#This Row],[TOTAL BROADER CATEGORIES]]</f>
        <v>0.1042859928156769</v>
      </c>
      <c r="AK307" s="2">
        <f>All_India_Index_Upto_April23__1[[#This Row],[Miscellaneous]]/All_India_Index_Upto_April23__1[[#This Row],[TOTAL BROADER CATEGORIES]]</f>
        <v>9.7493653235446329E-2</v>
      </c>
      <c r="AL307" s="2">
        <f>All_India_Index_Upto_April23__1[[#This Row],[Personal care and effects]]/All_India_Index_Upto_April23__1[[#This Row],[TOTAL BROADER CATEGORIES]]</f>
        <v>9.3549318979658694E-2</v>
      </c>
      <c r="AM307" s="2">
        <f>All_India_Index_Upto_April23__1[[#This Row],[Education]]/All_India_Index_Upto_April23__1[[#This Row],[TOTAL BROADER CATEGORIES]]</f>
        <v>9.9980298744529822E-2</v>
      </c>
      <c r="AN307" s="2">
        <f>All_India_Index_Upto_April23__1[[#This Row],[Recreation and amusement]]/All_India_Index_Upto_April23__1[[#This Row],[TOTAL BROADER CATEGORIES]]</f>
        <v>9.6550442869931891E-2</v>
      </c>
      <c r="AO307" s="2">
        <f>All_India_Index_Upto_April23__1[[#This Row],[Transport and communication]]/All_India_Index_Upto_April23__1[[#This Row],[TOTAL BROADER CATEGORIES]]</f>
        <v>9.6721935663661787E-2</v>
      </c>
      <c r="AP307" s="2">
        <f>All_India_Index_Upto_April23__1[[#This Row],[Health]]/All_India_Index_Upto_April23__1[[#This Row],[TOTAL BROADER CATEGORIES]]</f>
        <v>9.8179624410365915E-2</v>
      </c>
      <c r="AQ307" s="2">
        <f>All_India_Index_Upto_April23__1[[#This Row],[Fuel and light]]/All_India_Index_Upto_April23__1[[#This Row],[TOTAL BROADER CATEGORIES]]</f>
        <v>9.929432756961025E-2</v>
      </c>
      <c r="AR307">
        <f>MONTH(1 &amp; All_India_Index_Upto_April23__1[[#This Row],[Month]])</f>
        <v>9</v>
      </c>
      <c r="AS307" s="19" t="str">
        <f>All_India_Index_Upto_April23__1[[#This Row],[MONTH IN NUM]]&amp;"/"&amp;All_India_Index_Upto_April23__1[[#This Row],[Year]]</f>
        <v>9/2014</v>
      </c>
      <c r="AT30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121.73571428571429</v>
      </c>
      <c r="AU30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1166.229761904762</v>
      </c>
    </row>
    <row r="308" spans="1:47" x14ac:dyDescent="0.3">
      <c r="A308" t="s">
        <v>30</v>
      </c>
      <c r="B308">
        <v>2014</v>
      </c>
      <c r="C308" t="s">
        <v>40</v>
      </c>
      <c r="D308">
        <v>121.8</v>
      </c>
      <c r="E308">
        <v>122.8</v>
      </c>
      <c r="F308">
        <v>117.8</v>
      </c>
      <c r="G308">
        <v>121.9</v>
      </c>
      <c r="H308">
        <v>110.6</v>
      </c>
      <c r="I308">
        <v>129.69999999999999</v>
      </c>
      <c r="J308">
        <v>161.1</v>
      </c>
      <c r="K308">
        <v>114.1</v>
      </c>
      <c r="L308">
        <v>105.1</v>
      </c>
      <c r="M308">
        <v>114.6</v>
      </c>
      <c r="N308">
        <v>115.8</v>
      </c>
      <c r="O308">
        <v>121.7</v>
      </c>
      <c r="P308">
        <v>125.3</v>
      </c>
      <c r="Q308">
        <v>118.8</v>
      </c>
      <c r="R308">
        <v>120.9</v>
      </c>
      <c r="S308">
        <v>118.8</v>
      </c>
      <c r="T308">
        <v>120.7</v>
      </c>
      <c r="U308">
        <v>140.85</v>
      </c>
      <c r="V308">
        <v>115.4</v>
      </c>
      <c r="W308">
        <v>115.9</v>
      </c>
      <c r="X308">
        <v>114</v>
      </c>
      <c r="Y308">
        <v>113.2</v>
      </c>
      <c r="Z308">
        <v>112.2</v>
      </c>
      <c r="AA308">
        <v>116.2</v>
      </c>
      <c r="AB308">
        <v>109.4</v>
      </c>
      <c r="AC308">
        <v>113.5</v>
      </c>
      <c r="AD308">
        <v>120.7</v>
      </c>
      <c r="AE308">
        <v>121.50714285714284</v>
      </c>
      <c r="AF308">
        <v>120.13333333333333</v>
      </c>
      <c r="AG308">
        <v>128.375</v>
      </c>
      <c r="AH308" s="2">
        <f>All_India_Index_Upto_April23__1[[#This Row],[House]]/All_India_Index_Upto_April23__1[[#This Row],[TOTAL BROADER CATEGORIES]]</f>
        <v>0.11029580981273183</v>
      </c>
      <c r="AI308" s="2">
        <f>All_India_Index_Upto_April23__1[[#This Row],[Cloth]]/All_India_Index_Upto_April23__1[[#This Row],[TOTAL BROADER CATEGORIES]]</f>
        <v>0.10321482598249541</v>
      </c>
      <c r="AJ308" s="2">
        <f>All_India_Index_Upto_April23__1[[#This Row],[Food]]/All_India_Index_Upto_April23__1[[#This Row],[TOTAL BROADER CATEGORIES]]</f>
        <v>0.10439516042422484</v>
      </c>
      <c r="AK308" s="2">
        <f>All_India_Index_Upto_April23__1[[#This Row],[Miscellaneous]]/All_India_Index_Upto_April23__1[[#This Row],[TOTAL BROADER CATEGORIES]]</f>
        <v>9.7515672161597372E-2</v>
      </c>
      <c r="AL308" s="2">
        <f>All_India_Index_Upto_April23__1[[#This Row],[Personal care and effects]]/All_India_Index_Upto_April23__1[[#This Row],[TOTAL BROADER CATEGORIES]]</f>
        <v>9.3993079598931745E-2</v>
      </c>
      <c r="AM308" s="2">
        <f>All_India_Index_Upto_April23__1[[#This Row],[Education]]/All_India_Index_Upto_April23__1[[#This Row],[TOTAL BROADER CATEGORIES]]</f>
        <v>9.9835428239450352E-2</v>
      </c>
      <c r="AN308" s="2">
        <f>All_India_Index_Upto_April23__1[[#This Row],[Recreation and amusement]]/All_India_Index_Upto_April23__1[[#This Row],[TOTAL BROADER CATEGORIES]]</f>
        <v>9.6398752568557053E-2</v>
      </c>
      <c r="AO308" s="2">
        <f>All_India_Index_Upto_April23__1[[#This Row],[Transport and communication]]/All_India_Index_Upto_April23__1[[#This Row],[TOTAL BROADER CATEGORIES]]</f>
        <v>9.7257921486280374E-2</v>
      </c>
      <c r="AP308" s="2">
        <f>All_India_Index_Upto_April23__1[[#This Row],[Health]]/All_India_Index_Upto_April23__1[[#This Row],[TOTAL BROADER CATEGORIES]]</f>
        <v>9.794525662045904E-2</v>
      </c>
      <c r="AQ308" s="2">
        <f>All_India_Index_Upto_April23__1[[#This Row],[Fuel and light]]/All_India_Index_Upto_April23__1[[#This Row],[TOTAL BROADER CATEGORIES]]</f>
        <v>9.9148093105271701E-2</v>
      </c>
      <c r="AR308">
        <f>MONTH(1 &amp; All_India_Index_Upto_April23__1[[#This Row],[Month]])</f>
        <v>8</v>
      </c>
      <c r="AS308" s="19" t="str">
        <f>All_India_Index_Upto_April23__1[[#This Row],[MONTH IN NUM]]&amp;"/"&amp;All_India_Index_Upto_April23__1[[#This Row],[Year]]</f>
        <v>8/2014</v>
      </c>
      <c r="AT30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121.25</v>
      </c>
      <c r="AU30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1163.9154761904765</v>
      </c>
    </row>
    <row r="309" spans="1:47" x14ac:dyDescent="0.3">
      <c r="A309" t="s">
        <v>32</v>
      </c>
      <c r="B309">
        <v>2014</v>
      </c>
      <c r="C309" t="s">
        <v>40</v>
      </c>
      <c r="D309">
        <v>124.8</v>
      </c>
      <c r="E309">
        <v>127.3</v>
      </c>
      <c r="F309">
        <v>116.5</v>
      </c>
      <c r="G309">
        <v>122.2</v>
      </c>
      <c r="H309">
        <v>103.6</v>
      </c>
      <c r="I309">
        <v>132.69999999999999</v>
      </c>
      <c r="J309">
        <v>181.9</v>
      </c>
      <c r="K309">
        <v>115.2</v>
      </c>
      <c r="L309">
        <v>102.7</v>
      </c>
      <c r="M309">
        <v>122.1</v>
      </c>
      <c r="N309">
        <v>114.4</v>
      </c>
      <c r="O309">
        <v>124.7</v>
      </c>
      <c r="P309">
        <v>128.9</v>
      </c>
      <c r="Q309">
        <v>123</v>
      </c>
      <c r="R309">
        <v>118.6</v>
      </c>
      <c r="S309">
        <v>114.1</v>
      </c>
      <c r="T309">
        <v>117.9</v>
      </c>
      <c r="U309">
        <v>115.5</v>
      </c>
      <c r="V309">
        <v>111.8</v>
      </c>
      <c r="W309">
        <v>115.3</v>
      </c>
      <c r="X309">
        <v>112.2</v>
      </c>
      <c r="Y309">
        <v>112.5</v>
      </c>
      <c r="Z309">
        <v>112.9</v>
      </c>
      <c r="AA309">
        <v>119.2</v>
      </c>
      <c r="AB309">
        <v>110.5</v>
      </c>
      <c r="AC309">
        <v>113.9</v>
      </c>
      <c r="AD309">
        <v>119.9</v>
      </c>
      <c r="AE309">
        <v>124.28571428571429</v>
      </c>
      <c r="AF309">
        <v>116.86666666666667</v>
      </c>
      <c r="AG309">
        <v>115.4</v>
      </c>
      <c r="AH309" s="2">
        <f>All_India_Index_Upto_April23__1[[#This Row],[House]]/All_India_Index_Upto_April23__1[[#This Row],[TOTAL BROADER CATEGORIES]]</f>
        <v>0.10038690007704863</v>
      </c>
      <c r="AI309" s="2">
        <f>All_India_Index_Upto_April23__1[[#This Row],[Cloth]]/All_India_Index_Upto_April23__1[[#This Row],[TOTAL BROADER CATEGORIES]]</f>
        <v>0.10166275900350448</v>
      </c>
      <c r="AJ309" s="2">
        <f>All_India_Index_Upto_April23__1[[#This Row],[Food]]/All_India_Index_Upto_April23__1[[#This Row],[TOTAL BROADER CATEGORIES]]</f>
        <v>0.10811661681979737</v>
      </c>
      <c r="AK309" s="2">
        <f>All_India_Index_Upto_April23__1[[#This Row],[Miscellaneous]]/All_India_Index_Upto_April23__1[[#This Row],[TOTAL BROADER CATEGORIES]]</f>
        <v>9.9082044356809701E-2</v>
      </c>
      <c r="AL309" s="2">
        <f>All_India_Index_Upto_April23__1[[#This Row],[Personal care and effects]]/All_India_Index_Upto_April23__1[[#This Row],[TOTAL BROADER CATEGORIES]]</f>
        <v>9.6124371390934785E-2</v>
      </c>
      <c r="AM309" s="2">
        <f>All_India_Index_Upto_April23__1[[#This Row],[Education]]/All_India_Index_Upto_April23__1[[#This Row],[TOTAL BROADER CATEGORIES]]</f>
        <v>0.1036925345683206</v>
      </c>
      <c r="AN309" s="2">
        <f>All_India_Index_Upto_April23__1[[#This Row],[Recreation and amusement]]/All_India_Index_Upto_April23__1[[#This Row],[TOTAL BROADER CATEGORIES]]</f>
        <v>9.8212140543317075E-2</v>
      </c>
      <c r="AO309" s="2">
        <f>All_India_Index_Upto_April23__1[[#This Row],[Transport and communication]]/All_India_Index_Upto_April23__1[[#This Row],[TOTAL BROADER CATEGORIES]]</f>
        <v>9.7864179017920022E-2</v>
      </c>
      <c r="AP309" s="2">
        <f>All_India_Index_Upto_April23__1[[#This Row],[Health]]/All_India_Index_Upto_April23__1[[#This Row],[TOTAL BROADER CATEGORIES]]</f>
        <v>9.7603207873872236E-2</v>
      </c>
      <c r="AQ309" s="2">
        <f>All_India_Index_Upto_April23__1[[#This Row],[Fuel and light]]/All_India_Index_Upto_April23__1[[#This Row],[TOTAL BROADER CATEGORIES]]</f>
        <v>9.7255246348475183E-2</v>
      </c>
      <c r="AR309">
        <f>MONTH(1 &amp; All_India_Index_Upto_April23__1[[#This Row],[Month]])</f>
        <v>8</v>
      </c>
      <c r="AS309" s="19" t="str">
        <f>All_India_Index_Upto_April23__1[[#This Row],[MONTH IN NUM]]&amp;"/"&amp;All_India_Index_Upto_April23__1[[#This Row],[Year]]</f>
        <v>8/2014</v>
      </c>
      <c r="AT30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116.05714285714286</v>
      </c>
      <c r="AU30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1149.5523809523809</v>
      </c>
    </row>
    <row r="310" spans="1:47" x14ac:dyDescent="0.3">
      <c r="A310" t="s">
        <v>33</v>
      </c>
      <c r="B310">
        <v>2014</v>
      </c>
      <c r="C310" t="s">
        <v>40</v>
      </c>
      <c r="D310">
        <v>122.7</v>
      </c>
      <c r="E310">
        <v>124.4</v>
      </c>
      <c r="F310">
        <v>117.3</v>
      </c>
      <c r="G310">
        <v>122</v>
      </c>
      <c r="H310">
        <v>108</v>
      </c>
      <c r="I310">
        <v>131.1</v>
      </c>
      <c r="J310">
        <v>168.2</v>
      </c>
      <c r="K310">
        <v>114.5</v>
      </c>
      <c r="L310">
        <v>104.3</v>
      </c>
      <c r="M310">
        <v>117.1</v>
      </c>
      <c r="N310">
        <v>115.2</v>
      </c>
      <c r="O310">
        <v>123.1</v>
      </c>
      <c r="P310">
        <v>126.6</v>
      </c>
      <c r="Q310">
        <v>119.9</v>
      </c>
      <c r="R310">
        <v>120</v>
      </c>
      <c r="S310">
        <v>116.8</v>
      </c>
      <c r="T310">
        <v>119.6</v>
      </c>
      <c r="U310">
        <v>115.5</v>
      </c>
      <c r="V310">
        <v>114</v>
      </c>
      <c r="W310">
        <v>115.6</v>
      </c>
      <c r="X310">
        <v>113.3</v>
      </c>
      <c r="Y310">
        <v>112.8</v>
      </c>
      <c r="Z310">
        <v>112.6</v>
      </c>
      <c r="AA310">
        <v>118</v>
      </c>
      <c r="AB310">
        <v>109.9</v>
      </c>
      <c r="AC310">
        <v>113.7</v>
      </c>
      <c r="AD310">
        <v>120.3</v>
      </c>
      <c r="AE310">
        <v>122.45714285714284</v>
      </c>
      <c r="AF310">
        <v>118.8</v>
      </c>
      <c r="AG310">
        <v>115.55</v>
      </c>
      <c r="AH310" s="2">
        <f>All_India_Index_Upto_April23__1[[#This Row],[House]]/All_India_Index_Upto_April23__1[[#This Row],[TOTAL BROADER CATEGORIES]]</f>
        <v>0.10038162017933046</v>
      </c>
      <c r="AI310" s="2">
        <f>All_India_Index_Upto_April23__1[[#This Row],[Cloth]]/All_India_Index_Upto_April23__1[[#This Row],[TOTAL BROADER CATEGORIES]]</f>
        <v>0.10320498898575904</v>
      </c>
      <c r="AJ310" s="2">
        <f>All_India_Index_Upto_April23__1[[#This Row],[Food]]/All_India_Index_Upto_April23__1[[#This Row],[TOTAL BROADER CATEGORIES]]</f>
        <v>0.10638205454376221</v>
      </c>
      <c r="AK310" s="2">
        <f>All_India_Index_Upto_April23__1[[#This Row],[Miscellaneous]]/All_India_Index_Upto_April23__1[[#This Row],[TOTAL BROADER CATEGORIES]]</f>
        <v>9.8774471781824955E-2</v>
      </c>
      <c r="AL310" s="2">
        <f>All_India_Index_Upto_April23__1[[#This Row],[Personal care and effects]]/All_India_Index_Upto_April23__1[[#This Row],[TOTAL BROADER CATEGORIES]]</f>
        <v>9.5473302100462287E-2</v>
      </c>
      <c r="AM310" s="2">
        <f>All_India_Index_Upto_April23__1[[#This Row],[Education]]/All_India_Index_Upto_April23__1[[#This Row],[TOTAL BROADER CATEGORIES]]</f>
        <v>0.10251000589494585</v>
      </c>
      <c r="AN310" s="2">
        <f>All_India_Index_Upto_April23__1[[#This Row],[Recreation and amusement]]/All_India_Index_Upto_April23__1[[#This Row],[TOTAL BROADER CATEGORIES]]</f>
        <v>9.7818870031956801E-2</v>
      </c>
      <c r="AO310" s="2">
        <f>All_India_Index_Upto_April23__1[[#This Row],[Transport and communication]]/All_India_Index_Upto_April23__1[[#This Row],[TOTAL BROADER CATEGORIES]]</f>
        <v>9.7992615804660108E-2</v>
      </c>
      <c r="AP310" s="2">
        <f>All_India_Index_Upto_April23__1[[#This Row],[Health]]/All_India_Index_Upto_April23__1[[#This Row],[TOTAL BROADER CATEGORIES]]</f>
        <v>9.8426980236418354E-2</v>
      </c>
      <c r="AQ310" s="2">
        <f>All_India_Index_Upto_April23__1[[#This Row],[Fuel and light]]/All_India_Index_Upto_April23__1[[#This Row],[TOTAL BROADER CATEGORIES]]</f>
        <v>9.9035090440879894E-2</v>
      </c>
      <c r="AR310">
        <f>MONTH(1 &amp; All_India_Index_Upto_April23__1[[#This Row],[Month]])</f>
        <v>8</v>
      </c>
      <c r="AS310" s="19" t="str">
        <f>All_India_Index_Upto_April23__1[[#This Row],[MONTH IN NUM]]&amp;"/"&amp;All_India_Index_Upto_April23__1[[#This Row],[Year]]</f>
        <v>8/2014</v>
      </c>
      <c r="AT31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117.07142857142857</v>
      </c>
      <c r="AU31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1151.1071428571429</v>
      </c>
    </row>
    <row r="311" spans="1:47" x14ac:dyDescent="0.3">
      <c r="A311" t="s">
        <v>33</v>
      </c>
      <c r="B311">
        <v>2014</v>
      </c>
      <c r="C311" t="s">
        <v>39</v>
      </c>
      <c r="D311">
        <v>122.4</v>
      </c>
      <c r="E311">
        <v>123.9</v>
      </c>
      <c r="F311">
        <v>117.8</v>
      </c>
      <c r="G311">
        <v>121</v>
      </c>
      <c r="H311">
        <v>107.9</v>
      </c>
      <c r="I311">
        <v>131.19999999999999</v>
      </c>
      <c r="J311">
        <v>157.69999999999999</v>
      </c>
      <c r="K311">
        <v>113.2</v>
      </c>
      <c r="L311">
        <v>104.1</v>
      </c>
      <c r="M311">
        <v>115.5</v>
      </c>
      <c r="N311">
        <v>114.8</v>
      </c>
      <c r="O311">
        <v>122.1</v>
      </c>
      <c r="P311">
        <v>124.7</v>
      </c>
      <c r="Q311">
        <v>118.8</v>
      </c>
      <c r="R311">
        <v>119.6</v>
      </c>
      <c r="S311">
        <v>116.3</v>
      </c>
      <c r="T311">
        <v>119.1</v>
      </c>
      <c r="U311">
        <v>114.8</v>
      </c>
      <c r="V311">
        <v>113.9</v>
      </c>
      <c r="W311">
        <v>115.2</v>
      </c>
      <c r="X311">
        <v>112.7</v>
      </c>
      <c r="Y311">
        <v>113.1</v>
      </c>
      <c r="Z311">
        <v>112.1</v>
      </c>
      <c r="AA311">
        <v>116.8</v>
      </c>
      <c r="AB311">
        <v>109.2</v>
      </c>
      <c r="AC311">
        <v>113.3</v>
      </c>
      <c r="AD311">
        <v>119.2</v>
      </c>
      <c r="AE311">
        <v>121.07857142857142</v>
      </c>
      <c r="AF311">
        <v>118.33333333333333</v>
      </c>
      <c r="AG311">
        <v>115</v>
      </c>
      <c r="AH311" s="2">
        <f>All_India_Index_Upto_April23__1[[#This Row],[House]]/All_India_Index_Upto_April23__1[[#This Row],[TOTAL BROADER CATEGORIES]]</f>
        <v>0.10039179821872109</v>
      </c>
      <c r="AI311" s="2">
        <f>All_India_Index_Upto_April23__1[[#This Row],[Cloth]]/All_India_Index_Upto_April23__1[[#This Row],[TOTAL BROADER CATEGORIES]]</f>
        <v>0.10330170541346663</v>
      </c>
      <c r="AJ311" s="2">
        <f>All_India_Index_Upto_April23__1[[#This Row],[Food]]/All_India_Index_Upto_April23__1[[#This Row],[TOTAL BROADER CATEGORIES]]</f>
        <v>0.10569822183885348</v>
      </c>
      <c r="AK311" s="2">
        <f>All_India_Index_Upto_April23__1[[#This Row],[Miscellaneous]]/All_India_Index_Upto_April23__1[[#This Row],[TOTAL BROADER CATEGORIES]]</f>
        <v>9.8907745549400863E-2</v>
      </c>
      <c r="AL311" s="2">
        <f>All_India_Index_Upto_April23__1[[#This Row],[Personal care and effects]]/All_India_Index_Upto_April23__1[[#This Row],[TOTAL BROADER CATEGORIES]]</f>
        <v>9.5328559699863855E-2</v>
      </c>
      <c r="AM311" s="2">
        <f>All_India_Index_Upto_April23__1[[#This Row],[Education]]/All_India_Index_Upto_April23__1[[#This Row],[TOTAL BROADER CATEGORIES]]</f>
        <v>0.10196314810388368</v>
      </c>
      <c r="AN311" s="2">
        <f>All_India_Index_Upto_April23__1[[#This Row],[Recreation and amusement]]/All_India_Index_Upto_April23__1[[#This Row],[TOTAL BROADER CATEGORIES]]</f>
        <v>9.7860178959292471E-2</v>
      </c>
      <c r="AO311" s="2">
        <f>All_India_Index_Upto_April23__1[[#This Row],[Transport and communication]]/All_India_Index_Upto_April23__1[[#This Row],[TOTAL BROADER CATEGORIES]]</f>
        <v>9.8733151117716134E-2</v>
      </c>
      <c r="AP311" s="2">
        <f>All_India_Index_Upto_April23__1[[#This Row],[Health]]/All_India_Index_Upto_April23__1[[#This Row],[TOTAL BROADER CATEGORIES]]</f>
        <v>9.8383962254346674E-2</v>
      </c>
      <c r="AQ311" s="2">
        <f>All_India_Index_Upto_April23__1[[#This Row],[Fuel and light]]/All_India_Index_Upto_April23__1[[#This Row],[TOTAL BROADER CATEGORIES]]</f>
        <v>9.9431528844455067E-2</v>
      </c>
      <c r="AR311">
        <f>MONTH(1 &amp; All_India_Index_Upto_April23__1[[#This Row],[Month]])</f>
        <v>7</v>
      </c>
      <c r="AS311" s="19" t="str">
        <f>All_India_Index_Upto_April23__1[[#This Row],[MONTH IN NUM]]&amp;"/"&amp;All_India_Index_Upto_April23__1[[#This Row],[Year]]</f>
        <v>7/2014</v>
      </c>
      <c r="AT31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116.52857142857142</v>
      </c>
      <c r="AU31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1145.5119047619048</v>
      </c>
    </row>
    <row r="312" spans="1:47" x14ac:dyDescent="0.3">
      <c r="A312" t="s">
        <v>30</v>
      </c>
      <c r="B312">
        <v>2014</v>
      </c>
      <c r="C312" t="s">
        <v>39</v>
      </c>
      <c r="D312">
        <v>121.7</v>
      </c>
      <c r="E312">
        <v>122.5</v>
      </c>
      <c r="F312">
        <v>117.7</v>
      </c>
      <c r="G312">
        <v>120.6</v>
      </c>
      <c r="H312">
        <v>110.4</v>
      </c>
      <c r="I312">
        <v>129.1</v>
      </c>
      <c r="J312">
        <v>150.1</v>
      </c>
      <c r="K312">
        <v>113.2</v>
      </c>
      <c r="L312">
        <v>104.8</v>
      </c>
      <c r="M312">
        <v>113.3</v>
      </c>
      <c r="N312">
        <v>115.6</v>
      </c>
      <c r="O312">
        <v>120.9</v>
      </c>
      <c r="P312">
        <v>123.3</v>
      </c>
      <c r="Q312">
        <v>118</v>
      </c>
      <c r="R312">
        <v>120.7</v>
      </c>
      <c r="S312">
        <v>118.3</v>
      </c>
      <c r="T312">
        <v>120.3</v>
      </c>
      <c r="U312">
        <v>140.85</v>
      </c>
      <c r="V312">
        <v>115.3</v>
      </c>
      <c r="W312">
        <v>115.4</v>
      </c>
      <c r="X312">
        <v>113.4</v>
      </c>
      <c r="Y312">
        <v>113.2</v>
      </c>
      <c r="Z312">
        <v>111.8</v>
      </c>
      <c r="AA312">
        <v>115.5</v>
      </c>
      <c r="AB312">
        <v>108.8</v>
      </c>
      <c r="AC312">
        <v>113.1</v>
      </c>
      <c r="AD312">
        <v>119.5</v>
      </c>
      <c r="AE312">
        <v>120.08571428571429</v>
      </c>
      <c r="AF312">
        <v>119.76666666666667</v>
      </c>
      <c r="AG312">
        <v>128.125</v>
      </c>
      <c r="AH312" s="2">
        <f>All_India_Index_Upto_April23__1[[#This Row],[House]]/All_India_Index_Upto_April23__1[[#This Row],[TOTAL BROADER CATEGORIES]]</f>
        <v>0.11054050584157145</v>
      </c>
      <c r="AI312" s="2">
        <f>All_India_Index_Upto_April23__1[[#This Row],[Cloth]]/All_India_Index_Upto_April23__1[[#This Row],[TOTAL BROADER CATEGORIES]]</f>
        <v>0.10332931056618308</v>
      </c>
      <c r="AJ312" s="2">
        <f>All_India_Index_Upto_April23__1[[#This Row],[Food]]/All_India_Index_Upto_April23__1[[#This Row],[TOTAL BROADER CATEGORIES]]</f>
        <v>0.10360457054820901</v>
      </c>
      <c r="AK312" s="2">
        <f>All_India_Index_Upto_April23__1[[#This Row],[Miscellaneous]]/All_India_Index_Upto_April23__1[[#This Row],[TOTAL BROADER CATEGORIES]]</f>
        <v>9.7577609449223252E-2</v>
      </c>
      <c r="AL312" s="2">
        <f>All_India_Index_Upto_April23__1[[#This Row],[Personal care and effects]]/All_India_Index_Upto_April23__1[[#This Row],[TOTAL BROADER CATEGORIES]]</f>
        <v>9.386776222878418E-2</v>
      </c>
      <c r="AM312" s="2">
        <f>All_India_Index_Upto_April23__1[[#This Row],[Education]]/All_India_Index_Upto_April23__1[[#This Row],[TOTAL BROADER CATEGORIES]]</f>
        <v>9.9648221851328794E-2</v>
      </c>
      <c r="AN312" s="2">
        <f>All_India_Index_Upto_April23__1[[#This Row],[Recreation and amusement]]/All_India_Index_Upto_April23__1[[#This Row],[TOTAL BROADER CATEGORIES]]</f>
        <v>9.6456027731416094E-2</v>
      </c>
      <c r="AO312" s="2">
        <f>All_India_Index_Upto_April23__1[[#This Row],[Transport and communication]]/All_India_Index_Upto_April23__1[[#This Row],[TOTAL BROADER CATEGORIES]]</f>
        <v>9.7663884965977665E-2</v>
      </c>
      <c r="AP312" s="2">
        <f>All_India_Index_Upto_April23__1[[#This Row],[Health]]/All_India_Index_Upto_April23__1[[#This Row],[TOTAL BROADER CATEGORIES]]</f>
        <v>9.7836435999486465E-2</v>
      </c>
      <c r="AQ312" s="2">
        <f>All_India_Index_Upto_April23__1[[#This Row],[Fuel and light]]/All_India_Index_Upto_April23__1[[#This Row],[TOTAL BROADER CATEGORIES]]</f>
        <v>9.9475670817819994E-2</v>
      </c>
      <c r="AR312">
        <f>MONTH(1 &amp; All_India_Index_Upto_April23__1[[#This Row],[Month]])</f>
        <v>7</v>
      </c>
      <c r="AS312" s="19" t="str">
        <f>All_India_Index_Upto_April23__1[[#This Row],[MONTH IN NUM]]&amp;"/"&amp;All_India_Index_Upto_April23__1[[#This Row],[Year]]</f>
        <v>7/2014</v>
      </c>
      <c r="AT31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120.90714285714284</v>
      </c>
      <c r="AU31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1159.077380952381</v>
      </c>
    </row>
    <row r="313" spans="1:47" x14ac:dyDescent="0.3">
      <c r="A313" t="s">
        <v>32</v>
      </c>
      <c r="B313">
        <v>2014</v>
      </c>
      <c r="C313" t="s">
        <v>39</v>
      </c>
      <c r="D313">
        <v>123.8</v>
      </c>
      <c r="E313">
        <v>126.4</v>
      </c>
      <c r="F313">
        <v>118</v>
      </c>
      <c r="G313">
        <v>121.6</v>
      </c>
      <c r="H313">
        <v>103.5</v>
      </c>
      <c r="I313">
        <v>133.69999999999999</v>
      </c>
      <c r="J313">
        <v>172.4</v>
      </c>
      <c r="K313">
        <v>113.1</v>
      </c>
      <c r="L313">
        <v>102.7</v>
      </c>
      <c r="M313">
        <v>120</v>
      </c>
      <c r="N313">
        <v>113.8</v>
      </c>
      <c r="O313">
        <v>123.4</v>
      </c>
      <c r="P313">
        <v>127.1</v>
      </c>
      <c r="Q313">
        <v>121</v>
      </c>
      <c r="R313">
        <v>118</v>
      </c>
      <c r="S313">
        <v>113.6</v>
      </c>
      <c r="T313">
        <v>117.4</v>
      </c>
      <c r="U313">
        <v>114.8</v>
      </c>
      <c r="V313">
        <v>111.6</v>
      </c>
      <c r="W313">
        <v>114.9</v>
      </c>
      <c r="X313">
        <v>111.5</v>
      </c>
      <c r="Y313">
        <v>113</v>
      </c>
      <c r="Z313">
        <v>112.4</v>
      </c>
      <c r="AA313">
        <v>117.8</v>
      </c>
      <c r="AB313">
        <v>109.7</v>
      </c>
      <c r="AC313">
        <v>113.5</v>
      </c>
      <c r="AD313">
        <v>118.9</v>
      </c>
      <c r="AE313">
        <v>122.89285714285714</v>
      </c>
      <c r="AF313">
        <v>116.33333333333333</v>
      </c>
      <c r="AG313">
        <v>114.85</v>
      </c>
      <c r="AH313" s="2">
        <f>All_India_Index_Upto_April23__1[[#This Row],[House]]/All_India_Index_Upto_April23__1[[#This Row],[TOTAL BROADER CATEGORIES]]</f>
        <v>0.10043056243779956</v>
      </c>
      <c r="AI313" s="2">
        <f>All_India_Index_Upto_April23__1[[#This Row],[Cloth]]/All_India_Index_Upto_April23__1[[#This Row],[TOTAL BROADER CATEGORIES]]</f>
        <v>0.10172766301202162</v>
      </c>
      <c r="AJ313" s="2">
        <f>All_India_Index_Upto_April23__1[[#This Row],[Food]]/All_India_Index_Upto_April23__1[[#This Row],[TOTAL BROADER CATEGORIES]]</f>
        <v>0.10746363746143053</v>
      </c>
      <c r="AK313" s="2">
        <f>All_India_Index_Upto_April23__1[[#This Row],[Miscellaneous]]/All_India_Index_Upto_April23__1[[#This Row],[TOTAL BROADER CATEGORIES]]</f>
        <v>9.9250055173619942E-2</v>
      </c>
      <c r="AL313" s="2">
        <f>All_India_Index_Upto_April23__1[[#This Row],[Personal care and effects]]/All_India_Index_Upto_April23__1[[#This Row],[TOTAL BROADER CATEGORIES]]</f>
        <v>9.5927145837410646E-2</v>
      </c>
      <c r="AM313" s="2">
        <f>All_India_Index_Upto_April23__1[[#This Row],[Education]]/All_India_Index_Upto_April23__1[[#This Row],[TOTAL BROADER CATEGORIES]]</f>
        <v>0.10301018942248837</v>
      </c>
      <c r="AN313" s="2">
        <f>All_India_Index_Upto_April23__1[[#This Row],[Recreation and amusement]]/All_India_Index_Upto_April23__1[[#This Row],[TOTAL BROADER CATEGORIES]]</f>
        <v>9.8288160365769886E-2</v>
      </c>
      <c r="AO313" s="2">
        <f>All_India_Index_Upto_April23__1[[#This Row],[Transport and communication]]/All_India_Index_Upto_April23__1[[#This Row],[TOTAL BROADER CATEGORIES]]</f>
        <v>9.8812830260960827E-2</v>
      </c>
      <c r="AP313" s="2">
        <f>All_India_Index_Upto_April23__1[[#This Row],[Health]]/All_India_Index_Upto_April23__1[[#This Row],[TOTAL BROADER CATEGORIES]]</f>
        <v>9.7501155522983468E-2</v>
      </c>
      <c r="AQ313" s="2">
        <f>All_India_Index_Upto_April23__1[[#This Row],[Fuel and light]]/All_India_Index_Upto_April23__1[[#This Row],[TOTAL BROADER CATEGORIES]]</f>
        <v>9.7588600505515294E-2</v>
      </c>
      <c r="AR313">
        <f>MONTH(1 &amp; All_India_Index_Upto_April23__1[[#This Row],[Month]])</f>
        <v>7</v>
      </c>
      <c r="AS313" s="19" t="str">
        <f>All_India_Index_Upto_April23__1[[#This Row],[MONTH IN NUM]]&amp;"/"&amp;All_India_Index_Upto_April23__1[[#This Row],[Year]]</f>
        <v>7/2014</v>
      </c>
      <c r="AT31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115.44285714285715</v>
      </c>
      <c r="AU31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1143.5761904761903</v>
      </c>
    </row>
    <row r="314" spans="1:47" x14ac:dyDescent="0.3">
      <c r="A314" t="s">
        <v>32</v>
      </c>
      <c r="B314">
        <v>2014</v>
      </c>
      <c r="C314" t="s">
        <v>38</v>
      </c>
      <c r="D314">
        <v>123.1</v>
      </c>
      <c r="E314">
        <v>125.9</v>
      </c>
      <c r="F314">
        <v>115.4</v>
      </c>
      <c r="G314">
        <v>120.4</v>
      </c>
      <c r="H314">
        <v>103.4</v>
      </c>
      <c r="I314">
        <v>131.19999999999999</v>
      </c>
      <c r="J314">
        <v>137.5</v>
      </c>
      <c r="K314">
        <v>112.8</v>
      </c>
      <c r="L314">
        <v>101.4</v>
      </c>
      <c r="M314">
        <v>118.3</v>
      </c>
      <c r="N314">
        <v>113.2</v>
      </c>
      <c r="O314">
        <v>122.4</v>
      </c>
      <c r="P314">
        <v>122</v>
      </c>
      <c r="Q314">
        <v>119</v>
      </c>
      <c r="R314">
        <v>117.4</v>
      </c>
      <c r="S314">
        <v>113.2</v>
      </c>
      <c r="T314">
        <v>116.7</v>
      </c>
      <c r="U314">
        <v>113.9</v>
      </c>
      <c r="V314">
        <v>111.2</v>
      </c>
      <c r="W314">
        <v>114.3</v>
      </c>
      <c r="X314">
        <v>111.4</v>
      </c>
      <c r="Y314">
        <v>111.5</v>
      </c>
      <c r="Z314">
        <v>111.8</v>
      </c>
      <c r="AA314">
        <v>115.1</v>
      </c>
      <c r="AB314">
        <v>108.7</v>
      </c>
      <c r="AC314">
        <v>112.2</v>
      </c>
      <c r="AD314">
        <v>116.4</v>
      </c>
      <c r="AE314">
        <v>119</v>
      </c>
      <c r="AF314">
        <v>115.76666666666667</v>
      </c>
      <c r="AG314">
        <v>114.1</v>
      </c>
      <c r="AH314" s="2">
        <f>All_India_Index_Upto_April23__1[[#This Row],[House]]/All_India_Index_Upto_April23__1[[#This Row],[TOTAL BROADER CATEGORIES]]</f>
        <v>0.10090499071426466</v>
      </c>
      <c r="AI314" s="2">
        <f>All_India_Index_Upto_April23__1[[#This Row],[Cloth]]/All_India_Index_Upto_April23__1[[#This Row],[TOTAL BROADER CATEGORIES]]</f>
        <v>0.10237891695899537</v>
      </c>
      <c r="AJ314" s="2">
        <f>All_India_Index_Upto_April23__1[[#This Row],[Food]]/All_India_Index_Upto_April23__1[[#This Row],[TOTAL BROADER CATEGORIES]]</f>
        <v>0.10523833387377296</v>
      </c>
      <c r="AK314" s="2">
        <f>All_India_Index_Upto_April23__1[[#This Row],[Miscellaneous]]/All_India_Index_Upto_April23__1[[#This Row],[TOTAL BROADER CATEGORIES]]</f>
        <v>9.9224714795271646E-2</v>
      </c>
      <c r="AL314" s="2">
        <f>All_India_Index_Upto_April23__1[[#This Row],[Personal care and effects]]/All_India_Index_Upto_April23__1[[#This Row],[TOTAL BROADER CATEGORIES]]</f>
        <v>9.6129469681337149E-2</v>
      </c>
      <c r="AM314" s="2">
        <f>All_India_Index_Upto_April23__1[[#This Row],[Education]]/All_India_Index_Upto_April23__1[[#This Row],[TOTAL BROADER CATEGORIES]]</f>
        <v>0.10178934646110309</v>
      </c>
      <c r="AN314" s="2">
        <f>All_India_Index_Upto_April23__1[[#This Row],[Recreation and amusement]]/All_India_Index_Upto_April23__1[[#This Row],[TOTAL BROADER CATEGORIES]]</f>
        <v>9.8870972496536272E-2</v>
      </c>
      <c r="AO314" s="2">
        <f>All_India_Index_Upto_April23__1[[#This Row],[Transport and communication]]/All_India_Index_Upto_April23__1[[#This Row],[TOTAL BROADER CATEGORIES]]</f>
        <v>9.8605665772484752E-2</v>
      </c>
      <c r="AP314" s="2">
        <f>All_India_Index_Upto_April23__1[[#This Row],[Health]]/All_India_Index_Upto_April23__1[[#This Row],[TOTAL BROADER CATEGORIES]]</f>
        <v>9.8517230197800912E-2</v>
      </c>
      <c r="AQ314" s="2">
        <f>All_India_Index_Upto_April23__1[[#This Row],[Fuel and light]]/All_India_Index_Upto_April23__1[[#This Row],[TOTAL BROADER CATEGORIES]]</f>
        <v>9.8340359048433218E-2</v>
      </c>
      <c r="AR314">
        <f>MONTH(1 &amp; All_India_Index_Upto_April23__1[[#This Row],[Month]])</f>
        <v>6</v>
      </c>
      <c r="AS314" s="19" t="str">
        <f>All_India_Index_Upto_April23__1[[#This Row],[MONTH IN NUM]]&amp;"/"&amp;All_India_Index_Upto_April23__1[[#This Row],[Year]]</f>
        <v>6/2014</v>
      </c>
      <c r="AT31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114.54285714285716</v>
      </c>
      <c r="AU31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1130.7666666666667</v>
      </c>
    </row>
    <row r="315" spans="1:47" x14ac:dyDescent="0.3">
      <c r="A315" t="s">
        <v>33</v>
      </c>
      <c r="B315">
        <v>2014</v>
      </c>
      <c r="C315" t="s">
        <v>38</v>
      </c>
      <c r="D315">
        <v>121.5</v>
      </c>
      <c r="E315">
        <v>123.1</v>
      </c>
      <c r="F315">
        <v>115.8</v>
      </c>
      <c r="G315">
        <v>119.7</v>
      </c>
      <c r="H315">
        <v>107.8</v>
      </c>
      <c r="I315">
        <v>128.30000000000001</v>
      </c>
      <c r="J315">
        <v>132.1</v>
      </c>
      <c r="K315">
        <v>112.4</v>
      </c>
      <c r="L315">
        <v>102.9</v>
      </c>
      <c r="M315">
        <v>114.3</v>
      </c>
      <c r="N315">
        <v>114.2</v>
      </c>
      <c r="O315">
        <v>121.2</v>
      </c>
      <c r="P315">
        <v>120.4</v>
      </c>
      <c r="Q315">
        <v>117.8</v>
      </c>
      <c r="R315">
        <v>118.8</v>
      </c>
      <c r="S315">
        <v>115.6</v>
      </c>
      <c r="T315">
        <v>118.3</v>
      </c>
      <c r="U315">
        <v>113.9</v>
      </c>
      <c r="V315">
        <v>113.2</v>
      </c>
      <c r="W315">
        <v>114.6</v>
      </c>
      <c r="X315">
        <v>112.3</v>
      </c>
      <c r="Y315">
        <v>111.8</v>
      </c>
      <c r="Z315">
        <v>111.6</v>
      </c>
      <c r="AA315">
        <v>114.8</v>
      </c>
      <c r="AB315">
        <v>108.3</v>
      </c>
      <c r="AC315">
        <v>112.3</v>
      </c>
      <c r="AD315">
        <v>116.7</v>
      </c>
      <c r="AE315">
        <v>117.96428571428574</v>
      </c>
      <c r="AF315">
        <v>117.56666666666666</v>
      </c>
      <c r="AG315">
        <v>114.25</v>
      </c>
      <c r="AH315" s="2">
        <f>All_India_Index_Upto_April23__1[[#This Row],[House]]/All_India_Index_Upto_April23__1[[#This Row],[TOTAL BROADER CATEGORIES]]</f>
        <v>0.10074236742988869</v>
      </c>
      <c r="AI315" s="2">
        <f>All_India_Index_Upto_April23__1[[#This Row],[Cloth]]/All_India_Index_Upto_April23__1[[#This Row],[TOTAL BROADER CATEGORIES]]</f>
        <v>0.10366690880385628</v>
      </c>
      <c r="AJ315" s="2">
        <f>All_India_Index_Upto_April23__1[[#This Row],[Food]]/All_India_Index_Upto_April23__1[[#This Row],[TOTAL BROADER CATEGORIES]]</f>
        <v>0.10401751785586821</v>
      </c>
      <c r="AK315" s="2">
        <f>All_India_Index_Upto_April23__1[[#This Row],[Miscellaneous]]/All_India_Index_Upto_April23__1[[#This Row],[TOTAL BROADER CATEGORIES]]</f>
        <v>9.9022913456249445E-2</v>
      </c>
      <c r="AL315" s="2">
        <f>All_India_Index_Upto_April23__1[[#This Row],[Personal care and effects]]/All_India_Index_Upto_April23__1[[#This Row],[TOTAL BROADER CATEGORIES]]</f>
        <v>9.5495828382117676E-2</v>
      </c>
      <c r="AM315" s="2">
        <f>All_India_Index_Upto_April23__1[[#This Row],[Education]]/All_India_Index_Upto_April23__1[[#This Row],[TOTAL BROADER CATEGORIES]]</f>
        <v>0.1012273416275818</v>
      </c>
      <c r="AN315" s="2">
        <f>All_India_Index_Upto_April23__1[[#This Row],[Recreation and amusement]]/All_India_Index_Upto_April23__1[[#This Row],[TOTAL BROADER CATEGORIES]]</f>
        <v>9.8405673568276383E-2</v>
      </c>
      <c r="AO315" s="2">
        <f>All_India_Index_Upto_April23__1[[#This Row],[Transport and communication]]/All_India_Index_Upto_April23__1[[#This Row],[TOTAL BROADER CATEGORIES]]</f>
        <v>9.8582027821982984E-2</v>
      </c>
      <c r="AP315" s="2">
        <f>All_India_Index_Upto_April23__1[[#This Row],[Health]]/All_India_Index_Upto_April23__1[[#This Row],[TOTAL BROADER CATEGORIES]]</f>
        <v>9.9022913456249445E-2</v>
      </c>
      <c r="AQ315" s="2">
        <f>All_India_Index_Upto_April23__1[[#This Row],[Fuel and light]]/All_India_Index_Upto_April23__1[[#This Row],[TOTAL BROADER CATEGORIES]]</f>
        <v>9.9816507597929108E-2</v>
      </c>
      <c r="AR315">
        <f>MONTH(1 &amp; All_India_Index_Upto_April23__1[[#This Row],[Month]])</f>
        <v>6</v>
      </c>
      <c r="AS315" s="19" t="str">
        <f>All_India_Index_Upto_April23__1[[#This Row],[MONTH IN NUM]]&amp;"/"&amp;All_India_Index_Upto_April23__1[[#This Row],[Year]]</f>
        <v>6/2014</v>
      </c>
      <c r="AT31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115.6</v>
      </c>
      <c r="AU31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1134.0809523809523</v>
      </c>
    </row>
    <row r="316" spans="1:47" x14ac:dyDescent="0.3">
      <c r="A316" t="s">
        <v>30</v>
      </c>
      <c r="B316">
        <v>2014</v>
      </c>
      <c r="C316" t="s">
        <v>38</v>
      </c>
      <c r="D316">
        <v>120.7</v>
      </c>
      <c r="E316">
        <v>121.6</v>
      </c>
      <c r="F316">
        <v>116.1</v>
      </c>
      <c r="G316">
        <v>119.3</v>
      </c>
      <c r="H316">
        <v>110.3</v>
      </c>
      <c r="I316">
        <v>125.8</v>
      </c>
      <c r="J316">
        <v>129.30000000000001</v>
      </c>
      <c r="K316">
        <v>112.2</v>
      </c>
      <c r="L316">
        <v>103.6</v>
      </c>
      <c r="M316">
        <v>112.3</v>
      </c>
      <c r="N316">
        <v>114.9</v>
      </c>
      <c r="O316">
        <v>120.1</v>
      </c>
      <c r="P316">
        <v>119.5</v>
      </c>
      <c r="Q316">
        <v>117.3</v>
      </c>
      <c r="R316">
        <v>119.7</v>
      </c>
      <c r="S316">
        <v>117.3</v>
      </c>
      <c r="T316">
        <v>119.3</v>
      </c>
      <c r="U316">
        <v>140.85</v>
      </c>
      <c r="V316">
        <v>114.4</v>
      </c>
      <c r="W316">
        <v>114.9</v>
      </c>
      <c r="X316">
        <v>112.8</v>
      </c>
      <c r="Y316">
        <v>112.2</v>
      </c>
      <c r="Z316">
        <v>111.4</v>
      </c>
      <c r="AA316">
        <v>114.3</v>
      </c>
      <c r="AB316">
        <v>108</v>
      </c>
      <c r="AC316">
        <v>112.3</v>
      </c>
      <c r="AD316">
        <v>117</v>
      </c>
      <c r="AE316">
        <v>117.35714285714285</v>
      </c>
      <c r="AF316">
        <v>118.76666666666667</v>
      </c>
      <c r="AG316">
        <v>127.875</v>
      </c>
      <c r="AH316" s="2">
        <f>All_India_Index_Upto_April23__1[[#This Row],[House]]/All_India_Index_Upto_April23__1[[#This Row],[TOTAL BROADER CATEGORIES]]</f>
        <v>0.1112538128110451</v>
      </c>
      <c r="AI316" s="2">
        <f>All_India_Index_Upto_April23__1[[#This Row],[Cloth]]/All_India_Index_Upto_April23__1[[#This Row],[TOTAL BROADER CATEGORIES]]</f>
        <v>0.10332938026608111</v>
      </c>
      <c r="AJ316" s="2">
        <f>All_India_Index_Upto_April23__1[[#This Row],[Food]]/All_India_Index_Upto_April23__1[[#This Row],[TOTAL BROADER CATEGORIES]]</f>
        <v>0.10210306630277731</v>
      </c>
      <c r="AK316" s="2">
        <f>All_India_Index_Upto_April23__1[[#This Row],[Miscellaneous]]/All_India_Index_Upto_April23__1[[#This Row],[TOTAL BROADER CATEGORIES]]</f>
        <v>9.7703250664167074E-2</v>
      </c>
      <c r="AL316" s="2">
        <f>All_India_Index_Upto_April23__1[[#This Row],[Personal care and effects]]/All_India_Index_Upto_April23__1[[#This Row],[TOTAL BROADER CATEGORIES]]</f>
        <v>9.3962164485574748E-2</v>
      </c>
      <c r="AM316" s="2">
        <f>All_India_Index_Upto_April23__1[[#This Row],[Education]]/All_India_Index_Upto_April23__1[[#This Row],[TOTAL BROADER CATEGORIES]]</f>
        <v>9.9443290747233279E-2</v>
      </c>
      <c r="AN316" s="2">
        <f>All_India_Index_Upto_April23__1[[#This Row],[Recreation and amusement]]/All_India_Index_Upto_April23__1[[#This Row],[TOTAL BROADER CATEGORIES]]</f>
        <v>9.6920232626787298E-2</v>
      </c>
      <c r="AO316" s="2">
        <f>All_India_Index_Upto_April23__1[[#This Row],[Transport and communication]]/All_India_Index_Upto_April23__1[[#This Row],[TOTAL BROADER CATEGORIES]]</f>
        <v>9.7616248660013769E-2</v>
      </c>
      <c r="AP316" s="2">
        <f>All_India_Index_Upto_April23__1[[#This Row],[Health]]/All_India_Index_Upto_April23__1[[#This Row],[TOTAL BROADER CATEGORIES]]</f>
        <v>9.8138260684933629E-2</v>
      </c>
      <c r="AQ316" s="2">
        <f>All_India_Index_Upto_April23__1[[#This Row],[Fuel and light]]/All_India_Index_Upto_April23__1[[#This Row],[TOTAL BROADER CATEGORIES]]</f>
        <v>9.9530292751386584E-2</v>
      </c>
      <c r="AR316">
        <f>MONTH(1 &amp; All_India_Index_Upto_April23__1[[#This Row],[Month]])</f>
        <v>6</v>
      </c>
      <c r="AS316" s="19" t="str">
        <f>All_India_Index_Upto_April23__1[[#This Row],[MONTH IN NUM]]&amp;"/"&amp;All_India_Index_Upto_April23__1[[#This Row],[Year]]</f>
        <v>6/2014</v>
      </c>
      <c r="AT31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120.10714285714286</v>
      </c>
      <c r="AU31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1149.3988095238096</v>
      </c>
    </row>
    <row r="317" spans="1:47" x14ac:dyDescent="0.3">
      <c r="A317" t="s">
        <v>30</v>
      </c>
      <c r="B317">
        <v>2014</v>
      </c>
      <c r="C317" t="s">
        <v>37</v>
      </c>
      <c r="D317">
        <v>120.3</v>
      </c>
      <c r="E317">
        <v>120.2</v>
      </c>
      <c r="F317">
        <v>116.9</v>
      </c>
      <c r="G317">
        <v>118</v>
      </c>
      <c r="H317">
        <v>110.1</v>
      </c>
      <c r="I317">
        <v>126.3</v>
      </c>
      <c r="J317">
        <v>123.9</v>
      </c>
      <c r="K317">
        <v>111.5</v>
      </c>
      <c r="L317">
        <v>103.5</v>
      </c>
      <c r="M317">
        <v>111.6</v>
      </c>
      <c r="N317">
        <v>114.2</v>
      </c>
      <c r="O317">
        <v>119.2</v>
      </c>
      <c r="P317">
        <v>118.2</v>
      </c>
      <c r="Q317">
        <v>116.3</v>
      </c>
      <c r="R317">
        <v>118.7</v>
      </c>
      <c r="S317">
        <v>116.8</v>
      </c>
      <c r="T317">
        <v>118.5</v>
      </c>
      <c r="U317">
        <v>140.85</v>
      </c>
      <c r="V317">
        <v>113.4</v>
      </c>
      <c r="W317">
        <v>114.1</v>
      </c>
      <c r="X317">
        <v>112.1</v>
      </c>
      <c r="Y317">
        <v>111.4</v>
      </c>
      <c r="Z317">
        <v>110.9</v>
      </c>
      <c r="AA317">
        <v>113.1</v>
      </c>
      <c r="AB317">
        <v>108.9</v>
      </c>
      <c r="AC317">
        <v>111.8</v>
      </c>
      <c r="AD317">
        <v>116</v>
      </c>
      <c r="AE317">
        <v>116.44285714285714</v>
      </c>
      <c r="AF317">
        <v>118</v>
      </c>
      <c r="AG317">
        <v>127.47499999999999</v>
      </c>
      <c r="AH317" s="2">
        <f>All_India_Index_Upto_April23__1[[#This Row],[House]]/All_India_Index_Upto_April23__1[[#This Row],[TOTAL BROADER CATEGORIES]]</f>
        <v>0.11147617783468931</v>
      </c>
      <c r="AI317" s="2">
        <f>All_India_Index_Upto_April23__1[[#This Row],[Cloth]]/All_India_Index_Upto_April23__1[[#This Row],[TOTAL BROADER CATEGORIES]]</f>
        <v>0.1031903430829052</v>
      </c>
      <c r="AJ317" s="2">
        <f>All_India_Index_Upto_April23__1[[#This Row],[Food]]/All_India_Index_Upto_April23__1[[#This Row],[TOTAL BROADER CATEGORIES]]</f>
        <v>0.10182863032309446</v>
      </c>
      <c r="AK317" s="2">
        <f>All_India_Index_Upto_April23__1[[#This Row],[Miscellaneous]]/All_India_Index_Upto_April23__1[[#This Row],[TOTAL BROADER CATEGORIES]]</f>
        <v>9.776847759888814E-2</v>
      </c>
      <c r="AL317" s="2">
        <f>All_India_Index_Upto_April23__1[[#This Row],[Personal care and effects]]/All_India_Index_Upto_April23__1[[#This Row],[TOTAL BROADER CATEGORIES]]</f>
        <v>9.5232443743460821E-2</v>
      </c>
      <c r="AM317" s="2">
        <f>All_India_Index_Upto_April23__1[[#This Row],[Education]]/All_India_Index_Upto_April23__1[[#This Row],[TOTAL BROADER CATEGORIES]]</f>
        <v>9.890532036166591E-2</v>
      </c>
      <c r="AN317" s="2">
        <f>All_India_Index_Upto_April23__1[[#This Row],[Recreation and amusement]]/All_India_Index_Upto_April23__1[[#This Row],[TOTAL BROADER CATEGORIES]]</f>
        <v>9.6981432609272777E-2</v>
      </c>
      <c r="AO317" s="2">
        <f>All_India_Index_Upto_April23__1[[#This Row],[Transport and communication]]/All_India_Index_Upto_April23__1[[#This Row],[TOTAL BROADER CATEGORIES]]</f>
        <v>9.741867982572576E-2</v>
      </c>
      <c r="AP317" s="2">
        <f>All_India_Index_Upto_April23__1[[#This Row],[Health]]/All_India_Index_Upto_April23__1[[#This Row],[TOTAL BROADER CATEGORIES]]</f>
        <v>9.8030825928759932E-2</v>
      </c>
      <c r="AQ317" s="2">
        <f>All_India_Index_Upto_April23__1[[#This Row],[Fuel and light]]/All_India_Index_Upto_April23__1[[#This Row],[TOTAL BROADER CATEGORIES]]</f>
        <v>9.9167668691537716E-2</v>
      </c>
      <c r="AR317">
        <f>MONTH(1 &amp; All_India_Index_Upto_April23__1[[#This Row],[Month]])</f>
        <v>5</v>
      </c>
      <c r="AS317" s="19" t="str">
        <f>All_India_Index_Upto_April23__1[[#This Row],[MONTH IN NUM]]&amp;"/"&amp;All_India_Index_Upto_April23__1[[#This Row],[Year]]</f>
        <v>5/2014</v>
      </c>
      <c r="AT31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119.35000000000001</v>
      </c>
      <c r="AU31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1143.5178571428571</v>
      </c>
    </row>
    <row r="318" spans="1:47" x14ac:dyDescent="0.3">
      <c r="A318" t="s">
        <v>32</v>
      </c>
      <c r="B318">
        <v>2014</v>
      </c>
      <c r="C318" t="s">
        <v>37</v>
      </c>
      <c r="D318">
        <v>122.7</v>
      </c>
      <c r="E318">
        <v>124.1</v>
      </c>
      <c r="F318">
        <v>114.2</v>
      </c>
      <c r="G318">
        <v>119.1</v>
      </c>
      <c r="H318">
        <v>103.5</v>
      </c>
      <c r="I318">
        <v>129.19999999999999</v>
      </c>
      <c r="J318">
        <v>127</v>
      </c>
      <c r="K318">
        <v>112.6</v>
      </c>
      <c r="L318">
        <v>101.3</v>
      </c>
      <c r="M318">
        <v>117</v>
      </c>
      <c r="N318">
        <v>112.9</v>
      </c>
      <c r="O318">
        <v>121.7</v>
      </c>
      <c r="P318">
        <v>120</v>
      </c>
      <c r="Q318">
        <v>118.3</v>
      </c>
      <c r="R318">
        <v>116.8</v>
      </c>
      <c r="S318">
        <v>112.9</v>
      </c>
      <c r="T318">
        <v>116.2</v>
      </c>
      <c r="U318">
        <v>114.3</v>
      </c>
      <c r="V318">
        <v>111.1</v>
      </c>
      <c r="W318">
        <v>114.1</v>
      </c>
      <c r="X318">
        <v>111.2</v>
      </c>
      <c r="Y318">
        <v>111.3</v>
      </c>
      <c r="Z318">
        <v>111.5</v>
      </c>
      <c r="AA318">
        <v>112.9</v>
      </c>
      <c r="AB318">
        <v>109.3</v>
      </c>
      <c r="AC318">
        <v>111.7</v>
      </c>
      <c r="AD318">
        <v>115.6</v>
      </c>
      <c r="AE318">
        <v>117.4</v>
      </c>
      <c r="AF318">
        <v>115.3</v>
      </c>
      <c r="AG318">
        <v>114.19999999999999</v>
      </c>
      <c r="AH318" s="2">
        <f>All_India_Index_Upto_April23__1[[#This Row],[House]]/All_India_Index_Upto_April23__1[[#This Row],[TOTAL BROADER CATEGORIES]]</f>
        <v>0.1014299671374012</v>
      </c>
      <c r="AI318" s="2">
        <f>All_India_Index_Upto_April23__1[[#This Row],[Cloth]]/All_India_Index_Upto_April23__1[[#This Row],[TOTAL BROADER CATEGORIES]]</f>
        <v>0.10240696331823432</v>
      </c>
      <c r="AJ318" s="2">
        <f>All_India_Index_Upto_April23__1[[#This Row],[Food]]/All_India_Index_Upto_April23__1[[#This Row],[TOTAL BROADER CATEGORIES]]</f>
        <v>0.10427213784527935</v>
      </c>
      <c r="AK318" s="2">
        <f>All_India_Index_Upto_April23__1[[#This Row],[Miscellaneous]]/All_India_Index_Upto_April23__1[[#This Row],[TOTAL BROADER CATEGORIES]]</f>
        <v>9.9209521271871409E-2</v>
      </c>
      <c r="AL318" s="2">
        <f>All_India_Index_Upto_April23__1[[#This Row],[Personal care and effects]]/All_India_Index_Upto_April23__1[[#This Row],[TOTAL BROADER CATEGORIES]]</f>
        <v>9.707789324096279E-2</v>
      </c>
      <c r="AM318" s="2">
        <f>All_India_Index_Upto_April23__1[[#This Row],[Education]]/All_India_Index_Upto_April23__1[[#This Row],[TOTAL BROADER CATEGORIES]]</f>
        <v>0.10027533528732571</v>
      </c>
      <c r="AN318" s="2">
        <f>All_India_Index_Upto_April23__1[[#This Row],[Recreation and amusement]]/All_India_Index_Upto_April23__1[[#This Row],[TOTAL BROADER CATEGORIES]]</f>
        <v>9.9031885602629016E-2</v>
      </c>
      <c r="AO318" s="2">
        <f>All_India_Index_Upto_April23__1[[#This Row],[Transport and communication]]/All_India_Index_Upto_April23__1[[#This Row],[TOTAL BROADER CATEGORIES]]</f>
        <v>9.8854249933386637E-2</v>
      </c>
      <c r="AP318" s="2">
        <f>All_India_Index_Upto_April23__1[[#This Row],[Health]]/All_India_Index_Upto_April23__1[[#This Row],[TOTAL BROADER CATEGORIES]]</f>
        <v>9.876543209876544E-2</v>
      </c>
      <c r="AQ318" s="2">
        <f>All_India_Index_Upto_April23__1[[#This Row],[Fuel and light]]/All_India_Index_Upto_April23__1[[#This Row],[TOTAL BROADER CATEGORIES]]</f>
        <v>9.8676614264144244E-2</v>
      </c>
      <c r="AR318">
        <f>MONTH(1 &amp; All_India_Index_Upto_April23__1[[#This Row],[Month]])</f>
        <v>5</v>
      </c>
      <c r="AS318" s="19" t="str">
        <f>All_India_Index_Upto_April23__1[[#This Row],[MONTH IN NUM]]&amp;"/"&amp;All_India_Index_Upto_April23__1[[#This Row],[Year]]</f>
        <v>5/2014</v>
      </c>
      <c r="AT31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114.04285714285713</v>
      </c>
      <c r="AU31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1125.8999999999999</v>
      </c>
    </row>
    <row r="319" spans="1:47" x14ac:dyDescent="0.3">
      <c r="A319" t="s">
        <v>33</v>
      </c>
      <c r="B319">
        <v>2014</v>
      </c>
      <c r="C319" t="s">
        <v>37</v>
      </c>
      <c r="D319">
        <v>121.1</v>
      </c>
      <c r="E319">
        <v>121.6</v>
      </c>
      <c r="F319">
        <v>115.9</v>
      </c>
      <c r="G319">
        <v>118.4</v>
      </c>
      <c r="H319">
        <v>107.7</v>
      </c>
      <c r="I319">
        <v>127.7</v>
      </c>
      <c r="J319">
        <v>125</v>
      </c>
      <c r="K319">
        <v>111.9</v>
      </c>
      <c r="L319">
        <v>102.8</v>
      </c>
      <c r="M319">
        <v>113.4</v>
      </c>
      <c r="N319">
        <v>113.7</v>
      </c>
      <c r="O319">
        <v>120.4</v>
      </c>
      <c r="P319">
        <v>118.9</v>
      </c>
      <c r="Q319">
        <v>116.8</v>
      </c>
      <c r="R319">
        <v>118</v>
      </c>
      <c r="S319">
        <v>115.2</v>
      </c>
      <c r="T319">
        <v>117.6</v>
      </c>
      <c r="U319">
        <v>114.3</v>
      </c>
      <c r="V319">
        <v>112.5</v>
      </c>
      <c r="W319">
        <v>114.1</v>
      </c>
      <c r="X319">
        <v>111.8</v>
      </c>
      <c r="Y319">
        <v>111.3</v>
      </c>
      <c r="Z319">
        <v>111.2</v>
      </c>
      <c r="AA319">
        <v>113</v>
      </c>
      <c r="AB319">
        <v>109.1</v>
      </c>
      <c r="AC319">
        <v>111.8</v>
      </c>
      <c r="AD319">
        <v>115.8</v>
      </c>
      <c r="AE319">
        <v>116.80714285714289</v>
      </c>
      <c r="AF319">
        <v>116.93333333333332</v>
      </c>
      <c r="AG319">
        <v>114.19999999999999</v>
      </c>
      <c r="AH319" s="2">
        <f>All_India_Index_Upto_April23__1[[#This Row],[House]]/All_India_Index_Upto_April23__1[[#This Row],[TOTAL BROADER CATEGORIES]]</f>
        <v>0.10118368285484643</v>
      </c>
      <c r="AI319" s="2">
        <f>All_India_Index_Upto_April23__1[[#This Row],[Cloth]]/All_India_Index_Upto_April23__1[[#This Row],[TOTAL BROADER CATEGORIES]]</f>
        <v>0.10360547561436113</v>
      </c>
      <c r="AJ319" s="2">
        <f>All_India_Index_Upto_April23__1[[#This Row],[Food]]/All_India_Index_Upto_April23__1[[#This Row],[TOTAL BROADER CATEGORIES]]</f>
        <v>0.10349366810891319</v>
      </c>
      <c r="AK319" s="2">
        <f>All_India_Index_Upto_April23__1[[#This Row],[Miscellaneous]]/All_India_Index_Upto_April23__1[[#This Row],[TOTAL BROADER CATEGORIES]]</f>
        <v>9.9057230675760347E-2</v>
      </c>
      <c r="AL319" s="2">
        <f>All_India_Index_Upto_April23__1[[#This Row],[Personal care and effects]]/All_India_Index_Upto_April23__1[[#This Row],[TOTAL BROADER CATEGORIES]]</f>
        <v>9.6664971974288486E-2</v>
      </c>
      <c r="AM319" s="2">
        <f>All_India_Index_Upto_April23__1[[#This Row],[Education]]/All_India_Index_Upto_April23__1[[#This Row],[TOTAL BROADER CATEGORIES]]</f>
        <v>0.10012045676530339</v>
      </c>
      <c r="AN319" s="2">
        <f>All_India_Index_Upto_April23__1[[#This Row],[Recreation and amusement]]/All_India_Index_Upto_April23__1[[#This Row],[TOTAL BROADER CATEGORIES]]</f>
        <v>9.8525617630988827E-2</v>
      </c>
      <c r="AO319" s="2">
        <f>All_India_Index_Upto_April23__1[[#This Row],[Transport and communication]]/All_India_Index_Upto_April23__1[[#This Row],[TOTAL BROADER CATEGORIES]]</f>
        <v>9.8614219805117406E-2</v>
      </c>
      <c r="AP319" s="2">
        <f>All_India_Index_Upto_April23__1[[#This Row],[Health]]/All_India_Index_Upto_April23__1[[#This Row],[TOTAL BROADER CATEGORIES]]</f>
        <v>9.9057230675760347E-2</v>
      </c>
      <c r="AQ319" s="2">
        <f>All_India_Index_Upto_April23__1[[#This Row],[Fuel and light]]/All_India_Index_Upto_April23__1[[#This Row],[TOTAL BROADER CATEGORIES]]</f>
        <v>9.9677445894660446E-2</v>
      </c>
      <c r="AR319">
        <f>MONTH(1 &amp; All_India_Index_Upto_April23__1[[#This Row],[Month]])</f>
        <v>5</v>
      </c>
      <c r="AS319" s="19" t="str">
        <f>All_India_Index_Upto_April23__1[[#This Row],[MONTH IN NUM]]&amp;"/"&amp;All_India_Index_Upto_April23__1[[#This Row],[Year]]</f>
        <v>5/2014</v>
      </c>
      <c r="AT31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114.95714285714287</v>
      </c>
      <c r="AU31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1128.6404761904762</v>
      </c>
    </row>
    <row r="320" spans="1:47" x14ac:dyDescent="0.3">
      <c r="A320" t="s">
        <v>33</v>
      </c>
      <c r="B320">
        <v>2014</v>
      </c>
      <c r="C320" t="s">
        <v>36</v>
      </c>
      <c r="D320">
        <v>120.9</v>
      </c>
      <c r="E320">
        <v>119.9</v>
      </c>
      <c r="F320">
        <v>116.2</v>
      </c>
      <c r="G320">
        <v>117</v>
      </c>
      <c r="H320">
        <v>107.3</v>
      </c>
      <c r="I320">
        <v>126.1</v>
      </c>
      <c r="J320">
        <v>120.7</v>
      </c>
      <c r="K320">
        <v>111</v>
      </c>
      <c r="L320">
        <v>101.8</v>
      </c>
      <c r="M320">
        <v>112.6</v>
      </c>
      <c r="N320">
        <v>113.2</v>
      </c>
      <c r="O320">
        <v>119.8</v>
      </c>
      <c r="P320">
        <v>117.6</v>
      </c>
      <c r="Q320">
        <v>116</v>
      </c>
      <c r="R320">
        <v>117.4</v>
      </c>
      <c r="S320">
        <v>114.6</v>
      </c>
      <c r="T320">
        <v>117</v>
      </c>
      <c r="U320">
        <v>113.9</v>
      </c>
      <c r="V320">
        <v>112.5</v>
      </c>
      <c r="W320">
        <v>113.6</v>
      </c>
      <c r="X320">
        <v>111.5</v>
      </c>
      <c r="Y320">
        <v>111.2</v>
      </c>
      <c r="Z320">
        <v>110.9</v>
      </c>
      <c r="AA320">
        <v>112.7</v>
      </c>
      <c r="AB320">
        <v>109</v>
      </c>
      <c r="AC320">
        <v>111.5</v>
      </c>
      <c r="AD320">
        <v>115.1</v>
      </c>
      <c r="AE320">
        <v>115.72142857142856</v>
      </c>
      <c r="AF320">
        <v>116.33333333333333</v>
      </c>
      <c r="AG320">
        <v>113.75</v>
      </c>
      <c r="AH320" s="2">
        <f>All_India_Index_Upto_April23__1[[#This Row],[House]]/All_India_Index_Upto_April23__1[[#This Row],[TOTAL BROADER CATEGORIES]]</f>
        <v>0.10110169634996952</v>
      </c>
      <c r="AI320" s="2">
        <f>All_India_Index_Upto_April23__1[[#This Row],[Cloth]]/All_India_Index_Upto_April23__1[[#This Row],[TOTAL BROADER CATEGORIES]]</f>
        <v>0.10339777883117761</v>
      </c>
      <c r="AJ320" s="2">
        <f>All_India_Index_Upto_April23__1[[#This Row],[Food]]/All_India_Index_Upto_April23__1[[#This Row],[TOTAL BROADER CATEGORIES]]</f>
        <v>0.10285391413286381</v>
      </c>
      <c r="AK320" s="2">
        <f>All_India_Index_Upto_April23__1[[#This Row],[Miscellaneous]]/All_India_Index_Upto_April23__1[[#This Row],[TOTAL BROADER CATEGORIES]]</f>
        <v>9.9101882576014086E-2</v>
      </c>
      <c r="AL320" s="2">
        <f>All_India_Index_Upto_April23__1[[#This Row],[Personal care and effects]]/All_India_Index_Upto_April23__1[[#This Row],[TOTAL BROADER CATEGORIES]]</f>
        <v>9.6879867271619138E-2</v>
      </c>
      <c r="AM320" s="2">
        <f>All_India_Index_Upto_April23__1[[#This Row],[Education]]/All_India_Index_Upto_April23__1[[#This Row],[TOTAL BROADER CATEGORIES]]</f>
        <v>0.10016844992212365</v>
      </c>
      <c r="AN320" s="2">
        <f>All_India_Index_Upto_April23__1[[#This Row],[Recreation and amusement]]/All_India_Index_Upto_April23__1[[#This Row],[TOTAL BROADER CATEGORIES]]</f>
        <v>9.8568598902959298E-2</v>
      </c>
      <c r="AO320" s="2">
        <f>All_India_Index_Upto_April23__1[[#This Row],[Transport and communication]]/All_India_Index_Upto_April23__1[[#This Row],[TOTAL BROADER CATEGORIES]]</f>
        <v>9.8835240739486685E-2</v>
      </c>
      <c r="AP320" s="2">
        <f>All_India_Index_Upto_April23__1[[#This Row],[Health]]/All_India_Index_Upto_April23__1[[#This Row],[TOTAL BROADER CATEGORIES]]</f>
        <v>9.9101882576014086E-2</v>
      </c>
      <c r="AQ320" s="2">
        <f>All_India_Index_Upto_April23__1[[#This Row],[Fuel and light]]/All_India_Index_Upto_April23__1[[#This Row],[TOTAL BROADER CATEGORIES]]</f>
        <v>9.9990688697772057E-2</v>
      </c>
      <c r="AR320">
        <f>MONTH(1 &amp; All_India_Index_Upto_April23__1[[#This Row],[Month]])</f>
        <v>4</v>
      </c>
      <c r="AS320" s="19" t="str">
        <f>All_India_Index_Upto_April23__1[[#This Row],[MONTH IN NUM]]&amp;"/"&amp;All_India_Index_Upto_April23__1[[#This Row],[Year]]</f>
        <v>4/2014</v>
      </c>
      <c r="AT32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114.52857142857144</v>
      </c>
      <c r="AU32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1125.104761904762</v>
      </c>
    </row>
    <row r="321" spans="1:47" x14ac:dyDescent="0.3">
      <c r="A321" t="s">
        <v>30</v>
      </c>
      <c r="B321">
        <v>2014</v>
      </c>
      <c r="C321" t="s">
        <v>36</v>
      </c>
      <c r="D321">
        <v>120.2</v>
      </c>
      <c r="E321">
        <v>118.9</v>
      </c>
      <c r="F321">
        <v>118.1</v>
      </c>
      <c r="G321">
        <v>117</v>
      </c>
      <c r="H321">
        <v>109.7</v>
      </c>
      <c r="I321">
        <v>125.5</v>
      </c>
      <c r="J321">
        <v>120.5</v>
      </c>
      <c r="K321">
        <v>111</v>
      </c>
      <c r="L321">
        <v>102.6</v>
      </c>
      <c r="M321">
        <v>111.2</v>
      </c>
      <c r="N321">
        <v>113.5</v>
      </c>
      <c r="O321">
        <v>118.7</v>
      </c>
      <c r="P321">
        <v>117.2</v>
      </c>
      <c r="Q321">
        <v>115.4</v>
      </c>
      <c r="R321">
        <v>118.1</v>
      </c>
      <c r="S321">
        <v>116.1</v>
      </c>
      <c r="T321">
        <v>117.8</v>
      </c>
      <c r="U321">
        <v>140.85</v>
      </c>
      <c r="V321">
        <v>113.4</v>
      </c>
      <c r="W321">
        <v>113.7</v>
      </c>
      <c r="X321">
        <v>111.8</v>
      </c>
      <c r="Y321">
        <v>111.2</v>
      </c>
      <c r="Z321">
        <v>110.5</v>
      </c>
      <c r="AA321">
        <v>113</v>
      </c>
      <c r="AB321">
        <v>108.9</v>
      </c>
      <c r="AC321">
        <v>111.5</v>
      </c>
      <c r="AD321">
        <v>115.4</v>
      </c>
      <c r="AE321">
        <v>115.67857142857144</v>
      </c>
      <c r="AF321">
        <v>117.33333333333333</v>
      </c>
      <c r="AG321">
        <v>127.27500000000001</v>
      </c>
      <c r="AH321" s="2">
        <f>All_India_Index_Upto_April23__1[[#This Row],[House]]/All_India_Index_Upto_April23__1[[#This Row],[TOTAL BROADER CATEGORIES]]</f>
        <v>0.11158728849913317</v>
      </c>
      <c r="AI321" s="2">
        <f>All_India_Index_Upto_April23__1[[#This Row],[Cloth]]/All_India_Index_Upto_April23__1[[#This Row],[TOTAL BROADER CATEGORIES]]</f>
        <v>0.10287101565296895</v>
      </c>
      <c r="AJ321" s="2">
        <f>All_India_Index_Upto_April23__1[[#This Row],[Food]]/All_India_Index_Upto_April23__1[[#This Row],[TOTAL BROADER CATEGORIES]]</f>
        <v>0.10142021703529824</v>
      </c>
      <c r="AK321" s="2">
        <f>All_India_Index_Upto_April23__1[[#This Row],[Miscellaneous]]/All_India_Index_Upto_April23__1[[#This Row],[TOTAL BROADER CATEGORIES]]</f>
        <v>9.7756689590676474E-2</v>
      </c>
      <c r="AL321" s="2">
        <f>All_India_Index_Upto_April23__1[[#This Row],[Personal care and effects]]/All_India_Index_Upto_April23__1[[#This Row],[TOTAL BROADER CATEGORIES]]</f>
        <v>9.547716140291182E-2</v>
      </c>
      <c r="AM321" s="2">
        <f>All_India_Index_Upto_April23__1[[#This Row],[Education]]/All_India_Index_Upto_April23__1[[#This Row],[TOTAL BROADER CATEGORIES]]</f>
        <v>9.9071802006694534E-2</v>
      </c>
      <c r="AN321" s="2">
        <f>All_India_Index_Upto_April23__1[[#This Row],[Recreation and amusement]]/All_India_Index_Upto_April23__1[[#This Row],[TOTAL BROADER CATEGORIES]]</f>
        <v>9.6879947979997758E-2</v>
      </c>
      <c r="AO321" s="2">
        <f>All_India_Index_Upto_April23__1[[#This Row],[Transport and communication]]/All_India_Index_Upto_April23__1[[#This Row],[TOTAL BROADER CATEGORIES]]</f>
        <v>9.7493667107472856E-2</v>
      </c>
      <c r="AP321" s="2">
        <f>All_India_Index_Upto_April23__1[[#This Row],[Health]]/All_India_Index_Upto_April23__1[[#This Row],[TOTAL BROADER CATEGORIES]]</f>
        <v>9.8019712073880078E-2</v>
      </c>
      <c r="AQ321" s="2">
        <f>All_India_Index_Upto_April23__1[[#This Row],[Fuel and light]]/All_India_Index_Upto_April23__1[[#This Row],[TOTAL BROADER CATEGORIES]]</f>
        <v>9.9422498650966029E-2</v>
      </c>
      <c r="AR321">
        <f>MONTH(1 &amp; All_India_Index_Upto_April23__1[[#This Row],[Month]])</f>
        <v>4</v>
      </c>
      <c r="AS321" s="19" t="str">
        <f>All_India_Index_Upto_April23__1[[#This Row],[MONTH IN NUM]]&amp;"/"&amp;All_India_Index_Upto_April23__1[[#This Row],[Year]]</f>
        <v>4/2014</v>
      </c>
      <c r="AT32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118.99285714285715</v>
      </c>
      <c r="AU32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1140.5869047619049</v>
      </c>
    </row>
    <row r="322" spans="1:47" x14ac:dyDescent="0.3">
      <c r="A322" t="s">
        <v>32</v>
      </c>
      <c r="B322">
        <v>2014</v>
      </c>
      <c r="C322" t="s">
        <v>36</v>
      </c>
      <c r="D322">
        <v>122.5</v>
      </c>
      <c r="E322">
        <v>121.7</v>
      </c>
      <c r="F322">
        <v>113.3</v>
      </c>
      <c r="G322">
        <v>117</v>
      </c>
      <c r="H322">
        <v>103.1</v>
      </c>
      <c r="I322">
        <v>126.7</v>
      </c>
      <c r="J322">
        <v>121.2</v>
      </c>
      <c r="K322">
        <v>111</v>
      </c>
      <c r="L322">
        <v>100.3</v>
      </c>
      <c r="M322">
        <v>115.3</v>
      </c>
      <c r="N322">
        <v>112.7</v>
      </c>
      <c r="O322">
        <v>121</v>
      </c>
      <c r="P322">
        <v>118.2</v>
      </c>
      <c r="Q322">
        <v>117.6</v>
      </c>
      <c r="R322">
        <v>116.3</v>
      </c>
      <c r="S322">
        <v>112.5</v>
      </c>
      <c r="T322">
        <v>115.7</v>
      </c>
      <c r="U322">
        <v>113.9</v>
      </c>
      <c r="V322">
        <v>110.9</v>
      </c>
      <c r="W322">
        <v>113.4</v>
      </c>
      <c r="X322">
        <v>111</v>
      </c>
      <c r="Y322">
        <v>111.2</v>
      </c>
      <c r="Z322">
        <v>111.2</v>
      </c>
      <c r="AA322">
        <v>112.5</v>
      </c>
      <c r="AB322">
        <v>109.1</v>
      </c>
      <c r="AC322">
        <v>111.4</v>
      </c>
      <c r="AD322">
        <v>114.7</v>
      </c>
      <c r="AE322">
        <v>115.82857142857144</v>
      </c>
      <c r="AF322">
        <v>114.83333333333333</v>
      </c>
      <c r="AG322">
        <v>113.65</v>
      </c>
      <c r="AH322" s="2">
        <f>All_India_Index_Upto_April23__1[[#This Row],[House]]/All_India_Index_Upto_April23__1[[#This Row],[TOTAL BROADER CATEGORIES]]</f>
        <v>0.10132738384595298</v>
      </c>
      <c r="AI322" s="2">
        <f>All_India_Index_Upto_April23__1[[#This Row],[Cloth]]/All_India_Index_Upto_April23__1[[#This Row],[TOTAL BROADER CATEGORIES]]</f>
        <v>0.10238241306622907</v>
      </c>
      <c r="AJ322" s="2">
        <f>All_India_Index_Upto_April23__1[[#This Row],[Food]]/All_India_Index_Upto_April23__1[[#This Row],[TOTAL BROADER CATEGORIES]]</f>
        <v>0.10326974146477114</v>
      </c>
      <c r="AK322" s="2">
        <f>All_India_Index_Upto_April23__1[[#This Row],[Miscellaneous]]/All_India_Index_Upto_April23__1[[#This Row],[TOTAL BROADER CATEGORIES]]</f>
        <v>9.9321342370780136E-2</v>
      </c>
      <c r="AL322" s="2">
        <f>All_India_Index_Upto_April23__1[[#This Row],[Personal care and effects]]/All_India_Index_Upto_April23__1[[#This Row],[TOTAL BROADER CATEGORIES]]</f>
        <v>9.7270722196158996E-2</v>
      </c>
      <c r="AM322" s="2">
        <f>All_India_Index_Upto_April23__1[[#This Row],[Education]]/All_India_Index_Upto_April23__1[[#This Row],[TOTAL BROADER CATEGORIES]]</f>
        <v>0.10030207375864242</v>
      </c>
      <c r="AN322" s="2">
        <f>All_India_Index_Upto_April23__1[[#This Row],[Recreation and amusement]]/All_India_Index_Upto_April23__1[[#This Row],[TOTAL BROADER CATEGORIES]]</f>
        <v>9.9143027572986986E-2</v>
      </c>
      <c r="AO322" s="2">
        <f>All_India_Index_Upto_April23__1[[#This Row],[Transport and communication]]/All_India_Index_Upto_April23__1[[#This Row],[TOTAL BROADER CATEGORIES]]</f>
        <v>9.9143027572986986E-2</v>
      </c>
      <c r="AP322" s="2">
        <f>All_India_Index_Upto_April23__1[[#This Row],[Health]]/All_India_Index_Upto_April23__1[[#This Row],[TOTAL BROADER CATEGORIES]]</f>
        <v>9.896471277519385E-2</v>
      </c>
      <c r="AQ322" s="2">
        <f>All_India_Index_Upto_April23__1[[#This Row],[Fuel and light]]/All_India_Index_Upto_April23__1[[#This Row],[TOTAL BROADER CATEGORIES]]</f>
        <v>9.8875555376297275E-2</v>
      </c>
      <c r="AR322">
        <f>MONTH(1 &amp; All_India_Index_Upto_April23__1[[#This Row],[Month]])</f>
        <v>4</v>
      </c>
      <c r="AS322" s="19" t="str">
        <f>All_India_Index_Upto_April23__1[[#This Row],[MONTH IN NUM]]&amp;"/"&amp;All_India_Index_Upto_April23__1[[#This Row],[Year]]</f>
        <v>4/2014</v>
      </c>
      <c r="AT32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113.60000000000001</v>
      </c>
      <c r="AU32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1121.611904761905</v>
      </c>
    </row>
    <row r="323" spans="1:47" x14ac:dyDescent="0.3">
      <c r="A323" t="s">
        <v>32</v>
      </c>
      <c r="B323">
        <v>2014</v>
      </c>
      <c r="C323" t="s">
        <v>35</v>
      </c>
      <c r="D323">
        <v>122.1</v>
      </c>
      <c r="E323">
        <v>121.4</v>
      </c>
      <c r="F323">
        <v>121.5</v>
      </c>
      <c r="G323">
        <v>116.2</v>
      </c>
      <c r="H323">
        <v>102.8</v>
      </c>
      <c r="I323">
        <v>117.7</v>
      </c>
      <c r="J323">
        <v>113.3</v>
      </c>
      <c r="K323">
        <v>108.9</v>
      </c>
      <c r="L323">
        <v>96.3</v>
      </c>
      <c r="M323">
        <v>114.1</v>
      </c>
      <c r="N323">
        <v>112.2</v>
      </c>
      <c r="O323">
        <v>120.5</v>
      </c>
      <c r="P323">
        <v>116</v>
      </c>
      <c r="Q323">
        <v>116.7</v>
      </c>
      <c r="R323">
        <v>115.8</v>
      </c>
      <c r="S323">
        <v>112.1</v>
      </c>
      <c r="T323">
        <v>115.2</v>
      </c>
      <c r="U323">
        <v>113.2</v>
      </c>
      <c r="V323">
        <v>110.9</v>
      </c>
      <c r="W323">
        <v>113</v>
      </c>
      <c r="X323">
        <v>110.8</v>
      </c>
      <c r="Y323">
        <v>111.6</v>
      </c>
      <c r="Z323">
        <v>110.9</v>
      </c>
      <c r="AA323">
        <v>111.8</v>
      </c>
      <c r="AB323">
        <v>109.2</v>
      </c>
      <c r="AC323">
        <v>111.4</v>
      </c>
      <c r="AD323">
        <v>113.7</v>
      </c>
      <c r="AE323">
        <v>114.26428571428572</v>
      </c>
      <c r="AF323">
        <v>114.36666666666666</v>
      </c>
      <c r="AG323">
        <v>113.1</v>
      </c>
      <c r="AH323" s="2">
        <f>All_India_Index_Upto_April23__1[[#This Row],[House]]/All_India_Index_Upto_April23__1[[#This Row],[TOTAL BROADER CATEGORIES]]</f>
        <v>0.10113285316766694</v>
      </c>
      <c r="AI323" s="2">
        <f>All_India_Index_Upto_April23__1[[#This Row],[Cloth]]/All_India_Index_Upto_April23__1[[#This Row],[TOTAL BROADER CATEGORIES]]</f>
        <v>0.10226549343302839</v>
      </c>
      <c r="AJ323" s="2">
        <f>All_India_Index_Upto_April23__1[[#This Row],[Food]]/All_India_Index_Upto_April23__1[[#This Row],[TOTAL BROADER CATEGORIES]]</f>
        <v>0.1021739454416552</v>
      </c>
      <c r="AK323" s="2">
        <f>All_India_Index_Upto_April23__1[[#This Row],[Miscellaneous]]/All_India_Index_Upto_April23__1[[#This Row],[TOTAL BROADER CATEGORIES]]</f>
        <v>9.9612730706260824E-2</v>
      </c>
      <c r="AL323" s="2">
        <f>All_India_Index_Upto_April23__1[[#This Row],[Personal care and effects]]/All_India_Index_Upto_April23__1[[#This Row],[TOTAL BROADER CATEGORIES]]</f>
        <v>9.7645513403264647E-2</v>
      </c>
      <c r="AM323" s="2">
        <f>All_India_Index_Upto_April23__1[[#This Row],[Education]]/All_India_Index_Upto_April23__1[[#This Row],[TOTAL BROADER CATEGORIES]]</f>
        <v>9.997040657953285E-2</v>
      </c>
      <c r="AN323" s="2">
        <f>All_India_Index_Upto_April23__1[[#This Row],[Recreation and amusement]]/All_India_Index_Upto_April23__1[[#This Row],[TOTAL BROADER CATEGORIES]]</f>
        <v>9.9165635864670781E-2</v>
      </c>
      <c r="AO323" s="2">
        <f>All_India_Index_Upto_April23__1[[#This Row],[Transport and communication]]/All_India_Index_Upto_April23__1[[#This Row],[TOTAL BROADER CATEGORIES]]</f>
        <v>9.979156864289683E-2</v>
      </c>
      <c r="AP323" s="2">
        <f>All_India_Index_Upto_April23__1[[#This Row],[Health]]/All_India_Index_Upto_April23__1[[#This Row],[TOTAL BROADER CATEGORIES]]</f>
        <v>9.9076216896352778E-2</v>
      </c>
      <c r="AQ323" s="2">
        <f>All_India_Index_Upto_April23__1[[#This Row],[Fuel and light]]/All_India_Index_Upto_April23__1[[#This Row],[TOTAL BROADER CATEGORIES]]</f>
        <v>9.9165635864670781E-2</v>
      </c>
      <c r="AR323">
        <f>MONTH(1 &amp; All_India_Index_Upto_April23__1[[#This Row],[Month]])</f>
        <v>3</v>
      </c>
      <c r="AS323" s="19" t="str">
        <f>All_India_Index_Upto_April23__1[[#This Row],[MONTH IN NUM]]&amp;"/"&amp;All_India_Index_Upto_April23__1[[#This Row],[Year]]</f>
        <v>3/2014</v>
      </c>
      <c r="AT32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113.14285714285714</v>
      </c>
      <c r="AU32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1118.3309523809523</v>
      </c>
    </row>
    <row r="324" spans="1:47" x14ac:dyDescent="0.3">
      <c r="A324" t="s">
        <v>33</v>
      </c>
      <c r="B324">
        <v>2014</v>
      </c>
      <c r="C324" t="s">
        <v>35</v>
      </c>
      <c r="D324">
        <v>120.7</v>
      </c>
      <c r="E324">
        <v>119.3</v>
      </c>
      <c r="F324">
        <v>121</v>
      </c>
      <c r="G324">
        <v>116.1</v>
      </c>
      <c r="H324">
        <v>106.9</v>
      </c>
      <c r="I324">
        <v>118.7</v>
      </c>
      <c r="J324">
        <v>116.3</v>
      </c>
      <c r="K324">
        <v>109.8</v>
      </c>
      <c r="L324">
        <v>99.6</v>
      </c>
      <c r="M324">
        <v>111.8</v>
      </c>
      <c r="N324">
        <v>112.7</v>
      </c>
      <c r="O324">
        <v>119.3</v>
      </c>
      <c r="P324">
        <v>116.1</v>
      </c>
      <c r="Q324">
        <v>115.2</v>
      </c>
      <c r="R324">
        <v>116.8</v>
      </c>
      <c r="S324">
        <v>113.7</v>
      </c>
      <c r="T324">
        <v>116.4</v>
      </c>
      <c r="U324">
        <v>113.2</v>
      </c>
      <c r="V324">
        <v>112.5</v>
      </c>
      <c r="W324">
        <v>113.2</v>
      </c>
      <c r="X324">
        <v>111.2</v>
      </c>
      <c r="Y324">
        <v>111.4</v>
      </c>
      <c r="Z324">
        <v>110.6</v>
      </c>
      <c r="AA324">
        <v>112</v>
      </c>
      <c r="AB324">
        <v>109</v>
      </c>
      <c r="AC324">
        <v>111.3</v>
      </c>
      <c r="AD324">
        <v>114.2</v>
      </c>
      <c r="AE324">
        <v>114.53571428571426</v>
      </c>
      <c r="AF324">
        <v>115.63333333333333</v>
      </c>
      <c r="AG324">
        <v>113.2</v>
      </c>
      <c r="AH324" s="2">
        <f>All_India_Index_Upto_April23__1[[#This Row],[House]]/All_India_Index_Upto_April23__1[[#This Row],[TOTAL BROADER CATEGORIES]]</f>
        <v>0.1009480333351027</v>
      </c>
      <c r="AI324" s="2">
        <f>All_India_Index_Upto_April23__1[[#This Row],[Cloth]]/All_India_Index_Upto_April23__1[[#This Row],[TOTAL BROADER CATEGORIES]]</f>
        <v>0.10311799989383724</v>
      </c>
      <c r="AJ324" s="2">
        <f>All_India_Index_Upto_April23__1[[#This Row],[Food]]/All_India_Index_Upto_April23__1[[#This Row],[TOTAL BROADER CATEGORIES]]</f>
        <v>0.10213917936196186</v>
      </c>
      <c r="AK324" s="2">
        <f>All_India_Index_Upto_April23__1[[#This Row],[Miscellaneous]]/All_India_Index_Upto_April23__1[[#This Row],[TOTAL BROADER CATEGORIES]]</f>
        <v>9.9253675885131898E-2</v>
      </c>
      <c r="AL324" s="2">
        <f>All_India_Index_Upto_April23__1[[#This Row],[Personal care and effects]]/All_India_Index_Upto_April23__1[[#This Row],[TOTAL BROADER CATEGORIES]]</f>
        <v>9.7202611603588299E-2</v>
      </c>
      <c r="AM324" s="2">
        <f>All_India_Index_Upto_April23__1[[#This Row],[Education]]/All_India_Index_Upto_April23__1[[#This Row],[TOTAL BROADER CATEGORIES]]</f>
        <v>9.9877912840384303E-2</v>
      </c>
      <c r="AN324" s="2">
        <f>All_India_Index_Upto_April23__1[[#This Row],[Recreation and amusement]]/All_India_Index_Upto_April23__1[[#This Row],[TOTAL BROADER CATEGORIES]]</f>
        <v>9.8629438929879493E-2</v>
      </c>
      <c r="AO324" s="2">
        <f>All_India_Index_Upto_April23__1[[#This Row],[Transport and communication]]/All_India_Index_Upto_April23__1[[#This Row],[TOTAL BROADER CATEGORIES]]</f>
        <v>9.9342852593025111E-2</v>
      </c>
      <c r="AP324" s="2">
        <f>All_India_Index_Upto_April23__1[[#This Row],[Health]]/All_India_Index_Upto_April23__1[[#This Row],[TOTAL BROADER CATEGORIES]]</f>
        <v>9.9164499177238699E-2</v>
      </c>
      <c r="AQ324" s="2">
        <f>All_India_Index_Upto_April23__1[[#This Row],[Fuel and light]]/All_India_Index_Upto_April23__1[[#This Row],[TOTAL BROADER CATEGORIES]]</f>
        <v>0.1003237963798503</v>
      </c>
      <c r="AR324">
        <f>MONTH(1 &amp; All_India_Index_Upto_April23__1[[#This Row],[Month]])</f>
        <v>3</v>
      </c>
      <c r="AS324" s="19" t="str">
        <f>All_India_Index_Upto_April23__1[[#This Row],[MONTH IN NUM]]&amp;"/"&amp;All_India_Index_Upto_April23__1[[#This Row],[Year]]</f>
        <v>3/2014</v>
      </c>
      <c r="AT32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113.97142857142856</v>
      </c>
      <c r="AU32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1121.3690476190477</v>
      </c>
    </row>
    <row r="325" spans="1:47" x14ac:dyDescent="0.3">
      <c r="A325" t="s">
        <v>30</v>
      </c>
      <c r="B325">
        <v>2014</v>
      </c>
      <c r="C325" t="s">
        <v>35</v>
      </c>
      <c r="D325">
        <v>120.1</v>
      </c>
      <c r="E325">
        <v>118.1</v>
      </c>
      <c r="F325">
        <v>120.7</v>
      </c>
      <c r="G325">
        <v>116.1</v>
      </c>
      <c r="H325">
        <v>109.3</v>
      </c>
      <c r="I325">
        <v>119.6</v>
      </c>
      <c r="J325">
        <v>117.9</v>
      </c>
      <c r="K325">
        <v>110.2</v>
      </c>
      <c r="L325">
        <v>101.2</v>
      </c>
      <c r="M325">
        <v>110.7</v>
      </c>
      <c r="N325">
        <v>113</v>
      </c>
      <c r="O325">
        <v>118.3</v>
      </c>
      <c r="P325">
        <v>116.2</v>
      </c>
      <c r="Q325">
        <v>114.6</v>
      </c>
      <c r="R325">
        <v>117.5</v>
      </c>
      <c r="S325">
        <v>114.9</v>
      </c>
      <c r="T325">
        <v>117.2</v>
      </c>
      <c r="U325">
        <v>140.85</v>
      </c>
      <c r="V325">
        <v>113.4</v>
      </c>
      <c r="W325">
        <v>113.4</v>
      </c>
      <c r="X325">
        <v>111.4</v>
      </c>
      <c r="Y325">
        <v>111.2</v>
      </c>
      <c r="Z325">
        <v>110.2</v>
      </c>
      <c r="AA325">
        <v>112.4</v>
      </c>
      <c r="AB325">
        <v>108.9</v>
      </c>
      <c r="AC325">
        <v>111.3</v>
      </c>
      <c r="AD325">
        <v>114.6</v>
      </c>
      <c r="AE325">
        <v>114.71428571428571</v>
      </c>
      <c r="AF325">
        <v>116.53333333333335</v>
      </c>
      <c r="AG325">
        <v>127.125</v>
      </c>
      <c r="AH325" s="2">
        <f>All_India_Index_Upto_April23__1[[#This Row],[House]]/All_India_Index_Upto_April23__1[[#This Row],[TOTAL BROADER CATEGORIES]]</f>
        <v>0.11179041587060638</v>
      </c>
      <c r="AI325" s="2">
        <f>All_India_Index_Upto_April23__1[[#This Row],[Cloth]]/All_India_Index_Upto_April23__1[[#This Row],[TOTAL BROADER CATEGORIES]]</f>
        <v>0.10247637991049229</v>
      </c>
      <c r="AJ325" s="2">
        <f>All_India_Index_Upto_April23__1[[#This Row],[Food]]/All_India_Index_Upto_April23__1[[#This Row],[TOTAL BROADER CATEGORIES]]</f>
        <v>0.10087675678505062</v>
      </c>
      <c r="AK325" s="2">
        <f>All_India_Index_Upto_April23__1[[#This Row],[Miscellaneous]]/All_India_Index_Upto_April23__1[[#This Row],[TOTAL BROADER CATEGORIES]]</f>
        <v>9.7874322803527938E-2</v>
      </c>
      <c r="AL325" s="2">
        <f>All_India_Index_Upto_April23__1[[#This Row],[Personal care and effects]]/All_India_Index_Upto_April23__1[[#This Row],[TOTAL BROADER CATEGORIES]]</f>
        <v>9.5763825276767245E-2</v>
      </c>
      <c r="AM325" s="2">
        <f>All_India_Index_Upto_April23__1[[#This Row],[Education]]/All_India_Index_Upto_April23__1[[#This Row],[TOTAL BROADER CATEGORIES]]</f>
        <v>9.8841634169959947E-2</v>
      </c>
      <c r="AN325" s="2">
        <f>All_India_Index_Upto_April23__1[[#This Row],[Recreation and amusement]]/All_India_Index_Upto_April23__1[[#This Row],[TOTAL BROADER CATEGORIES]]</f>
        <v>9.6907011437095958E-2</v>
      </c>
      <c r="AO325" s="2">
        <f>All_India_Index_Upto_April23__1[[#This Row],[Transport and communication]]/All_India_Index_Upto_April23__1[[#This Row],[TOTAL BROADER CATEGORIES]]</f>
        <v>9.7786385406579579E-2</v>
      </c>
      <c r="AP325" s="2">
        <f>All_India_Index_Upto_April23__1[[#This Row],[Health]]/All_India_Index_Upto_April23__1[[#This Row],[TOTAL BROADER CATEGORIES]]</f>
        <v>9.7962260200476312E-2</v>
      </c>
      <c r="AQ325" s="2">
        <f>All_India_Index_Upto_April23__1[[#This Row],[Fuel and light]]/All_India_Index_Upto_April23__1[[#This Row],[TOTAL BROADER CATEGORIES]]</f>
        <v>9.9721008139443568E-2</v>
      </c>
      <c r="AR325">
        <f>MONTH(1 &amp; All_India_Index_Upto_April23__1[[#This Row],[Month]])</f>
        <v>3</v>
      </c>
      <c r="AS325" s="19" t="str">
        <f>All_India_Index_Upto_April23__1[[#This Row],[MONTH IN NUM]]&amp;"/"&amp;All_India_Index_Upto_April23__1[[#This Row],[Year]]</f>
        <v>3/2014</v>
      </c>
      <c r="AT32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118.52142857142859</v>
      </c>
      <c r="AU32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1137.1726190476193</v>
      </c>
    </row>
    <row r="326" spans="1:47" x14ac:dyDescent="0.3">
      <c r="A326" t="s">
        <v>30</v>
      </c>
      <c r="B326">
        <v>2014</v>
      </c>
      <c r="C326" t="s">
        <v>34</v>
      </c>
      <c r="D326">
        <v>119.4</v>
      </c>
      <c r="E326">
        <v>117.7</v>
      </c>
      <c r="F326">
        <v>121.2</v>
      </c>
      <c r="G326">
        <v>115</v>
      </c>
      <c r="H326">
        <v>109</v>
      </c>
      <c r="I326">
        <v>116.6</v>
      </c>
      <c r="J326">
        <v>116</v>
      </c>
      <c r="K326">
        <v>109.8</v>
      </c>
      <c r="L326">
        <v>101.1</v>
      </c>
      <c r="M326">
        <v>110.4</v>
      </c>
      <c r="N326">
        <v>112.9</v>
      </c>
      <c r="O326">
        <v>117.8</v>
      </c>
      <c r="P326">
        <v>115.3</v>
      </c>
      <c r="Q326">
        <v>114.2</v>
      </c>
      <c r="R326">
        <v>117.1</v>
      </c>
      <c r="S326">
        <v>114.5</v>
      </c>
      <c r="T326">
        <v>116.7</v>
      </c>
      <c r="U326">
        <v>140.85</v>
      </c>
      <c r="V326">
        <v>113.2</v>
      </c>
      <c r="W326">
        <v>112.9</v>
      </c>
      <c r="X326">
        <v>110.9</v>
      </c>
      <c r="Y326">
        <v>110.8</v>
      </c>
      <c r="Z326">
        <v>109.9</v>
      </c>
      <c r="AA326">
        <v>112</v>
      </c>
      <c r="AB326">
        <v>108.7</v>
      </c>
      <c r="AC326">
        <v>110.9</v>
      </c>
      <c r="AD326">
        <v>114</v>
      </c>
      <c r="AE326">
        <v>114.02857142857144</v>
      </c>
      <c r="AF326">
        <v>116.10000000000001</v>
      </c>
      <c r="AG326">
        <v>126.875</v>
      </c>
      <c r="AH326" s="2">
        <f>All_India_Index_Upto_April23__1[[#This Row],[House]]/All_India_Index_Upto_April23__1[[#This Row],[TOTAL BROADER CATEGORIES]]</f>
        <v>0.11194159185512662</v>
      </c>
      <c r="AI326" s="2">
        <f>All_India_Index_Upto_April23__1[[#This Row],[Cloth]]/All_India_Index_Upto_April23__1[[#This Row],[TOTAL BROADER CATEGORIES]]</f>
        <v>0.10243482809363706</v>
      </c>
      <c r="AJ326" s="2">
        <f>All_India_Index_Upto_April23__1[[#This Row],[Food]]/All_India_Index_Upto_April23__1[[#This Row],[TOTAL BROADER CATEGORIES]]</f>
        <v>0.10060721026743091</v>
      </c>
      <c r="AK326" s="2">
        <f>All_India_Index_Upto_April23__1[[#This Row],[Miscellaneous]]/All_India_Index_Upto_April23__1[[#This Row],[TOTAL BROADER CATEGORIES]]</f>
        <v>9.7846877136816099E-2</v>
      </c>
      <c r="AL326" s="2">
        <f>All_India_Index_Upto_April23__1[[#This Row],[Personal care and effects]]/All_India_Index_Upto_April23__1[[#This Row],[TOTAL BROADER CATEGORIES]]</f>
        <v>9.5905820962776472E-2</v>
      </c>
      <c r="AM326" s="2">
        <f>All_India_Index_Upto_April23__1[[#This Row],[Education]]/All_India_Index_Upto_April23__1[[#This Row],[TOTAL BROADER CATEGORIES]]</f>
        <v>9.8817405223835919E-2</v>
      </c>
      <c r="AN326" s="2">
        <f>All_India_Index_Upto_April23__1[[#This Row],[Recreation and amusement]]/All_India_Index_Upto_April23__1[[#This Row],[TOTAL BROADER CATEGORIES]]</f>
        <v>9.6964578875888996E-2</v>
      </c>
      <c r="AO326" s="2">
        <f>All_India_Index_Upto_April23__1[[#This Row],[Transport and communication]]/All_India_Index_Upto_April23__1[[#This Row],[TOTAL BROADER CATEGORIES]]</f>
        <v>9.7758647310723382E-2</v>
      </c>
      <c r="AP326" s="2">
        <f>All_India_Index_Upto_April23__1[[#This Row],[Health]]/All_India_Index_Upto_April23__1[[#This Row],[TOTAL BROADER CATEGORIES]]</f>
        <v>9.7846877136816099E-2</v>
      </c>
      <c r="AQ326" s="2">
        <f>All_India_Index_Upto_April23__1[[#This Row],[Fuel and light]]/All_India_Index_Upto_April23__1[[#This Row],[TOTAL BROADER CATEGORIES]]</f>
        <v>9.9876163136948443E-2</v>
      </c>
      <c r="AR326">
        <f>MONTH(1 &amp; All_India_Index_Upto_April23__1[[#This Row],[Month]])</f>
        <v>2</v>
      </c>
      <c r="AS326" s="19" t="str">
        <f>All_India_Index_Upto_April23__1[[#This Row],[MONTH IN NUM]]&amp;"/"&amp;All_India_Index_Upto_April23__1[[#This Row],[Year]]</f>
        <v>2/2014</v>
      </c>
      <c r="AT32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118.17857142857144</v>
      </c>
      <c r="AU32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1133.4035714285715</v>
      </c>
    </row>
    <row r="327" spans="1:47" x14ac:dyDescent="0.3">
      <c r="A327" t="s">
        <v>32</v>
      </c>
      <c r="B327">
        <v>2014</v>
      </c>
      <c r="C327" t="s">
        <v>34</v>
      </c>
      <c r="D327">
        <v>121.9</v>
      </c>
      <c r="E327">
        <v>122</v>
      </c>
      <c r="F327">
        <v>124.5</v>
      </c>
      <c r="G327">
        <v>115.2</v>
      </c>
      <c r="H327">
        <v>102.5</v>
      </c>
      <c r="I327">
        <v>114.1</v>
      </c>
      <c r="J327">
        <v>111.5</v>
      </c>
      <c r="K327">
        <v>108.2</v>
      </c>
      <c r="L327">
        <v>95.4</v>
      </c>
      <c r="M327">
        <v>113.5</v>
      </c>
      <c r="N327">
        <v>112.1</v>
      </c>
      <c r="O327">
        <v>119.9</v>
      </c>
      <c r="P327">
        <v>115.2</v>
      </c>
      <c r="Q327">
        <v>116.2</v>
      </c>
      <c r="R327">
        <v>115.3</v>
      </c>
      <c r="S327">
        <v>111.7</v>
      </c>
      <c r="T327">
        <v>114.7</v>
      </c>
      <c r="U327">
        <v>112.5</v>
      </c>
      <c r="V327">
        <v>111.1</v>
      </c>
      <c r="W327">
        <v>112.6</v>
      </c>
      <c r="X327">
        <v>110.4</v>
      </c>
      <c r="Y327">
        <v>111.3</v>
      </c>
      <c r="Z327">
        <v>110.3</v>
      </c>
      <c r="AA327">
        <v>111.6</v>
      </c>
      <c r="AB327">
        <v>108.7</v>
      </c>
      <c r="AC327">
        <v>111</v>
      </c>
      <c r="AD327">
        <v>113.1</v>
      </c>
      <c r="AE327">
        <v>113.72857142857143</v>
      </c>
      <c r="AF327">
        <v>113.89999999999999</v>
      </c>
      <c r="AG327">
        <v>112.55</v>
      </c>
      <c r="AH327" s="2">
        <f>All_India_Index_Upto_April23__1[[#This Row],[House]]/All_India_Index_Upto_April23__1[[#This Row],[TOTAL BROADER CATEGORIES]]</f>
        <v>0.1009798706750149</v>
      </c>
      <c r="AI327" s="2">
        <f>All_India_Index_Upto_April23__1[[#This Row],[Cloth]]/All_India_Index_Upto_April23__1[[#This Row],[TOTAL BROADER CATEGORIES]]</f>
        <v>0.10219109080305816</v>
      </c>
      <c r="AJ327" s="2">
        <f>All_India_Index_Upto_April23__1[[#This Row],[Food]]/All_India_Index_Upto_April23__1[[#This Row],[TOTAL BROADER CATEGORIES]]</f>
        <v>0.10203728507251299</v>
      </c>
      <c r="AK327" s="2">
        <f>All_India_Index_Upto_April23__1[[#This Row],[Miscellaneous]]/All_India_Index_Upto_April23__1[[#This Row],[TOTAL BROADER CATEGORIES]]</f>
        <v>9.958921052800225E-2</v>
      </c>
      <c r="AL327" s="2">
        <f>All_India_Index_Upto_April23__1[[#This Row],[Personal care and effects]]/All_India_Index_Upto_April23__1[[#This Row],[TOTAL BROADER CATEGORIES]]</f>
        <v>9.7525650309854467E-2</v>
      </c>
      <c r="AM327" s="2">
        <f>All_India_Index_Upto_April23__1[[#This Row],[Education]]/All_India_Index_Upto_April23__1[[#This Row],[TOTAL BROADER CATEGORIES]]</f>
        <v>0.10012753058491038</v>
      </c>
      <c r="AN327" s="2">
        <f>All_India_Index_Upto_April23__1[[#This Row],[Recreation and amusement]]/All_India_Index_Upto_April23__1[[#This Row],[TOTAL BROADER CATEGORIES]]</f>
        <v>9.8961170461609446E-2</v>
      </c>
      <c r="AO327" s="2">
        <f>All_India_Index_Upto_April23__1[[#This Row],[Transport and communication]]/All_India_Index_Upto_April23__1[[#This Row],[TOTAL BROADER CATEGORIES]]</f>
        <v>9.9858370556456313E-2</v>
      </c>
      <c r="AP327" s="2">
        <f>All_India_Index_Upto_April23__1[[#This Row],[Health]]/All_India_Index_Upto_April23__1[[#This Row],[TOTAL BROADER CATEGORIES]]</f>
        <v>9.9050890471094138E-2</v>
      </c>
      <c r="AQ327" s="2">
        <f>All_India_Index_Upto_April23__1[[#This Row],[Fuel and light]]/All_India_Index_Upto_April23__1[[#This Row],[TOTAL BROADER CATEGORIES]]</f>
        <v>9.9678930537486943E-2</v>
      </c>
      <c r="AR327">
        <f>MONTH(1 &amp; All_India_Index_Upto_April23__1[[#This Row],[Month]])</f>
        <v>2</v>
      </c>
      <c r="AS327" s="19" t="str">
        <f>All_India_Index_Upto_April23__1[[#This Row],[MONTH IN NUM]]&amp;"/"&amp;All_India_Index_Upto_April23__1[[#This Row],[Year]]</f>
        <v>2/2014</v>
      </c>
      <c r="AT32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112.78571428571429</v>
      </c>
      <c r="AU32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1114.5785714285714</v>
      </c>
    </row>
    <row r="328" spans="1:47" x14ac:dyDescent="0.3">
      <c r="A328" t="s">
        <v>33</v>
      </c>
      <c r="B328">
        <v>2014</v>
      </c>
      <c r="C328" t="s">
        <v>34</v>
      </c>
      <c r="D328">
        <v>120.2</v>
      </c>
      <c r="E328">
        <v>119.2</v>
      </c>
      <c r="F328">
        <v>122.5</v>
      </c>
      <c r="G328">
        <v>115.1</v>
      </c>
      <c r="H328">
        <v>106.6</v>
      </c>
      <c r="I328">
        <v>115.4</v>
      </c>
      <c r="J328">
        <v>114.5</v>
      </c>
      <c r="K328">
        <v>109.3</v>
      </c>
      <c r="L328">
        <v>99.2</v>
      </c>
      <c r="M328">
        <v>111.4</v>
      </c>
      <c r="N328">
        <v>112.6</v>
      </c>
      <c r="O328">
        <v>118.8</v>
      </c>
      <c r="P328">
        <v>115.3</v>
      </c>
      <c r="Q328">
        <v>114.7</v>
      </c>
      <c r="R328">
        <v>116.4</v>
      </c>
      <c r="S328">
        <v>113.3</v>
      </c>
      <c r="T328">
        <v>115.9</v>
      </c>
      <c r="U328">
        <v>112.5</v>
      </c>
      <c r="V328">
        <v>112.4</v>
      </c>
      <c r="W328">
        <v>112.8</v>
      </c>
      <c r="X328">
        <v>110.7</v>
      </c>
      <c r="Y328">
        <v>111.1</v>
      </c>
      <c r="Z328">
        <v>110.1</v>
      </c>
      <c r="AA328">
        <v>111.8</v>
      </c>
      <c r="AB328">
        <v>108.7</v>
      </c>
      <c r="AC328">
        <v>110.9</v>
      </c>
      <c r="AD328">
        <v>113.6</v>
      </c>
      <c r="AE328">
        <v>113.91428571428571</v>
      </c>
      <c r="AF328">
        <v>115.2</v>
      </c>
      <c r="AG328">
        <v>112.65</v>
      </c>
      <c r="AH328" s="2">
        <f>All_India_Index_Upto_April23__1[[#This Row],[House]]/All_India_Index_Upto_April23__1[[#This Row],[TOTAL BROADER CATEGORIES]]</f>
        <v>0.10080859087858353</v>
      </c>
      <c r="AI328" s="2">
        <f>All_India_Index_Upto_April23__1[[#This Row],[Cloth]]/All_India_Index_Upto_April23__1[[#This Row],[TOTAL BROADER CATEGORIES]]</f>
        <v>0.10309054300233308</v>
      </c>
      <c r="AJ328" s="2">
        <f>All_India_Index_Upto_April23__1[[#This Row],[Food]]/All_India_Index_Upto_April23__1[[#This Row],[TOTAL BROADER CATEGORIES]]</f>
        <v>0.1019399789063249</v>
      </c>
      <c r="AK328" s="2">
        <f>All_India_Index_Upto_April23__1[[#This Row],[Miscellaneous]]/All_India_Index_Upto_April23__1[[#This Row],[TOTAL BROADER CATEGORIES]]</f>
        <v>9.9242545303461285E-2</v>
      </c>
      <c r="AL328" s="2">
        <f>All_India_Index_Upto_April23__1[[#This Row],[Personal care and effects]]/All_India_Index_Upto_April23__1[[#This Row],[TOTAL BROADER CATEGORIES]]</f>
        <v>9.7273802294736172E-2</v>
      </c>
      <c r="AM328" s="2">
        <f>All_India_Index_Upto_April23__1[[#This Row],[Education]]/All_India_Index_Upto_April23__1[[#This Row],[TOTAL BROADER CATEGORIES]]</f>
        <v>0.100047940170667</v>
      </c>
      <c r="AN328" s="2">
        <f>All_India_Index_Upto_April23__1[[#This Row],[Recreation and amusement]]/All_India_Index_Upto_April23__1[[#This Row],[TOTAL BROADER CATEGORIES]]</f>
        <v>9.8526638754833959E-2</v>
      </c>
      <c r="AO328" s="2">
        <f>All_India_Index_Upto_April23__1[[#This Row],[Transport and communication]]/All_India_Index_Upto_April23__1[[#This Row],[TOTAL BROADER CATEGORIES]]</f>
        <v>9.9421521940618096E-2</v>
      </c>
      <c r="AP328" s="2">
        <f>All_India_Index_Upto_April23__1[[#This Row],[Health]]/All_India_Index_Upto_April23__1[[#This Row],[TOTAL BROADER CATEGORIES]]</f>
        <v>9.9063568666304447E-2</v>
      </c>
      <c r="AQ328" s="2">
        <f>All_India_Index_Upto_April23__1[[#This Row],[Fuel and light]]/All_India_Index_Upto_April23__1[[#This Row],[TOTAL BROADER CATEGORIES]]</f>
        <v>0.1005848700821375</v>
      </c>
      <c r="AR328">
        <f>MONTH(1 &amp; All_India_Index_Upto_April23__1[[#This Row],[Month]])</f>
        <v>2</v>
      </c>
      <c r="AS328" s="19" t="str">
        <f>All_India_Index_Upto_April23__1[[#This Row],[MONTH IN NUM]]&amp;"/"&amp;All_India_Index_Upto_April23__1[[#This Row],[Year]]</f>
        <v>2/2014</v>
      </c>
      <c r="AT32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113.58571428571427</v>
      </c>
      <c r="AU32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1117.4642857142858</v>
      </c>
    </row>
    <row r="329" spans="1:47" x14ac:dyDescent="0.3">
      <c r="A329" t="s">
        <v>33</v>
      </c>
      <c r="B329">
        <v>2014</v>
      </c>
      <c r="C329" t="s">
        <v>31</v>
      </c>
      <c r="D329">
        <v>119.6</v>
      </c>
      <c r="E329">
        <v>118.8</v>
      </c>
      <c r="F329">
        <v>124.1</v>
      </c>
      <c r="G329">
        <v>114.1</v>
      </c>
      <c r="H329">
        <v>106.8</v>
      </c>
      <c r="I329">
        <v>113.9</v>
      </c>
      <c r="J329">
        <v>122.2</v>
      </c>
      <c r="K329">
        <v>108.9</v>
      </c>
      <c r="L329">
        <v>100.2</v>
      </c>
      <c r="M329">
        <v>111</v>
      </c>
      <c r="N329">
        <v>112.3</v>
      </c>
      <c r="O329">
        <v>118.1</v>
      </c>
      <c r="P329">
        <v>115.8</v>
      </c>
      <c r="Q329">
        <v>114.5</v>
      </c>
      <c r="R329">
        <v>115.8</v>
      </c>
      <c r="S329">
        <v>113.2</v>
      </c>
      <c r="T329">
        <v>115.4</v>
      </c>
      <c r="U329">
        <v>111.6</v>
      </c>
      <c r="V329">
        <v>112.2</v>
      </c>
      <c r="W329">
        <v>112.3</v>
      </c>
      <c r="X329">
        <v>110.3</v>
      </c>
      <c r="Y329">
        <v>110.7</v>
      </c>
      <c r="Z329">
        <v>109.7</v>
      </c>
      <c r="AA329">
        <v>111.6</v>
      </c>
      <c r="AB329">
        <v>108.2</v>
      </c>
      <c r="AC329">
        <v>110.6</v>
      </c>
      <c r="AD329">
        <v>113.6</v>
      </c>
      <c r="AE329">
        <v>114.30714285714284</v>
      </c>
      <c r="AF329">
        <v>114.8</v>
      </c>
      <c r="AG329">
        <v>111.94999999999999</v>
      </c>
      <c r="AH329" s="2">
        <f>All_India_Index_Upto_April23__1[[#This Row],[House]]/All_India_Index_Upto_April23__1[[#This Row],[TOTAL BROADER CATEGORIES]]</f>
        <v>0.10046150887763604</v>
      </c>
      <c r="AI329" s="2">
        <f>All_India_Index_Upto_April23__1[[#This Row],[Cloth]]/All_India_Index_Upto_April23__1[[#This Row],[TOTAL BROADER CATEGORIES]]</f>
        <v>0.10301903724120248</v>
      </c>
      <c r="AJ329" s="2">
        <f>All_India_Index_Upto_April23__1[[#This Row],[Food]]/All_India_Index_Upto_April23__1[[#This Row],[TOTAL BROADER CATEGORIES]]</f>
        <v>0.10257675790013458</v>
      </c>
      <c r="AK329" s="2">
        <f>All_India_Index_Upto_April23__1[[#This Row],[Miscellaneous]]/All_India_Index_Upto_April23__1[[#This Row],[TOTAL BROADER CATEGORIES]]</f>
        <v>9.9250048073841413E-2</v>
      </c>
      <c r="AL329" s="2">
        <f>All_India_Index_Upto_April23__1[[#This Row],[Personal care and effects]]/All_India_Index_Upto_April23__1[[#This Row],[TOTAL BROADER CATEGORIES]]</f>
        <v>9.709633997820652E-2</v>
      </c>
      <c r="AM329" s="2">
        <f>All_India_Index_Upto_April23__1[[#This Row],[Education]]/All_India_Index_Upto_April23__1[[#This Row],[TOTAL BROADER CATEGORIES]]</f>
        <v>0.10014742644702262</v>
      </c>
      <c r="AN329" s="2">
        <f>All_India_Index_Upto_April23__1[[#This Row],[Recreation and amusement]]/All_India_Index_Upto_April23__1[[#This Row],[TOTAL BROADER CATEGORIES]]</f>
        <v>9.8442407537978338E-2</v>
      </c>
      <c r="AO329" s="2">
        <f>All_India_Index_Upto_April23__1[[#This Row],[Transport and communication]]/All_India_Index_Upto_April23__1[[#This Row],[TOTAL BROADER CATEGORIES]]</f>
        <v>9.9339785911159537E-2</v>
      </c>
      <c r="AP329" s="2">
        <f>All_India_Index_Upto_April23__1[[#This Row],[Health]]/All_India_Index_Upto_April23__1[[#This Row],[TOTAL BROADER CATEGORIES]]</f>
        <v>9.8980834561887054E-2</v>
      </c>
      <c r="AQ329" s="2">
        <f>All_India_Index_Upto_April23__1[[#This Row],[Fuel and light]]/All_India_Index_Upto_April23__1[[#This Row],[TOTAL BROADER CATEGORIES]]</f>
        <v>0.10068585347093136</v>
      </c>
      <c r="AR329">
        <f>MONTH(1 &amp; All_India_Index_Upto_April23__1[[#This Row],[Month]])</f>
        <v>1</v>
      </c>
      <c r="AS329" s="19" t="str">
        <f>All_India_Index_Upto_April23__1[[#This Row],[MONTH IN NUM]]&amp;"/"&amp;All_India_Index_Upto_April23__1[[#This Row],[Year]]</f>
        <v>1/2014</v>
      </c>
      <c r="AT32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113.15714285714284</v>
      </c>
      <c r="AU32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1114.3571428571429</v>
      </c>
    </row>
    <row r="330" spans="1:47" x14ac:dyDescent="0.3">
      <c r="A330" t="s">
        <v>30</v>
      </c>
      <c r="B330">
        <v>2014</v>
      </c>
      <c r="C330" t="s">
        <v>31</v>
      </c>
      <c r="D330">
        <v>118.9</v>
      </c>
      <c r="E330">
        <v>117.1</v>
      </c>
      <c r="F330">
        <v>120.5</v>
      </c>
      <c r="G330">
        <v>114.4</v>
      </c>
      <c r="H330">
        <v>109</v>
      </c>
      <c r="I330">
        <v>115.5</v>
      </c>
      <c r="J330">
        <v>123.9</v>
      </c>
      <c r="K330">
        <v>109.6</v>
      </c>
      <c r="L330">
        <v>101.8</v>
      </c>
      <c r="M330">
        <v>110.2</v>
      </c>
      <c r="N330">
        <v>112.4</v>
      </c>
      <c r="O330">
        <v>117.3</v>
      </c>
      <c r="P330">
        <v>116</v>
      </c>
      <c r="Q330">
        <v>114</v>
      </c>
      <c r="R330">
        <v>116.5</v>
      </c>
      <c r="S330">
        <v>114.5</v>
      </c>
      <c r="T330">
        <v>116.2</v>
      </c>
      <c r="U330">
        <v>140.85</v>
      </c>
      <c r="V330">
        <v>113</v>
      </c>
      <c r="W330">
        <v>112.6</v>
      </c>
      <c r="X330">
        <v>110.6</v>
      </c>
      <c r="Y330">
        <v>110.5</v>
      </c>
      <c r="Z330">
        <v>109.6</v>
      </c>
      <c r="AA330">
        <v>111.8</v>
      </c>
      <c r="AB330">
        <v>108.3</v>
      </c>
      <c r="AC330">
        <v>110.6</v>
      </c>
      <c r="AD330">
        <v>114.2</v>
      </c>
      <c r="AE330">
        <v>114.32857142857144</v>
      </c>
      <c r="AF330">
        <v>115.73333333333333</v>
      </c>
      <c r="AG330">
        <v>126.72499999999999</v>
      </c>
      <c r="AH330" s="2">
        <f>All_India_Index_Upto_April23__1[[#This Row],[House]]/All_India_Index_Upto_April23__1[[#This Row],[TOTAL BROADER CATEGORIES]]</f>
        <v>0.1120283478057708</v>
      </c>
      <c r="AI330" s="2">
        <f>All_India_Index_Upto_April23__1[[#This Row],[Cloth]]/All_India_Index_Upto_April23__1[[#This Row],[TOTAL BROADER CATEGORIES]]</f>
        <v>0.10231141542227559</v>
      </c>
      <c r="AJ330" s="2">
        <f>All_India_Index_Upto_April23__1[[#This Row],[Food]]/All_India_Index_Upto_April23__1[[#This Row],[TOTAL BROADER CATEGORIES]]</f>
        <v>0.10106956767912338</v>
      </c>
      <c r="AK330" s="2">
        <f>All_India_Index_Upto_April23__1[[#This Row],[Miscellaneous]]/All_India_Index_Upto_April23__1[[#This Row],[TOTAL BROADER CATEGORIES]]</f>
        <v>9.7773409093061744E-2</v>
      </c>
      <c r="AL330" s="2">
        <f>All_India_Index_Upto_April23__1[[#This Row],[Personal care and effects]]/All_India_Index_Upto_April23__1[[#This Row],[TOTAL BROADER CATEGORIES]]</f>
        <v>9.5740146516985425E-2</v>
      </c>
      <c r="AM330" s="2">
        <f>All_India_Index_Upto_April23__1[[#This Row],[Education]]/All_India_Index_Upto_April23__1[[#This Row],[TOTAL BROADER CATEGORIES]]</f>
        <v>9.8834241741449405E-2</v>
      </c>
      <c r="AN330" s="2">
        <f>All_India_Index_Upto_April23__1[[#This Row],[Recreation and amusement]]/All_India_Index_Upto_April23__1[[#This Row],[TOTAL BROADER CATEGORIES]]</f>
        <v>9.6889381886072046E-2</v>
      </c>
      <c r="AO330" s="2">
        <f>All_India_Index_Upto_April23__1[[#This Row],[Transport and communication]]/All_India_Index_Upto_April23__1[[#This Row],[TOTAL BROADER CATEGORIES]]</f>
        <v>9.7685006372362784E-2</v>
      </c>
      <c r="AP330" s="2">
        <f>All_India_Index_Upto_April23__1[[#This Row],[Health]]/All_India_Index_Upto_April23__1[[#This Row],[TOTAL BROADER CATEGORIES]]</f>
        <v>9.7773409093061744E-2</v>
      </c>
      <c r="AQ330" s="2">
        <f>All_India_Index_Upto_April23__1[[#This Row],[Fuel and light]]/All_India_Index_Upto_April23__1[[#This Row],[TOTAL BROADER CATEGORIES]]</f>
        <v>9.9895074389837052E-2</v>
      </c>
      <c r="AR330">
        <f>MONTH(1 &amp; All_India_Index_Upto_April23__1[[#This Row],[Month]])</f>
        <v>1</v>
      </c>
      <c r="AS330" s="19" t="str">
        <f>All_India_Index_Upto_April23__1[[#This Row],[MONTH IN NUM]]&amp;"/"&amp;All_India_Index_Upto_April23__1[[#This Row],[Year]]</f>
        <v>1/2014</v>
      </c>
      <c r="AT33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117.92142857142858</v>
      </c>
      <c r="AU33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1131.1869047619048</v>
      </c>
    </row>
    <row r="331" spans="1:47" x14ac:dyDescent="0.3">
      <c r="A331" t="s">
        <v>32</v>
      </c>
      <c r="B331">
        <v>2014</v>
      </c>
      <c r="C331" t="s">
        <v>31</v>
      </c>
      <c r="D331">
        <v>121.2</v>
      </c>
      <c r="E331">
        <v>122</v>
      </c>
      <c r="F331">
        <v>129.9</v>
      </c>
      <c r="G331">
        <v>113.6</v>
      </c>
      <c r="H331">
        <v>102.9</v>
      </c>
      <c r="I331">
        <v>112.1</v>
      </c>
      <c r="J331">
        <v>118.9</v>
      </c>
      <c r="K331">
        <v>107.5</v>
      </c>
      <c r="L331">
        <v>96.9</v>
      </c>
      <c r="M331">
        <v>112.7</v>
      </c>
      <c r="N331">
        <v>112.1</v>
      </c>
      <c r="O331">
        <v>119</v>
      </c>
      <c r="P331">
        <v>115.5</v>
      </c>
      <c r="Q331">
        <v>115.7</v>
      </c>
      <c r="R331">
        <v>114.8</v>
      </c>
      <c r="S331">
        <v>111.3</v>
      </c>
      <c r="T331">
        <v>114.3</v>
      </c>
      <c r="U331">
        <v>111.6</v>
      </c>
      <c r="V331">
        <v>111</v>
      </c>
      <c r="W331">
        <v>111.9</v>
      </c>
      <c r="X331">
        <v>109.7</v>
      </c>
      <c r="Y331">
        <v>110.8</v>
      </c>
      <c r="Z331">
        <v>109.8</v>
      </c>
      <c r="AA331">
        <v>111.5</v>
      </c>
      <c r="AB331">
        <v>108</v>
      </c>
      <c r="AC331">
        <v>110.5</v>
      </c>
      <c r="AD331">
        <v>112.9</v>
      </c>
      <c r="AE331">
        <v>114.28571428571429</v>
      </c>
      <c r="AF331">
        <v>113.46666666666665</v>
      </c>
      <c r="AG331">
        <v>111.75</v>
      </c>
      <c r="AH331" s="2">
        <f>All_India_Index_Upto_April23__1[[#This Row],[House]]/All_India_Index_Upto_April23__1[[#This Row],[TOTAL BROADER CATEGORIES]]</f>
        <v>0.1006029532491528</v>
      </c>
      <c r="AI331" s="2">
        <f>All_India_Index_Upto_April23__1[[#This Row],[Cloth]]/All_India_Index_Upto_April23__1[[#This Row],[TOTAL BROADER CATEGORIES]]</f>
        <v>0.10214838265775275</v>
      </c>
      <c r="AJ331" s="2">
        <f>All_India_Index_Upto_April23__1[[#This Row],[Food]]/All_India_Index_Upto_April23__1[[#This Row],[TOTAL BROADER CATEGORIES]]</f>
        <v>0.10288573039223042</v>
      </c>
      <c r="AK331" s="2">
        <f>All_India_Index_Upto_April23__1[[#This Row],[Miscellaneous]]/All_India_Index_Upto_April23__1[[#This Row],[TOTAL BROADER CATEGORIES]]</f>
        <v>9.9477640572987788E-2</v>
      </c>
      <c r="AL331" s="2">
        <f>All_India_Index_Upto_April23__1[[#This Row],[Personal care and effects]]/All_India_Index_Upto_April23__1[[#This Row],[TOTAL BROADER CATEGORIES]]</f>
        <v>9.7227015220657742E-2</v>
      </c>
      <c r="AM331" s="2">
        <f>All_India_Index_Upto_April23__1[[#This Row],[Education]]/All_India_Index_Upto_April23__1[[#This Row],[TOTAL BROADER CATEGORIES]]</f>
        <v>0.10037789071391981</v>
      </c>
      <c r="AN331" s="2">
        <f>All_India_Index_Upto_April23__1[[#This Row],[Recreation and amusement]]/All_India_Index_Upto_April23__1[[#This Row],[TOTAL BROADER CATEGORIES]]</f>
        <v>9.8847465474335372E-2</v>
      </c>
      <c r="AO331" s="2">
        <f>All_India_Index_Upto_April23__1[[#This Row],[Transport and communication]]/All_India_Index_Upto_April23__1[[#This Row],[TOTAL BROADER CATEGORIES]]</f>
        <v>9.9747715615267393E-2</v>
      </c>
      <c r="AP331" s="2">
        <f>All_India_Index_Upto_April23__1[[#This Row],[Health]]/All_India_Index_Upto_April23__1[[#This Row],[TOTAL BROADER CATEGORIES]]</f>
        <v>9.875744046024218E-2</v>
      </c>
      <c r="AQ331" s="2">
        <f>All_India_Index_Upto_April23__1[[#This Row],[Fuel and light]]/All_India_Index_Upto_April23__1[[#This Row],[TOTAL BROADER CATEGORIES]]</f>
        <v>9.9927765643453792E-2</v>
      </c>
      <c r="AR331">
        <f>MONTH(1 &amp; All_India_Index_Upto_April23__1[[#This Row],[Month]])</f>
        <v>1</v>
      </c>
      <c r="AS331" s="19" t="str">
        <f>All_India_Index_Upto_April23__1[[#This Row],[MONTH IN NUM]]&amp;"/"&amp;All_India_Index_Upto_April23__1[[#This Row],[Year]]</f>
        <v>1/2014</v>
      </c>
      <c r="AT33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112.34285714285713</v>
      </c>
      <c r="AU33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1110.8023809523809</v>
      </c>
    </row>
    <row r="332" spans="1:47" x14ac:dyDescent="0.3">
      <c r="A332" t="s">
        <v>32</v>
      </c>
      <c r="B332">
        <v>2013</v>
      </c>
      <c r="C332" t="s">
        <v>44</v>
      </c>
      <c r="D332">
        <v>120.5</v>
      </c>
      <c r="E332">
        <v>118.1</v>
      </c>
      <c r="F332">
        <v>128.5</v>
      </c>
      <c r="G332">
        <v>112.8</v>
      </c>
      <c r="H332">
        <v>103.4</v>
      </c>
      <c r="I332">
        <v>110.7</v>
      </c>
      <c r="J332">
        <v>144.80000000000001</v>
      </c>
      <c r="K332">
        <v>107.1</v>
      </c>
      <c r="L332">
        <v>98.6</v>
      </c>
      <c r="M332">
        <v>111.9</v>
      </c>
      <c r="N332">
        <v>112.1</v>
      </c>
      <c r="O332">
        <v>118.1</v>
      </c>
      <c r="P332">
        <v>117.8</v>
      </c>
      <c r="Q332">
        <v>115</v>
      </c>
      <c r="R332">
        <v>114.2</v>
      </c>
      <c r="S332">
        <v>110.9</v>
      </c>
      <c r="T332">
        <v>113.7</v>
      </c>
      <c r="U332">
        <v>110.7</v>
      </c>
      <c r="V332">
        <v>110.4</v>
      </c>
      <c r="W332">
        <v>111.3</v>
      </c>
      <c r="X332">
        <v>109</v>
      </c>
      <c r="Y332">
        <v>109.7</v>
      </c>
      <c r="Z332">
        <v>108.9</v>
      </c>
      <c r="AA332">
        <v>111.4</v>
      </c>
      <c r="AB332">
        <v>107.7</v>
      </c>
      <c r="AC332">
        <v>109.8</v>
      </c>
      <c r="AD332">
        <v>113.3</v>
      </c>
      <c r="AE332">
        <v>115.67142857142858</v>
      </c>
      <c r="AF332">
        <v>112.93333333333334</v>
      </c>
      <c r="AG332">
        <v>111</v>
      </c>
      <c r="AH332" s="2">
        <f>All_India_Index_Upto_April23__1[[#This Row],[House]]/All_India_Index_Upto_April23__1[[#This Row],[TOTAL BROADER CATEGORIES]]</f>
        <v>0.10031588098086638</v>
      </c>
      <c r="AI332" s="2">
        <f>All_India_Index_Upto_April23__1[[#This Row],[Cloth]]/All_India_Index_Upto_April23__1[[#This Row],[TOTAL BROADER CATEGORIES]]</f>
        <v>0.10206312455350609</v>
      </c>
      <c r="AJ332" s="2">
        <f>All_India_Index_Upto_April23__1[[#This Row],[Food]]/All_India_Index_Upto_April23__1[[#This Row],[TOTAL BROADER CATEGORIES]]</f>
        <v>0.10453766902214609</v>
      </c>
      <c r="AK332" s="2">
        <f>All_India_Index_Upto_April23__1[[#This Row],[Miscellaneous]]/All_India_Index_Upto_April23__1[[#This Row],[TOTAL BROADER CATEGORIES]]</f>
        <v>9.9231384970262418E-2</v>
      </c>
      <c r="AL332" s="2">
        <f>All_India_Index_Upto_April23__1[[#This Row],[Personal care and effects]]/All_India_Index_Upto_April23__1[[#This Row],[TOTAL BROADER CATEGORIES]]</f>
        <v>9.7333516951705487E-2</v>
      </c>
      <c r="AM332" s="2">
        <f>All_India_Index_Upto_April23__1[[#This Row],[Education]]/All_India_Index_Upto_April23__1[[#This Row],[TOTAL BROADER CATEGORIES]]</f>
        <v>0.1006773796510677</v>
      </c>
      <c r="AN332" s="2">
        <f>All_India_Index_Upto_April23__1[[#This Row],[Recreation and amusement]]/All_India_Index_Upto_April23__1[[#This Row],[TOTAL BROADER CATEGORIES]]</f>
        <v>9.8418012962309454E-2</v>
      </c>
      <c r="AO332" s="2">
        <f>All_India_Index_Upto_April23__1[[#This Row],[Transport and communication]]/All_India_Index_Upto_April23__1[[#This Row],[TOTAL BROADER CATEGORIES]]</f>
        <v>9.9141010302712093E-2</v>
      </c>
      <c r="AP332" s="2">
        <f>All_India_Index_Upto_April23__1[[#This Row],[Health]]/All_India_Index_Upto_April23__1[[#This Row],[TOTAL BROADER CATEGORIES]]</f>
        <v>9.8508387629859778E-2</v>
      </c>
      <c r="AQ332" s="2">
        <f>All_India_Index_Upto_April23__1[[#This Row],[Fuel and light]]/All_India_Index_Upto_April23__1[[#This Row],[TOTAL BROADER CATEGORIES]]</f>
        <v>9.9773632975564408E-2</v>
      </c>
      <c r="AR332">
        <f>MONTH(1 &amp; All_India_Index_Upto_April23__1[[#This Row],[Month]])</f>
        <v>12</v>
      </c>
      <c r="AS332" s="19" t="str">
        <f>All_India_Index_Upto_April23__1[[#This Row],[MONTH IN NUM]]&amp;"/"&amp;All_India_Index_Upto_April23__1[[#This Row],[Year]]</f>
        <v>12/2013</v>
      </c>
      <c r="AT33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111.8</v>
      </c>
      <c r="AU33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1106.5047619047621</v>
      </c>
    </row>
    <row r="333" spans="1:47" x14ac:dyDescent="0.3">
      <c r="A333" t="s">
        <v>33</v>
      </c>
      <c r="B333">
        <v>2013</v>
      </c>
      <c r="C333" t="s">
        <v>44</v>
      </c>
      <c r="D333">
        <v>119.1</v>
      </c>
      <c r="E333">
        <v>116.7</v>
      </c>
      <c r="F333">
        <v>123.5</v>
      </c>
      <c r="G333">
        <v>113.4</v>
      </c>
      <c r="H333">
        <v>107.3</v>
      </c>
      <c r="I333">
        <v>113.3</v>
      </c>
      <c r="J333">
        <v>145.4</v>
      </c>
      <c r="K333">
        <v>108.7</v>
      </c>
      <c r="L333">
        <v>101.5</v>
      </c>
      <c r="M333">
        <v>110.5</v>
      </c>
      <c r="N333">
        <v>112.1</v>
      </c>
      <c r="O333">
        <v>117.4</v>
      </c>
      <c r="P333">
        <v>118.4</v>
      </c>
      <c r="Q333">
        <v>114</v>
      </c>
      <c r="R333">
        <v>115.2</v>
      </c>
      <c r="S333">
        <v>112.7</v>
      </c>
      <c r="T333">
        <v>114.8</v>
      </c>
      <c r="U333">
        <v>110.7</v>
      </c>
      <c r="V333">
        <v>111.9</v>
      </c>
      <c r="W333">
        <v>111.7</v>
      </c>
      <c r="X333">
        <v>109.7</v>
      </c>
      <c r="Y333">
        <v>109.8</v>
      </c>
      <c r="Z333">
        <v>109</v>
      </c>
      <c r="AA333">
        <v>111.5</v>
      </c>
      <c r="AB333">
        <v>107.9</v>
      </c>
      <c r="AC333">
        <v>110</v>
      </c>
      <c r="AD333">
        <v>114.5</v>
      </c>
      <c r="AE333">
        <v>115.80714285714286</v>
      </c>
      <c r="AF333">
        <v>114.23333333333333</v>
      </c>
      <c r="AG333">
        <v>111.2</v>
      </c>
      <c r="AH333" s="2">
        <f>All_India_Index_Upto_April23__1[[#This Row],[House]]/All_India_Index_Upto_April23__1[[#This Row],[TOTAL BROADER CATEGORIES]]</f>
        <v>0.10008636263305309</v>
      </c>
      <c r="AI333" s="2">
        <f>All_India_Index_Upto_April23__1[[#This Row],[Cloth]]/All_India_Index_Upto_April23__1[[#This Row],[TOTAL BROADER CATEGORIES]]</f>
        <v>0.10281653619408662</v>
      </c>
      <c r="AJ333" s="2">
        <f>All_India_Index_Upto_April23__1[[#This Row],[Food]]/All_India_Index_Upto_April23__1[[#This Row],[TOTAL BROADER CATEGORIES]]</f>
        <v>0.10423305481562756</v>
      </c>
      <c r="AK333" s="2">
        <f>All_India_Index_Upto_April23__1[[#This Row],[Miscellaneous]]/All_India_Index_Upto_April23__1[[#This Row],[TOTAL BROADER CATEGORIES]]</f>
        <v>9.9006293971545326E-2</v>
      </c>
      <c r="AL333" s="2">
        <f>All_India_Index_Upto_April23__1[[#This Row],[Personal care and effects]]/All_India_Index_Upto_April23__1[[#This Row],[TOTAL BROADER CATEGORIES]]</f>
        <v>9.7116173813906734E-2</v>
      </c>
      <c r="AM333" s="2">
        <f>All_India_Index_Upto_April23__1[[#This Row],[Education]]/All_India_Index_Upto_April23__1[[#This Row],[TOTAL BROADER CATEGORIES]]</f>
        <v>0.10035637979843004</v>
      </c>
      <c r="AN333" s="2">
        <f>All_India_Index_Upto_April23__1[[#This Row],[Recreation and amusement]]/All_India_Index_Upto_April23__1[[#This Row],[TOTAL BROADER CATEGORIES]]</f>
        <v>9.8106236753622192E-2</v>
      </c>
      <c r="AO333" s="2">
        <f>All_India_Index_Upto_April23__1[[#This Row],[Transport and communication]]/All_India_Index_Upto_April23__1[[#This Row],[TOTAL BROADER CATEGORIES]]</f>
        <v>9.882628252796069E-2</v>
      </c>
      <c r="AP333" s="2">
        <f>All_India_Index_Upto_April23__1[[#This Row],[Health]]/All_India_Index_Upto_April23__1[[#This Row],[TOTAL BROADER CATEGORIES]]</f>
        <v>9.873627680616838E-2</v>
      </c>
      <c r="AQ333" s="2">
        <f>All_India_Index_Upto_April23__1[[#This Row],[Fuel and light]]/All_India_Index_Upto_April23__1[[#This Row],[TOTAL BROADER CATEGORIES]]</f>
        <v>0.1007164026855993</v>
      </c>
      <c r="AR333">
        <f>MONTH(1 &amp; All_India_Index_Upto_April23__1[[#This Row],[Month]])</f>
        <v>12</v>
      </c>
      <c r="AS333" s="19" t="str">
        <f>All_India_Index_Upto_April23__1[[#This Row],[MONTH IN NUM]]&amp;"/"&amp;All_India_Index_Upto_April23__1[[#This Row],[Year]]</f>
        <v>12/2013</v>
      </c>
      <c r="AT33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112.64285714285715</v>
      </c>
      <c r="AU33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1111.0404761904763</v>
      </c>
    </row>
    <row r="334" spans="1:47" x14ac:dyDescent="0.3">
      <c r="A334" t="s">
        <v>30</v>
      </c>
      <c r="B334">
        <v>2013</v>
      </c>
      <c r="C334" t="s">
        <v>44</v>
      </c>
      <c r="D334">
        <v>118.4</v>
      </c>
      <c r="E334">
        <v>115.9</v>
      </c>
      <c r="F334">
        <v>120.4</v>
      </c>
      <c r="G334">
        <v>113.8</v>
      </c>
      <c r="H334">
        <v>109.5</v>
      </c>
      <c r="I334">
        <v>115.5</v>
      </c>
      <c r="J334">
        <v>145.69999999999999</v>
      </c>
      <c r="K334">
        <v>109.5</v>
      </c>
      <c r="L334">
        <v>102.9</v>
      </c>
      <c r="M334">
        <v>109.8</v>
      </c>
      <c r="N334">
        <v>112.1</v>
      </c>
      <c r="O334">
        <v>116.8</v>
      </c>
      <c r="P334">
        <v>118.7</v>
      </c>
      <c r="Q334">
        <v>113.6</v>
      </c>
      <c r="R334">
        <v>115.8</v>
      </c>
      <c r="S334">
        <v>114</v>
      </c>
      <c r="T334">
        <v>115.5</v>
      </c>
      <c r="U334">
        <v>140.85</v>
      </c>
      <c r="V334">
        <v>112.8</v>
      </c>
      <c r="W334">
        <v>112.1</v>
      </c>
      <c r="X334">
        <v>110.1</v>
      </c>
      <c r="Y334">
        <v>109.9</v>
      </c>
      <c r="Z334">
        <v>109.2</v>
      </c>
      <c r="AA334">
        <v>111.6</v>
      </c>
      <c r="AB334">
        <v>108.1</v>
      </c>
      <c r="AC334">
        <v>110.1</v>
      </c>
      <c r="AD334">
        <v>115.5</v>
      </c>
      <c r="AE334">
        <v>115.89999999999999</v>
      </c>
      <c r="AF334">
        <v>115.10000000000001</v>
      </c>
      <c r="AG334">
        <v>126.47499999999999</v>
      </c>
      <c r="AH334" s="2">
        <f>All_India_Index_Upto_April23__1[[#This Row],[House]]/All_India_Index_Upto_April23__1[[#This Row],[TOTAL BROADER CATEGORIES]]</f>
        <v>0.1119966350091873</v>
      </c>
      <c r="AI334" s="2">
        <f>All_India_Index_Upto_April23__1[[#This Row],[Cloth]]/All_India_Index_Upto_April23__1[[#This Row],[TOTAL BROADER CATEGORIES]]</f>
        <v>0.10192380066857054</v>
      </c>
      <c r="AJ334" s="2">
        <f>All_India_Index_Upto_April23__1[[#This Row],[Food]]/All_India_Index_Upto_April23__1[[#This Row],[TOTAL BROADER CATEGORIES]]</f>
        <v>0.10263221978703149</v>
      </c>
      <c r="AK334" s="2">
        <f>All_India_Index_Upto_April23__1[[#This Row],[Miscellaneous]]/All_India_Index_Upto_April23__1[[#This Row],[TOTAL BROADER CATEGORIES]]</f>
        <v>9.7496181178189534E-2</v>
      </c>
      <c r="AL334" s="2">
        <f>All_India_Index_Upto_April23__1[[#This Row],[Personal care and effects]]/All_India_Index_Upto_April23__1[[#This Row],[TOTAL BROADER CATEGORIES]]</f>
        <v>9.5725133382037128E-2</v>
      </c>
      <c r="AM334" s="2">
        <f>All_India_Index_Upto_April23__1[[#This Row],[Education]]/All_India_Index_Upto_April23__1[[#This Row],[TOTAL BROADER CATEGORIES]]</f>
        <v>9.8824467025303828E-2</v>
      </c>
      <c r="AN334" s="2">
        <f>All_India_Index_Upto_April23__1[[#This Row],[Recreation and amusement]]/All_India_Index_Upto_April23__1[[#This Row],[TOTAL BROADER CATEGORIES]]</f>
        <v>9.669920966992096E-2</v>
      </c>
      <c r="AO334" s="2">
        <f>All_India_Index_Upto_April23__1[[#This Row],[Transport and communication]]/All_India_Index_Upto_April23__1[[#This Row],[TOTAL BROADER CATEGORIES]]</f>
        <v>9.7319076398574303E-2</v>
      </c>
      <c r="AP334" s="2">
        <f>All_India_Index_Upto_April23__1[[#This Row],[Health]]/All_India_Index_Upto_April23__1[[#This Row],[TOTAL BROADER CATEGORIES]]</f>
        <v>9.7496181178189534E-2</v>
      </c>
      <c r="AQ334" s="2">
        <f>All_India_Index_Upto_April23__1[[#This Row],[Fuel and light]]/All_India_Index_Upto_April23__1[[#This Row],[TOTAL BROADER CATEGORIES]]</f>
        <v>9.9887095702995268E-2</v>
      </c>
      <c r="AR334">
        <f>MONTH(1 &amp; All_India_Index_Upto_April23__1[[#This Row],[Month]])</f>
        <v>12</v>
      </c>
      <c r="AS334" s="19" t="str">
        <f>All_India_Index_Upto_April23__1[[#This Row],[MONTH IN NUM]]&amp;"/"&amp;All_India_Index_Upto_April23__1[[#This Row],[Year]]</f>
        <v>12/2013</v>
      </c>
      <c r="AT33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117.52142857142857</v>
      </c>
      <c r="AU33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1129.2750000000001</v>
      </c>
    </row>
    <row r="335" spans="1:47" x14ac:dyDescent="0.3">
      <c r="A335" t="s">
        <v>30</v>
      </c>
      <c r="B335">
        <v>2013</v>
      </c>
      <c r="C335" t="s">
        <v>43</v>
      </c>
      <c r="D335">
        <v>117.3</v>
      </c>
      <c r="E335">
        <v>114.9</v>
      </c>
      <c r="F335">
        <v>116.2</v>
      </c>
      <c r="G335">
        <v>112.8</v>
      </c>
      <c r="H335">
        <v>108.9</v>
      </c>
      <c r="I335">
        <v>116.6</v>
      </c>
      <c r="J335">
        <v>178.1</v>
      </c>
      <c r="K335">
        <v>109.1</v>
      </c>
      <c r="L335">
        <v>103.6</v>
      </c>
      <c r="M335">
        <v>109</v>
      </c>
      <c r="N335">
        <v>111.8</v>
      </c>
      <c r="O335">
        <v>116</v>
      </c>
      <c r="P335">
        <v>122.5</v>
      </c>
      <c r="Q335">
        <v>112.8</v>
      </c>
      <c r="R335">
        <v>114.6</v>
      </c>
      <c r="S335">
        <v>113.1</v>
      </c>
      <c r="T335">
        <v>114.4</v>
      </c>
      <c r="U335">
        <v>140.85</v>
      </c>
      <c r="V335">
        <v>112.6</v>
      </c>
      <c r="W335">
        <v>111.3</v>
      </c>
      <c r="X335">
        <v>109.7</v>
      </c>
      <c r="Y335">
        <v>109.6</v>
      </c>
      <c r="Z335">
        <v>108.7</v>
      </c>
      <c r="AA335">
        <v>111</v>
      </c>
      <c r="AB335">
        <v>108.2</v>
      </c>
      <c r="AC335">
        <v>109.8</v>
      </c>
      <c r="AD335">
        <v>117.4</v>
      </c>
      <c r="AE335">
        <v>117.82857142857142</v>
      </c>
      <c r="AF335">
        <v>114.03333333333335</v>
      </c>
      <c r="AG335">
        <v>126.07499999999999</v>
      </c>
      <c r="AH335" s="2">
        <f>All_India_Index_Upto_April23__1[[#This Row],[House]]/All_India_Index_Upto_April23__1[[#This Row],[TOTAL BROADER CATEGORIES]]</f>
        <v>0.11181452196158713</v>
      </c>
      <c r="AI335" s="2">
        <f>All_India_Index_Upto_April23__1[[#This Row],[Cloth]]/All_India_Index_Upto_April23__1[[#This Row],[TOTAL BROADER CATEGORIES]]</f>
        <v>0.1011349010854887</v>
      </c>
      <c r="AJ335" s="2">
        <f>All_India_Index_Upto_April23__1[[#This Row],[Food]]/All_India_Index_Upto_April23__1[[#This Row],[TOTAL BROADER CATEGORIES]]</f>
        <v>0.10450085574223628</v>
      </c>
      <c r="AK335" s="2">
        <f>All_India_Index_Upto_April23__1[[#This Row],[Miscellaneous]]/All_India_Index_Upto_April23__1[[#This Row],[TOTAL BROADER CATEGORIES]]</f>
        <v>9.7380404611400101E-2</v>
      </c>
      <c r="AL335" s="2">
        <f>All_India_Index_Upto_April23__1[[#This Row],[Personal care and effects]]/All_India_Index_Upto_April23__1[[#This Row],[TOTAL BROADER CATEGORIES]]</f>
        <v>9.5961382321980787E-2</v>
      </c>
      <c r="AM335" s="2">
        <f>All_India_Index_Upto_April23__1[[#This Row],[Education]]/All_India_Index_Upto_April23__1[[#This Row],[TOTAL BROADER CATEGORIES]]</f>
        <v>9.8444671328464586E-2</v>
      </c>
      <c r="AN335" s="2">
        <f>All_India_Index_Upto_April23__1[[#This Row],[Recreation and amusement]]/All_India_Index_Upto_April23__1[[#This Row],[TOTAL BROADER CATEGORIES]]</f>
        <v>9.6404826787424333E-2</v>
      </c>
      <c r="AO335" s="2">
        <f>All_India_Index_Upto_April23__1[[#This Row],[Transport and communication]]/All_India_Index_Upto_April23__1[[#This Row],[TOTAL BROADER CATEGORIES]]</f>
        <v>9.720302682522268E-2</v>
      </c>
      <c r="AP335" s="2">
        <f>All_India_Index_Upto_April23__1[[#This Row],[Health]]/All_India_Index_Upto_April23__1[[#This Row],[TOTAL BROADER CATEGORIES]]</f>
        <v>9.7291715718311397E-2</v>
      </c>
      <c r="AQ335" s="2">
        <f>All_India_Index_Upto_April23__1[[#This Row],[Fuel and light]]/All_India_Index_Upto_April23__1[[#This Row],[TOTAL BROADER CATEGORIES]]</f>
        <v>9.9863693617883886E-2</v>
      </c>
      <c r="AR335">
        <f>MONTH(1 &amp; All_India_Index_Upto_April23__1[[#This Row],[Month]])</f>
        <v>11</v>
      </c>
      <c r="AS335" s="19" t="str">
        <f>All_India_Index_Upto_April23__1[[#This Row],[MONTH IN NUM]]&amp;"/"&amp;All_India_Index_Upto_April23__1[[#This Row],[Year]]</f>
        <v>11/2013</v>
      </c>
      <c r="AT33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116.83571428571429</v>
      </c>
      <c r="AU33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1127.5369047619049</v>
      </c>
    </row>
    <row r="336" spans="1:47" x14ac:dyDescent="0.3">
      <c r="A336" t="s">
        <v>32</v>
      </c>
      <c r="B336">
        <v>2013</v>
      </c>
      <c r="C336" t="s">
        <v>43</v>
      </c>
      <c r="D336">
        <v>119.8</v>
      </c>
      <c r="E336">
        <v>116.3</v>
      </c>
      <c r="F336">
        <v>122.6</v>
      </c>
      <c r="G336">
        <v>112</v>
      </c>
      <c r="H336">
        <v>103.2</v>
      </c>
      <c r="I336">
        <v>110</v>
      </c>
      <c r="J336">
        <v>192.8</v>
      </c>
      <c r="K336">
        <v>106.3</v>
      </c>
      <c r="L336">
        <v>99.5</v>
      </c>
      <c r="M336">
        <v>110.3</v>
      </c>
      <c r="N336">
        <v>111.8</v>
      </c>
      <c r="O336">
        <v>117.1</v>
      </c>
      <c r="P336">
        <v>122.9</v>
      </c>
      <c r="Q336">
        <v>114.1</v>
      </c>
      <c r="R336">
        <v>113.5</v>
      </c>
      <c r="S336">
        <v>110.3</v>
      </c>
      <c r="T336">
        <v>113</v>
      </c>
      <c r="U336">
        <v>111.1</v>
      </c>
      <c r="V336">
        <v>110</v>
      </c>
      <c r="W336">
        <v>110.9</v>
      </c>
      <c r="X336">
        <v>108.6</v>
      </c>
      <c r="Y336">
        <v>109.5</v>
      </c>
      <c r="Z336">
        <v>108.5</v>
      </c>
      <c r="AA336">
        <v>111.3</v>
      </c>
      <c r="AB336">
        <v>107.9</v>
      </c>
      <c r="AC336">
        <v>109.6</v>
      </c>
      <c r="AD336">
        <v>115</v>
      </c>
      <c r="AE336">
        <v>118.47857142857141</v>
      </c>
      <c r="AF336">
        <v>112.26666666666667</v>
      </c>
      <c r="AG336">
        <v>111</v>
      </c>
      <c r="AH336" s="2">
        <f>All_India_Index_Upto_April23__1[[#This Row],[House]]/All_India_Index_Upto_April23__1[[#This Row],[TOTAL BROADER CATEGORIES]]</f>
        <v>0.10025784890785182</v>
      </c>
      <c r="AI336" s="2">
        <f>All_India_Index_Upto_April23__1[[#This Row],[Cloth]]/All_India_Index_Upto_April23__1[[#This Row],[TOTAL BROADER CATEGORIES]]</f>
        <v>0.10140193246896244</v>
      </c>
      <c r="AJ336" s="2">
        <f>All_India_Index_Upto_April23__1[[#This Row],[Food]]/All_India_Index_Upto_April23__1[[#This Row],[TOTAL BROADER CATEGORIES]]</f>
        <v>0.10701267309102561</v>
      </c>
      <c r="AK336" s="2">
        <f>All_India_Index_Upto_April23__1[[#This Row],[Miscellaneous]]/All_India_Index_Upto_April23__1[[#This Row],[TOTAL BROADER CATEGORIES]]</f>
        <v>9.899333549820323E-2</v>
      </c>
      <c r="AL336" s="2">
        <f>All_India_Index_Upto_April23__1[[#This Row],[Personal care and effects]]/All_India_Index_Upto_April23__1[[#This Row],[TOTAL BROADER CATEGORIES]]</f>
        <v>9.7457854929344251E-2</v>
      </c>
      <c r="AM336" s="2">
        <f>All_India_Index_Upto_April23__1[[#This Row],[Education]]/All_India_Index_Upto_April23__1[[#This Row],[TOTAL BROADER CATEGORIES]]</f>
        <v>0.10052881606706222</v>
      </c>
      <c r="AN336" s="2">
        <f>All_India_Index_Upto_April23__1[[#This Row],[Recreation and amusement]]/All_India_Index_Upto_April23__1[[#This Row],[TOTAL BROADER CATEGORIES]]</f>
        <v>9.7999789247765062E-2</v>
      </c>
      <c r="AO336" s="2">
        <f>All_India_Index_Upto_April23__1[[#This Row],[Transport and communication]]/All_India_Index_Upto_April23__1[[#This Row],[TOTAL BROADER CATEGORIES]]</f>
        <v>9.8903013111799762E-2</v>
      </c>
      <c r="AP336" s="2">
        <f>All_India_Index_Upto_April23__1[[#This Row],[Health]]/All_India_Index_Upto_April23__1[[#This Row],[TOTAL BROADER CATEGORIES]]</f>
        <v>9.8090111634168531E-2</v>
      </c>
      <c r="AQ336" s="2">
        <f>All_India_Index_Upto_April23__1[[#This Row],[Fuel and light]]/All_India_Index_Upto_April23__1[[#This Row],[TOTAL BROADER CATEGORIES]]</f>
        <v>9.9354625043817119E-2</v>
      </c>
      <c r="AR336">
        <f>MONTH(1 &amp; All_India_Index_Upto_April23__1[[#This Row],[Month]])</f>
        <v>11</v>
      </c>
      <c r="AS336" s="19" t="str">
        <f>All_India_Index_Upto_April23__1[[#This Row],[MONTH IN NUM]]&amp;"/"&amp;All_India_Index_Upto_April23__1[[#This Row],[Year]]</f>
        <v>11/2013</v>
      </c>
      <c r="AT33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111.44285714285714</v>
      </c>
      <c r="AU33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1107.145238095238</v>
      </c>
    </row>
    <row r="337" spans="1:47" x14ac:dyDescent="0.3">
      <c r="A337" t="s">
        <v>33</v>
      </c>
      <c r="B337">
        <v>2013</v>
      </c>
      <c r="C337" t="s">
        <v>43</v>
      </c>
      <c r="D337">
        <v>118.1</v>
      </c>
      <c r="E337">
        <v>115.4</v>
      </c>
      <c r="F337">
        <v>118.7</v>
      </c>
      <c r="G337">
        <v>112.5</v>
      </c>
      <c r="H337">
        <v>106.8</v>
      </c>
      <c r="I337">
        <v>113.5</v>
      </c>
      <c r="J337">
        <v>183.1</v>
      </c>
      <c r="K337">
        <v>108.2</v>
      </c>
      <c r="L337">
        <v>102.2</v>
      </c>
      <c r="M337">
        <v>109.4</v>
      </c>
      <c r="N337">
        <v>111.8</v>
      </c>
      <c r="O337">
        <v>116.5</v>
      </c>
      <c r="P337">
        <v>122.6</v>
      </c>
      <c r="Q337">
        <v>113.1</v>
      </c>
      <c r="R337">
        <v>114.2</v>
      </c>
      <c r="S337">
        <v>111.9</v>
      </c>
      <c r="T337">
        <v>113.8</v>
      </c>
      <c r="U337">
        <v>111.1</v>
      </c>
      <c r="V337">
        <v>111.6</v>
      </c>
      <c r="W337">
        <v>111.1</v>
      </c>
      <c r="X337">
        <v>109.3</v>
      </c>
      <c r="Y337">
        <v>109.5</v>
      </c>
      <c r="Z337">
        <v>108.6</v>
      </c>
      <c r="AA337">
        <v>111.2</v>
      </c>
      <c r="AB337">
        <v>108.1</v>
      </c>
      <c r="AC337">
        <v>109.7</v>
      </c>
      <c r="AD337">
        <v>116.3</v>
      </c>
      <c r="AE337">
        <v>117.99285714285713</v>
      </c>
      <c r="AF337">
        <v>113.30000000000001</v>
      </c>
      <c r="AG337">
        <v>111.1</v>
      </c>
      <c r="AH337" s="2">
        <f>All_India_Index_Upto_April23__1[[#This Row],[House]]/All_India_Index_Upto_April23__1[[#This Row],[TOTAL BROADER CATEGORIES]]</f>
        <v>0.10005467820269531</v>
      </c>
      <c r="AI337" s="2">
        <f>All_India_Index_Upto_April23__1[[#This Row],[Cloth]]/All_India_Index_Upto_April23__1[[#This Row],[TOTAL BROADER CATEGORIES]]</f>
        <v>0.10203595895918434</v>
      </c>
      <c r="AJ337" s="2">
        <f>All_India_Index_Upto_April23__1[[#This Row],[Food]]/All_India_Index_Upto_April23__1[[#This Row],[TOTAL BROADER CATEGORIES]]</f>
        <v>0.10626226239104564</v>
      </c>
      <c r="AK337" s="2">
        <f>All_India_Index_Upto_April23__1[[#This Row],[Miscellaneous]]/All_India_Index_Upto_April23__1[[#This Row],[TOTAL BROADER CATEGORIES]]</f>
        <v>9.8793863175838673E-2</v>
      </c>
      <c r="AL337" s="2">
        <f>All_India_Index_Upto_April23__1[[#This Row],[Personal care and effects]]/All_India_Index_Upto_April23__1[[#This Row],[TOTAL BROADER CATEGORIES]]</f>
        <v>9.7352931716573929E-2</v>
      </c>
      <c r="AM337" s="2">
        <f>All_India_Index_Upto_April23__1[[#This Row],[Education]]/All_India_Index_Upto_April23__1[[#This Row],[TOTAL BROADER CATEGORIES]]</f>
        <v>0.10014473641889937</v>
      </c>
      <c r="AN337" s="2">
        <f>All_India_Index_Upto_April23__1[[#This Row],[Recreation and amusement]]/All_India_Index_Upto_April23__1[[#This Row],[TOTAL BROADER CATEGORIES]]</f>
        <v>9.7803222797594153E-2</v>
      </c>
      <c r="AO337" s="2">
        <f>All_India_Index_Upto_April23__1[[#This Row],[Transport and communication]]/All_India_Index_Upto_April23__1[[#This Row],[TOTAL BROADER CATEGORIES]]</f>
        <v>9.8613746743430583E-2</v>
      </c>
      <c r="AP337" s="2">
        <f>All_India_Index_Upto_April23__1[[#This Row],[Health]]/All_India_Index_Upto_April23__1[[#This Row],[TOTAL BROADER CATEGORIES]]</f>
        <v>9.843363031102248E-2</v>
      </c>
      <c r="AQ337" s="2">
        <f>All_India_Index_Upto_April23__1[[#This Row],[Fuel and light]]/All_India_Index_Upto_April23__1[[#This Row],[TOTAL BROADER CATEGORIES]]</f>
        <v>0.10050496928371554</v>
      </c>
      <c r="AR337">
        <f>MONTH(1 &amp; All_India_Index_Upto_April23__1[[#This Row],[Month]])</f>
        <v>11</v>
      </c>
      <c r="AS337" s="19" t="str">
        <f>All_India_Index_Upto_April23__1[[#This Row],[MONTH IN NUM]]&amp;"/"&amp;All_India_Index_Upto_April23__1[[#This Row],[Year]]</f>
        <v>11/2013</v>
      </c>
      <c r="AT33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112.12857142857142</v>
      </c>
      <c r="AU33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1110.3928571428571</v>
      </c>
    </row>
    <row r="338" spans="1:47" x14ac:dyDescent="0.3">
      <c r="A338" t="s">
        <v>33</v>
      </c>
      <c r="B338">
        <v>2013</v>
      </c>
      <c r="C338" t="s">
        <v>42</v>
      </c>
      <c r="D338">
        <v>117.1</v>
      </c>
      <c r="E338">
        <v>116.3</v>
      </c>
      <c r="F338">
        <v>113.3</v>
      </c>
      <c r="G338">
        <v>111.2</v>
      </c>
      <c r="H338">
        <v>105.7</v>
      </c>
      <c r="I338">
        <v>109.9</v>
      </c>
      <c r="J338">
        <v>171.2</v>
      </c>
      <c r="K338">
        <v>107.3</v>
      </c>
      <c r="L338">
        <v>102.7</v>
      </c>
      <c r="M338">
        <v>108.7</v>
      </c>
      <c r="N338">
        <v>111.2</v>
      </c>
      <c r="O338">
        <v>115.4</v>
      </c>
      <c r="P338">
        <v>120.2</v>
      </c>
      <c r="Q338">
        <v>112.5</v>
      </c>
      <c r="R338">
        <v>113.2</v>
      </c>
      <c r="S338">
        <v>111.2</v>
      </c>
      <c r="T338">
        <v>112.8</v>
      </c>
      <c r="U338">
        <v>110.5</v>
      </c>
      <c r="V338">
        <v>110.9</v>
      </c>
      <c r="W338">
        <v>110.3</v>
      </c>
      <c r="X338">
        <v>108.6</v>
      </c>
      <c r="Y338">
        <v>109.5</v>
      </c>
      <c r="Z338">
        <v>108.1</v>
      </c>
      <c r="AA338">
        <v>110.8</v>
      </c>
      <c r="AB338">
        <v>107.4</v>
      </c>
      <c r="AC338">
        <v>109.2</v>
      </c>
      <c r="AD338">
        <v>114.8</v>
      </c>
      <c r="AE338">
        <v>115.90714285714287</v>
      </c>
      <c r="AF338">
        <v>112.39999999999999</v>
      </c>
      <c r="AG338">
        <v>110.4</v>
      </c>
      <c r="AH338" s="2">
        <f>All_India_Index_Upto_April23__1[[#This Row],[House]]/All_India_Index_Upto_April23__1[[#This Row],[TOTAL BROADER CATEGORIES]]</f>
        <v>0.10007186838373831</v>
      </c>
      <c r="AI338" s="2">
        <f>All_India_Index_Upto_April23__1[[#This Row],[Cloth]]/All_India_Index_Upto_April23__1[[#This Row],[TOTAL BROADER CATEGORIES]]</f>
        <v>0.10188476455011036</v>
      </c>
      <c r="AJ338" s="2">
        <f>All_India_Index_Upto_April23__1[[#This Row],[Food]]/All_India_Index_Upto_April23__1[[#This Row],[TOTAL BROADER CATEGORIES]]</f>
        <v>0.10506380747042712</v>
      </c>
      <c r="AK338" s="2">
        <f>All_India_Index_Upto_April23__1[[#This Row],[Miscellaneous]]/All_India_Index_Upto_April23__1[[#This Row],[TOTAL BROADER CATEGORIES]]</f>
        <v>9.8984130683915067E-2</v>
      </c>
      <c r="AL338" s="2">
        <f>All_India_Index_Upto_April23__1[[#This Row],[Personal care and effects]]/All_India_Index_Upto_April23__1[[#This Row],[TOTAL BROADER CATEGORIES]]</f>
        <v>9.7352524134180204E-2</v>
      </c>
      <c r="AM338" s="2">
        <f>All_India_Index_Upto_April23__1[[#This Row],[Education]]/All_India_Index_Upto_April23__1[[#This Row],[TOTAL BROADER CATEGORIES]]</f>
        <v>0.10043444761701271</v>
      </c>
      <c r="AN338" s="2">
        <f>All_India_Index_Upto_April23__1[[#This Row],[Recreation and amusement]]/All_India_Index_Upto_April23__1[[#This Row],[TOTAL BROADER CATEGORIES]]</f>
        <v>9.7987037792410414E-2</v>
      </c>
      <c r="AO338" s="2">
        <f>All_India_Index_Upto_April23__1[[#This Row],[Transport and communication]]/All_India_Index_Upto_April23__1[[#This Row],[TOTAL BROADER CATEGORIES]]</f>
        <v>9.9256065108870875E-2</v>
      </c>
      <c r="AP338" s="2">
        <f>All_India_Index_Upto_April23__1[[#This Row],[Health]]/All_India_Index_Upto_April23__1[[#This Row],[TOTAL BROADER CATEGORIES]]</f>
        <v>9.8440261834003437E-2</v>
      </c>
      <c r="AQ338" s="2">
        <f>All_India_Index_Upto_April23__1[[#This Row],[Fuel and light]]/All_India_Index_Upto_April23__1[[#This Row],[TOTAL BROADER CATEGORIES]]</f>
        <v>0.10052509242533132</v>
      </c>
      <c r="AR338">
        <f>MONTH(1 &amp; All_India_Index_Upto_April23__1[[#This Row],[Month]])</f>
        <v>10</v>
      </c>
      <c r="AS338" s="19" t="str">
        <f>All_India_Index_Upto_April23__1[[#This Row],[MONTH IN NUM]]&amp;"/"&amp;All_India_Index_Upto_April23__1[[#This Row],[Year]]</f>
        <v>10/2013</v>
      </c>
      <c r="AT33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111.38571428571429</v>
      </c>
      <c r="AU33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1103.207142857143</v>
      </c>
    </row>
    <row r="339" spans="1:47" x14ac:dyDescent="0.3">
      <c r="A339" t="s">
        <v>30</v>
      </c>
      <c r="B339">
        <v>2013</v>
      </c>
      <c r="C339" t="s">
        <v>42</v>
      </c>
      <c r="D339">
        <v>116.3</v>
      </c>
      <c r="E339">
        <v>115.4</v>
      </c>
      <c r="F339">
        <v>112.6</v>
      </c>
      <c r="G339">
        <v>111.7</v>
      </c>
      <c r="H339">
        <v>107.7</v>
      </c>
      <c r="I339">
        <v>113.2</v>
      </c>
      <c r="J339">
        <v>164.9</v>
      </c>
      <c r="K339">
        <v>108.3</v>
      </c>
      <c r="L339">
        <v>103.9</v>
      </c>
      <c r="M339">
        <v>108.2</v>
      </c>
      <c r="N339">
        <v>111.1</v>
      </c>
      <c r="O339">
        <v>114.9</v>
      </c>
      <c r="P339">
        <v>119.8</v>
      </c>
      <c r="Q339">
        <v>112.2</v>
      </c>
      <c r="R339">
        <v>113.6</v>
      </c>
      <c r="S339">
        <v>112.3</v>
      </c>
      <c r="T339">
        <v>113.4</v>
      </c>
      <c r="U339">
        <v>140.85</v>
      </c>
      <c r="V339">
        <v>111.6</v>
      </c>
      <c r="W339">
        <v>110.4</v>
      </c>
      <c r="X339">
        <v>108.9</v>
      </c>
      <c r="Y339">
        <v>109.3</v>
      </c>
      <c r="Z339">
        <v>108.3</v>
      </c>
      <c r="AA339">
        <v>110.2</v>
      </c>
      <c r="AB339">
        <v>107.5</v>
      </c>
      <c r="AC339">
        <v>109.1</v>
      </c>
      <c r="AD339">
        <v>115.5</v>
      </c>
      <c r="AE339">
        <v>115.72857142857143</v>
      </c>
      <c r="AF339">
        <v>113.09999999999998</v>
      </c>
      <c r="AG339">
        <v>125.625</v>
      </c>
      <c r="AH339" s="2">
        <f>All_India_Index_Upto_April23__1[[#This Row],[House]]/All_India_Index_Upto_April23__1[[#This Row],[TOTAL BROADER CATEGORIES]]</f>
        <v>0.11222995415083324</v>
      </c>
      <c r="AI339" s="2">
        <f>All_India_Index_Upto_April23__1[[#This Row],[Cloth]]/All_India_Index_Upto_April23__1[[#This Row],[TOTAL BROADER CATEGORIES]]</f>
        <v>0.10104046021460089</v>
      </c>
      <c r="AJ339" s="2">
        <f>All_India_Index_Upto_April23__1[[#This Row],[Food]]/All_India_Index_Upto_April23__1[[#This Row],[TOTAL BROADER CATEGORIES]]</f>
        <v>0.103388754351204</v>
      </c>
      <c r="AK339" s="2">
        <f>All_India_Index_Upto_April23__1[[#This Row],[Miscellaneous]]/All_India_Index_Upto_April23__1[[#This Row],[TOTAL BROADER CATEGORIES]]</f>
        <v>9.7466969137161449E-2</v>
      </c>
      <c r="AL339" s="2">
        <f>All_India_Index_Upto_April23__1[[#This Row],[Personal care and effects]]/All_India_Index_Upto_April23__1[[#This Row],[TOTAL BROADER CATEGORIES]]</f>
        <v>9.6037572706185667E-2</v>
      </c>
      <c r="AM339" s="2">
        <f>All_India_Index_Upto_April23__1[[#This Row],[Education]]/All_India_Index_Upto_April23__1[[#This Row],[TOTAL BROADER CATEGORIES]]</f>
        <v>9.8449679183457303E-2</v>
      </c>
      <c r="AN339" s="2">
        <f>All_India_Index_Upto_April23__1[[#This Row],[Recreation and amusement]]/All_India_Index_Upto_April23__1[[#This Row],[TOTAL BROADER CATEGORIES]]</f>
        <v>9.6752270921673558E-2</v>
      </c>
      <c r="AO339" s="2">
        <f>All_India_Index_Upto_April23__1[[#This Row],[Transport and communication]]/All_India_Index_Upto_April23__1[[#This Row],[TOTAL BROADER CATEGORIES]]</f>
        <v>9.7645643691033415E-2</v>
      </c>
      <c r="AP339" s="2">
        <f>All_India_Index_Upto_April23__1[[#This Row],[Health]]/All_India_Index_Upto_April23__1[[#This Row],[TOTAL BROADER CATEGORIES]]</f>
        <v>9.7288294583289484E-2</v>
      </c>
      <c r="AQ339" s="2">
        <f>All_India_Index_Upto_April23__1[[#This Row],[Fuel and light]]/All_India_Index_Upto_April23__1[[#This Row],[TOTAL BROADER CATEGORIES]]</f>
        <v>9.9700401060561106E-2</v>
      </c>
      <c r="AR339">
        <f>MONTH(1 &amp; All_India_Index_Upto_April23__1[[#This Row],[Month]])</f>
        <v>10</v>
      </c>
      <c r="AS339" s="19" t="str">
        <f>All_India_Index_Upto_April23__1[[#This Row],[MONTH IN NUM]]&amp;"/"&amp;All_India_Index_Upto_April23__1[[#This Row],[Year]]</f>
        <v>10/2013</v>
      </c>
      <c r="AT33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116.05</v>
      </c>
      <c r="AU33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1119.3535714285713</v>
      </c>
    </row>
    <row r="340" spans="1:47" x14ac:dyDescent="0.3">
      <c r="A340" t="s">
        <v>32</v>
      </c>
      <c r="B340">
        <v>2013</v>
      </c>
      <c r="C340" t="s">
        <v>42</v>
      </c>
      <c r="D340">
        <v>118.9</v>
      </c>
      <c r="E340">
        <v>118.1</v>
      </c>
      <c r="F340">
        <v>114.5</v>
      </c>
      <c r="G340">
        <v>110.4</v>
      </c>
      <c r="H340">
        <v>102.3</v>
      </c>
      <c r="I340">
        <v>106.2</v>
      </c>
      <c r="J340">
        <v>183.5</v>
      </c>
      <c r="K340">
        <v>105.3</v>
      </c>
      <c r="L340">
        <v>100.2</v>
      </c>
      <c r="M340">
        <v>109.6</v>
      </c>
      <c r="N340">
        <v>111.4</v>
      </c>
      <c r="O340">
        <v>116</v>
      </c>
      <c r="P340">
        <v>120.8</v>
      </c>
      <c r="Q340">
        <v>113.5</v>
      </c>
      <c r="R340">
        <v>112.5</v>
      </c>
      <c r="S340">
        <v>109.7</v>
      </c>
      <c r="T340">
        <v>112</v>
      </c>
      <c r="U340">
        <v>110.5</v>
      </c>
      <c r="V340">
        <v>109.7</v>
      </c>
      <c r="W340">
        <v>110.2</v>
      </c>
      <c r="X340">
        <v>108.2</v>
      </c>
      <c r="Y340">
        <v>109.7</v>
      </c>
      <c r="Z340">
        <v>108</v>
      </c>
      <c r="AA340">
        <v>111.3</v>
      </c>
      <c r="AB340">
        <v>107.3</v>
      </c>
      <c r="AC340">
        <v>109.4</v>
      </c>
      <c r="AD340">
        <v>114</v>
      </c>
      <c r="AE340">
        <v>116.47857142857141</v>
      </c>
      <c r="AF340">
        <v>111.39999999999999</v>
      </c>
      <c r="AG340">
        <v>110.35</v>
      </c>
      <c r="AH340" s="2">
        <f>All_India_Index_Upto_April23__1[[#This Row],[House]]/All_India_Index_Upto_April23__1[[#This Row],[TOTAL BROADER CATEGORIES]]</f>
        <v>0.10015169588216989</v>
      </c>
      <c r="AI340" s="2">
        <f>All_India_Index_Upto_April23__1[[#This Row],[Cloth]]/All_India_Index_Upto_April23__1[[#This Row],[TOTAL BROADER CATEGORIES]]</f>
        <v>0.1011046571932372</v>
      </c>
      <c r="AJ340" s="2">
        <f>All_India_Index_Upto_April23__1[[#This Row],[Food]]/All_India_Index_Upto_April23__1[[#This Row],[TOTAL BROADER CATEGORIES]]</f>
        <v>0.10571387822839953</v>
      </c>
      <c r="AK340" s="2">
        <f>All_India_Index_Upto_April23__1[[#This Row],[Miscellaneous]]/All_India_Index_Upto_April23__1[[#This Row],[TOTAL BROADER CATEGORIES]]</f>
        <v>9.9289492791204234E-2</v>
      </c>
      <c r="AL340" s="2">
        <f>All_India_Index_Upto_April23__1[[#This Row],[Personal care and effects]]/All_India_Index_Upto_April23__1[[#This Row],[TOTAL BROADER CATEGORIES]]</f>
        <v>9.7383570169069594E-2</v>
      </c>
      <c r="AM340" s="2">
        <f>All_India_Index_Upto_April23__1[[#This Row],[Education]]/All_India_Index_Upto_April23__1[[#This Row],[TOTAL BROADER CATEGORIES]]</f>
        <v>0.10101389897313556</v>
      </c>
      <c r="AN340" s="2">
        <f>All_India_Index_Upto_April23__1[[#This Row],[Recreation and amusement]]/All_India_Index_Upto_April23__1[[#This Row],[TOTAL BROADER CATEGORIES]]</f>
        <v>9.8018877709781141E-2</v>
      </c>
      <c r="AO340" s="2">
        <f>All_India_Index_Upto_April23__1[[#This Row],[Transport and communication]]/All_India_Index_Upto_April23__1[[#This Row],[TOTAL BROADER CATEGORIES]]</f>
        <v>9.9561767451509187E-2</v>
      </c>
      <c r="AP340" s="2">
        <f>All_India_Index_Upto_April23__1[[#This Row],[Health]]/All_India_Index_Upto_April23__1[[#This Row],[TOTAL BROADER CATEGORIES]]</f>
        <v>9.8200394149984438E-2</v>
      </c>
      <c r="AQ340" s="2">
        <f>All_India_Index_Upto_April23__1[[#This Row],[Fuel and light]]/All_India_Index_Upto_April23__1[[#This Row],[TOTAL BROADER CATEGORIES]]</f>
        <v>9.9561767451509187E-2</v>
      </c>
      <c r="AR340">
        <f>MONTH(1 &amp; All_India_Index_Upto_April23__1[[#This Row],[Month]])</f>
        <v>10</v>
      </c>
      <c r="AS340" s="19" t="str">
        <f>All_India_Index_Upto_April23__1[[#This Row],[MONTH IN NUM]]&amp;"/"&amp;All_India_Index_Upto_April23__1[[#This Row],[Year]]</f>
        <v>10/2013</v>
      </c>
      <c r="AT34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110.84285714285716</v>
      </c>
      <c r="AU34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1101.8285714285714</v>
      </c>
    </row>
    <row r="341" spans="1:47" x14ac:dyDescent="0.3">
      <c r="A341" t="s">
        <v>32</v>
      </c>
      <c r="B341">
        <v>2013</v>
      </c>
      <c r="C341" t="s">
        <v>41</v>
      </c>
      <c r="D341">
        <v>118.6</v>
      </c>
      <c r="E341">
        <v>119.1</v>
      </c>
      <c r="F341">
        <v>113.2</v>
      </c>
      <c r="G341">
        <v>109.6</v>
      </c>
      <c r="H341">
        <v>101.7</v>
      </c>
      <c r="I341">
        <v>103.2</v>
      </c>
      <c r="J341">
        <v>174.3</v>
      </c>
      <c r="K341">
        <v>105.1</v>
      </c>
      <c r="L341">
        <v>100.8</v>
      </c>
      <c r="M341">
        <v>109.1</v>
      </c>
      <c r="N341">
        <v>111.1</v>
      </c>
      <c r="O341">
        <v>115.4</v>
      </c>
      <c r="P341">
        <v>119.2</v>
      </c>
      <c r="Q341">
        <v>112.9</v>
      </c>
      <c r="R341">
        <v>111.4</v>
      </c>
      <c r="S341">
        <v>109</v>
      </c>
      <c r="T341">
        <v>111.1</v>
      </c>
      <c r="U341">
        <v>109.7</v>
      </c>
      <c r="V341">
        <v>109.5</v>
      </c>
      <c r="W341">
        <v>109.6</v>
      </c>
      <c r="X341">
        <v>107.9</v>
      </c>
      <c r="Y341">
        <v>110.4</v>
      </c>
      <c r="Z341">
        <v>107.4</v>
      </c>
      <c r="AA341">
        <v>111.2</v>
      </c>
      <c r="AB341">
        <v>106.9</v>
      </c>
      <c r="AC341">
        <v>109.4</v>
      </c>
      <c r="AD341">
        <v>113.2</v>
      </c>
      <c r="AE341">
        <v>115.23571428571429</v>
      </c>
      <c r="AF341">
        <v>110.5</v>
      </c>
      <c r="AG341">
        <v>109.65</v>
      </c>
      <c r="AH341" s="2">
        <f>All_India_Index_Upto_April23__1[[#This Row],[House]]/All_India_Index_Upto_April23__1[[#This Row],[TOTAL BROADER CATEGORIES]]</f>
        <v>9.985559284989462E-2</v>
      </c>
      <c r="AI341" s="2">
        <f>All_India_Index_Upto_April23__1[[#This Row],[Cloth]]/All_India_Index_Upto_April23__1[[#This Row],[TOTAL BROADER CATEGORIES]]</f>
        <v>0.10062966721307209</v>
      </c>
      <c r="AJ341" s="2">
        <f>All_India_Index_Upto_April23__1[[#This Row],[Food]]/All_India_Index_Upto_April23__1[[#This Row],[TOTAL BROADER CATEGORIES]]</f>
        <v>0.10494236723648948</v>
      </c>
      <c r="AK341" s="2">
        <f>All_India_Index_Upto_April23__1[[#This Row],[Miscellaneous]]/All_India_Index_Upto_April23__1[[#This Row],[TOTAL BROADER CATEGORIES]]</f>
        <v>9.9627923919548306E-2</v>
      </c>
      <c r="AL341" s="2">
        <f>All_India_Index_Upto_April23__1[[#This Row],[Personal care and effects]]/All_India_Index_Upto_April23__1[[#This Row],[TOTAL BROADER CATEGORIES]]</f>
        <v>9.7351234616085136E-2</v>
      </c>
      <c r="AM341" s="2">
        <f>All_India_Index_Upto_April23__1[[#This Row],[Education]]/All_India_Index_Upto_April23__1[[#This Row],[TOTAL BROADER CATEGORIES]]</f>
        <v>0.10126714021804178</v>
      </c>
      <c r="AN341" s="2">
        <f>All_India_Index_Upto_April23__1[[#This Row],[Recreation and amusement]]/All_India_Index_Upto_April23__1[[#This Row],[TOTAL BROADER CATEGORIES]]</f>
        <v>9.7806572476777764E-2</v>
      </c>
      <c r="AO341" s="2">
        <f>All_India_Index_Upto_April23__1[[#This Row],[Transport and communication]]/All_India_Index_Upto_April23__1[[#This Row],[TOTAL BROADER CATEGORIES]]</f>
        <v>0.10053859964093356</v>
      </c>
      <c r="AP341" s="2">
        <f>All_India_Index_Upto_April23__1[[#This Row],[Health]]/All_India_Index_Upto_April23__1[[#This Row],[TOTAL BROADER CATEGORIES]]</f>
        <v>9.8261910337470393E-2</v>
      </c>
      <c r="AQ341" s="2">
        <f>All_India_Index_Upto_April23__1[[#This Row],[Fuel and light]]/All_India_Index_Upto_April23__1[[#This Row],[TOTAL BROADER CATEGORIES]]</f>
        <v>9.9718991491686823E-2</v>
      </c>
      <c r="AR341">
        <f>MONTH(1 &amp; All_India_Index_Upto_April23__1[[#This Row],[Month]])</f>
        <v>9</v>
      </c>
      <c r="AS341" s="19" t="str">
        <f>All_India_Index_Upto_April23__1[[#This Row],[MONTH IN NUM]]&amp;"/"&amp;All_India_Index_Upto_April23__1[[#This Row],[Year]]</f>
        <v>9/2013</v>
      </c>
      <c r="AT34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110.21428571428571</v>
      </c>
      <c r="AU34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1098.0857142857144</v>
      </c>
    </row>
    <row r="342" spans="1:47" x14ac:dyDescent="0.3">
      <c r="A342" t="s">
        <v>33</v>
      </c>
      <c r="B342">
        <v>2013</v>
      </c>
      <c r="C342" t="s">
        <v>41</v>
      </c>
      <c r="D342">
        <v>116.4</v>
      </c>
      <c r="E342">
        <v>116.9</v>
      </c>
      <c r="F342">
        <v>112.3</v>
      </c>
      <c r="G342">
        <v>110.5</v>
      </c>
      <c r="H342">
        <v>105.3</v>
      </c>
      <c r="I342">
        <v>107.3</v>
      </c>
      <c r="J342">
        <v>160.9</v>
      </c>
      <c r="K342">
        <v>107.1</v>
      </c>
      <c r="L342">
        <v>103.1</v>
      </c>
      <c r="M342">
        <v>108.3</v>
      </c>
      <c r="N342">
        <v>110.7</v>
      </c>
      <c r="O342">
        <v>114.6</v>
      </c>
      <c r="P342">
        <v>118.3</v>
      </c>
      <c r="Q342">
        <v>112</v>
      </c>
      <c r="R342">
        <v>112.2</v>
      </c>
      <c r="S342">
        <v>110.4</v>
      </c>
      <c r="T342">
        <v>111.9</v>
      </c>
      <c r="U342">
        <v>109.7</v>
      </c>
      <c r="V342">
        <v>110.5</v>
      </c>
      <c r="W342">
        <v>109.6</v>
      </c>
      <c r="X342">
        <v>108.1</v>
      </c>
      <c r="Y342">
        <v>109.9</v>
      </c>
      <c r="Z342">
        <v>107.5</v>
      </c>
      <c r="AA342">
        <v>110.6</v>
      </c>
      <c r="AB342">
        <v>106.8</v>
      </c>
      <c r="AC342">
        <v>109</v>
      </c>
      <c r="AD342">
        <v>113.7</v>
      </c>
      <c r="AE342">
        <v>114.54999999999998</v>
      </c>
      <c r="AF342">
        <v>111.5</v>
      </c>
      <c r="AG342">
        <v>109.65</v>
      </c>
      <c r="AH342" s="2">
        <f>All_India_Index_Upto_April23__1[[#This Row],[House]]/All_India_Index_Upto_April23__1[[#This Row],[TOTAL BROADER CATEGORIES]]</f>
        <v>9.9854293780165748E-2</v>
      </c>
      <c r="AI342" s="2">
        <f>All_India_Index_Upto_April23__1[[#This Row],[Cloth]]/All_India_Index_Upto_April23__1[[#This Row],[TOTAL BROADER CATEGORIES]]</f>
        <v>0.10153902194699937</v>
      </c>
      <c r="AJ342" s="2">
        <f>All_India_Index_Upto_April23__1[[#This Row],[Food]]/All_India_Index_Upto_April23__1[[#This Row],[TOTAL BROADER CATEGORIES]]</f>
        <v>0.10431654676258992</v>
      </c>
      <c r="AK342" s="2">
        <f>All_India_Index_Upto_April23__1[[#This Row],[Miscellaneous]]/All_India_Index_Upto_April23__1[[#This Row],[TOTAL BROADER CATEGORIES]]</f>
        <v>9.9262362262089066E-2</v>
      </c>
      <c r="AL342" s="2">
        <f>All_India_Index_Upto_April23__1[[#This Row],[Personal care and effects]]/All_India_Index_Upto_April23__1[[#This Row],[TOTAL BROADER CATEGORIES]]</f>
        <v>9.7258901739368006E-2</v>
      </c>
      <c r="AM342" s="2">
        <f>All_India_Index_Upto_April23__1[[#This Row],[Education]]/All_India_Index_Upto_April23__1[[#This Row],[TOTAL BROADER CATEGORIES]]</f>
        <v>0.10071942446043165</v>
      </c>
      <c r="AN342" s="2">
        <f>All_India_Index_Upto_April23__1[[#This Row],[Recreation and amusement]]/All_India_Index_Upto_April23__1[[#This Row],[TOTAL BROADER CATEGORIES]]</f>
        <v>9.7896366451142885E-2</v>
      </c>
      <c r="AO342" s="2">
        <f>All_India_Index_Upto_April23__1[[#This Row],[Transport and communication]]/All_India_Index_Upto_April23__1[[#This Row],[TOTAL BROADER CATEGORIES]]</f>
        <v>0.10008195974865679</v>
      </c>
      <c r="AP342" s="2">
        <f>All_India_Index_Upto_April23__1[[#This Row],[Health]]/All_India_Index_Upto_April23__1[[#This Row],[TOTAL BROADER CATEGORIES]]</f>
        <v>9.8442764775521358E-2</v>
      </c>
      <c r="AQ342" s="2">
        <f>All_India_Index_Upto_April23__1[[#This Row],[Fuel and light]]/All_India_Index_Upto_April23__1[[#This Row],[TOTAL BROADER CATEGORIES]]</f>
        <v>0.10062835807303525</v>
      </c>
      <c r="AR342">
        <f>MONTH(1 &amp; All_India_Index_Upto_April23__1[[#This Row],[Month]])</f>
        <v>9</v>
      </c>
      <c r="AS342" s="19" t="str">
        <f>All_India_Index_Upto_April23__1[[#This Row],[MONTH IN NUM]]&amp;"/"&amp;All_India_Index_Upto_April23__1[[#This Row],[Year]]</f>
        <v>9/2013</v>
      </c>
      <c r="AT34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110.7</v>
      </c>
      <c r="AU34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1098.0999999999999</v>
      </c>
    </row>
    <row r="343" spans="1:47" x14ac:dyDescent="0.3">
      <c r="A343" t="s">
        <v>30</v>
      </c>
      <c r="B343">
        <v>2013</v>
      </c>
      <c r="C343" t="s">
        <v>41</v>
      </c>
      <c r="D343">
        <v>115.4</v>
      </c>
      <c r="E343">
        <v>115.7</v>
      </c>
      <c r="F343">
        <v>111.7</v>
      </c>
      <c r="G343">
        <v>111</v>
      </c>
      <c r="H343">
        <v>107.4</v>
      </c>
      <c r="I343">
        <v>110.9</v>
      </c>
      <c r="J343">
        <v>154</v>
      </c>
      <c r="K343">
        <v>108.1</v>
      </c>
      <c r="L343">
        <v>104.2</v>
      </c>
      <c r="M343">
        <v>107.9</v>
      </c>
      <c r="N343">
        <v>110.4</v>
      </c>
      <c r="O343">
        <v>114</v>
      </c>
      <c r="P343">
        <v>117.8</v>
      </c>
      <c r="Q343">
        <v>111.7</v>
      </c>
      <c r="R343">
        <v>112.7</v>
      </c>
      <c r="S343">
        <v>111.4</v>
      </c>
      <c r="T343">
        <v>112.5</v>
      </c>
      <c r="U343">
        <v>140.85</v>
      </c>
      <c r="V343">
        <v>111.1</v>
      </c>
      <c r="W343">
        <v>109.6</v>
      </c>
      <c r="X343">
        <v>108.3</v>
      </c>
      <c r="Y343">
        <v>109.3</v>
      </c>
      <c r="Z343">
        <v>107.7</v>
      </c>
      <c r="AA343">
        <v>109.8</v>
      </c>
      <c r="AB343">
        <v>106.7</v>
      </c>
      <c r="AC343">
        <v>108.7</v>
      </c>
      <c r="AD343">
        <v>114.2</v>
      </c>
      <c r="AE343">
        <v>114.30000000000003</v>
      </c>
      <c r="AF343">
        <v>112.2</v>
      </c>
      <c r="AG343">
        <v>125.22499999999999</v>
      </c>
      <c r="AH343" s="2">
        <f>All_India_Index_Upto_April23__1[[#This Row],[House]]/All_India_Index_Upto_April23__1[[#This Row],[TOTAL BROADER CATEGORIES]]</f>
        <v>0.11247838681427258</v>
      </c>
      <c r="AI343" s="2">
        <f>All_India_Index_Upto_April23__1[[#This Row],[Cloth]]/All_India_Index_Upto_April23__1[[#This Row],[TOTAL BROADER CATEGORIES]]</f>
        <v>0.10077919744908272</v>
      </c>
      <c r="AJ343" s="2">
        <f>All_India_Index_Upto_April23__1[[#This Row],[Food]]/All_India_Index_Upto_April23__1[[#This Row],[TOTAL BROADER CATEGORIES]]</f>
        <v>0.10266543911256824</v>
      </c>
      <c r="AK343" s="2">
        <f>All_India_Index_Upto_April23__1[[#This Row],[Miscellaneous]]/All_India_Index_Upto_April23__1[[#This Row],[TOTAL BROADER CATEGORIES]]</f>
        <v>9.7635461343273541E-2</v>
      </c>
      <c r="AL343" s="2">
        <f>All_India_Index_Upto_April23__1[[#This Row],[Personal care and effects]]/All_India_Index_Upto_April23__1[[#This Row],[TOTAL BROADER CATEGORIES]]</f>
        <v>9.5839040711382592E-2</v>
      </c>
      <c r="AM343" s="2">
        <f>All_India_Index_Upto_April23__1[[#This Row],[Education]]/All_India_Index_Upto_April23__1[[#This Row],[TOTAL BROADER CATEGORIES]]</f>
        <v>9.8623492690813566E-2</v>
      </c>
      <c r="AN343" s="2">
        <f>All_India_Index_Upto_April23__1[[#This Row],[Recreation and amusement]]/All_India_Index_Upto_April23__1[[#This Row],[TOTAL BROADER CATEGORIES]]</f>
        <v>9.6737251027328067E-2</v>
      </c>
      <c r="AO343" s="2">
        <f>All_India_Index_Upto_April23__1[[#This Row],[Transport and communication]]/All_India_Index_Upto_April23__1[[#This Row],[TOTAL BROADER CATEGORIES]]</f>
        <v>9.8174387532840829E-2</v>
      </c>
      <c r="AP343" s="2">
        <f>All_India_Index_Upto_April23__1[[#This Row],[Health]]/All_India_Index_Upto_April23__1[[#This Row],[TOTAL BROADER CATEGORIES]]</f>
        <v>9.7276177216895354E-2</v>
      </c>
      <c r="AQ343" s="2">
        <f>All_India_Index_Upto_April23__1[[#This Row],[Fuel and light]]/All_India_Index_Upto_April23__1[[#This Row],[TOTAL BROADER CATEGORIES]]</f>
        <v>9.9791166101542692E-2</v>
      </c>
      <c r="AR343">
        <f>MONTH(1 &amp; All_India_Index_Upto_April23__1[[#This Row],[Month]])</f>
        <v>9</v>
      </c>
      <c r="AS343" s="19" t="str">
        <f>All_India_Index_Upto_April23__1[[#This Row],[MONTH IN NUM]]&amp;"/"&amp;All_India_Index_Upto_April23__1[[#This Row],[Year]]</f>
        <v>9/2013</v>
      </c>
      <c r="AT34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115.42142857142858</v>
      </c>
      <c r="AU34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1113.3249999999998</v>
      </c>
    </row>
    <row r="344" spans="1:47" x14ac:dyDescent="0.3">
      <c r="A344" t="s">
        <v>30</v>
      </c>
      <c r="B344">
        <v>2013</v>
      </c>
      <c r="C344" t="s">
        <v>40</v>
      </c>
      <c r="D344">
        <v>114.3</v>
      </c>
      <c r="E344">
        <v>115.4</v>
      </c>
      <c r="F344">
        <v>111.1</v>
      </c>
      <c r="G344">
        <v>110</v>
      </c>
      <c r="H344">
        <v>106.4</v>
      </c>
      <c r="I344">
        <v>110.8</v>
      </c>
      <c r="J344">
        <v>138.9</v>
      </c>
      <c r="K344">
        <v>107.4</v>
      </c>
      <c r="L344">
        <v>104.1</v>
      </c>
      <c r="M344">
        <v>106.9</v>
      </c>
      <c r="N344">
        <v>109.7</v>
      </c>
      <c r="O344">
        <v>112.6</v>
      </c>
      <c r="P344">
        <v>114.9</v>
      </c>
      <c r="Q344">
        <v>110.7</v>
      </c>
      <c r="R344">
        <v>111.3</v>
      </c>
      <c r="S344">
        <v>110.2</v>
      </c>
      <c r="T344">
        <v>111.1</v>
      </c>
      <c r="U344">
        <v>140.85</v>
      </c>
      <c r="V344">
        <v>109.9</v>
      </c>
      <c r="W344">
        <v>108.7</v>
      </c>
      <c r="X344">
        <v>107.5</v>
      </c>
      <c r="Y344">
        <v>107.8</v>
      </c>
      <c r="Z344">
        <v>106.8</v>
      </c>
      <c r="AA344">
        <v>108.7</v>
      </c>
      <c r="AB344">
        <v>105</v>
      </c>
      <c r="AC344">
        <v>107.5</v>
      </c>
      <c r="AD344">
        <v>112.1</v>
      </c>
      <c r="AE344">
        <v>112.37142857142858</v>
      </c>
      <c r="AF344">
        <v>110.86666666666667</v>
      </c>
      <c r="AG344">
        <v>124.77500000000001</v>
      </c>
      <c r="AH344" s="2">
        <f>All_India_Index_Upto_April23__1[[#This Row],[House]]/All_India_Index_Upto_April23__1[[#This Row],[TOTAL BROADER CATEGORIES]]</f>
        <v>0.11330686180500076</v>
      </c>
      <c r="AI344" s="2">
        <f>All_India_Index_Upto_April23__1[[#This Row],[Cloth]]/All_India_Index_Upto_April23__1[[#This Row],[TOTAL BROADER CATEGORIES]]</f>
        <v>0.10067685096198024</v>
      </c>
      <c r="AJ344" s="2">
        <f>All_India_Index_Upto_April23__1[[#This Row],[Food]]/All_India_Index_Upto_April23__1[[#This Row],[TOTAL BROADER CATEGORIES]]</f>
        <v>0.10204330938067219</v>
      </c>
      <c r="AK344" s="2">
        <f>All_India_Index_Upto_April23__1[[#This Row],[Miscellaneous]]/All_India_Index_Upto_April23__1[[#This Row],[TOTAL BROADER CATEGORIES]]</f>
        <v>9.7619616461932124E-2</v>
      </c>
      <c r="AL344" s="2">
        <f>All_India_Index_Upto_April23__1[[#This Row],[Personal care and effects]]/All_India_Index_Upto_April23__1[[#This Row],[TOTAL BROADER CATEGORIES]]</f>
        <v>9.5349392823282544E-2</v>
      </c>
      <c r="AM344" s="2">
        <f>All_India_Index_Upto_April23__1[[#This Row],[Education]]/All_India_Index_Upto_April23__1[[#This Row],[TOTAL BROADER CATEGORIES]]</f>
        <v>9.8709323808483934E-2</v>
      </c>
      <c r="AN344" s="2">
        <f>All_India_Index_Upto_April23__1[[#This Row],[Recreation and amusement]]/All_India_Index_Upto_April23__1[[#This Row],[TOTAL BROADER CATEGORIES]]</f>
        <v>9.6983953843110246E-2</v>
      </c>
      <c r="AO344" s="2">
        <f>All_India_Index_Upto_April23__1[[#This Row],[Transport and communication]]/All_India_Index_Upto_April23__1[[#This Row],[TOTAL BROADER CATEGORIES]]</f>
        <v>9.7892043298570069E-2</v>
      </c>
      <c r="AP344" s="2">
        <f>All_India_Index_Upto_April23__1[[#This Row],[Health]]/All_India_Index_Upto_April23__1[[#This Row],[TOTAL BROADER CATEGORIES]]</f>
        <v>9.7619616461932124E-2</v>
      </c>
      <c r="AQ344" s="2">
        <f>All_India_Index_Upto_April23__1[[#This Row],[Fuel and light]]/All_India_Index_Upto_April23__1[[#This Row],[TOTAL BROADER CATEGORIES]]</f>
        <v>9.9799031155035731E-2</v>
      </c>
      <c r="AR344">
        <f>MONTH(1 &amp; All_India_Index_Upto_April23__1[[#This Row],[Month]])</f>
        <v>8</v>
      </c>
      <c r="AS344" s="19" t="str">
        <f>All_India_Index_Upto_April23__1[[#This Row],[MONTH IN NUM]]&amp;"/"&amp;All_India_Index_Upto_April23__1[[#This Row],[Year]]</f>
        <v>8/2013</v>
      </c>
      <c r="AT34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114.39285714285714</v>
      </c>
      <c r="AU34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1101.2130952380953</v>
      </c>
    </row>
    <row r="345" spans="1:47" x14ac:dyDescent="0.3">
      <c r="A345" t="s">
        <v>32</v>
      </c>
      <c r="B345">
        <v>2013</v>
      </c>
      <c r="C345" t="s">
        <v>40</v>
      </c>
      <c r="D345">
        <v>118.3</v>
      </c>
      <c r="E345">
        <v>120.4</v>
      </c>
      <c r="F345">
        <v>112.7</v>
      </c>
      <c r="G345">
        <v>108.9</v>
      </c>
      <c r="H345">
        <v>101.1</v>
      </c>
      <c r="I345">
        <v>108.7</v>
      </c>
      <c r="J345">
        <v>177</v>
      </c>
      <c r="K345">
        <v>104.7</v>
      </c>
      <c r="L345">
        <v>101</v>
      </c>
      <c r="M345">
        <v>108.5</v>
      </c>
      <c r="N345">
        <v>110.9</v>
      </c>
      <c r="O345">
        <v>114.3</v>
      </c>
      <c r="P345">
        <v>119.6</v>
      </c>
      <c r="Q345">
        <v>112.4</v>
      </c>
      <c r="R345">
        <v>110.6</v>
      </c>
      <c r="S345">
        <v>108.3</v>
      </c>
      <c r="T345">
        <v>110.2</v>
      </c>
      <c r="U345">
        <v>108.9</v>
      </c>
      <c r="V345">
        <v>109.3</v>
      </c>
      <c r="W345">
        <v>108.7</v>
      </c>
      <c r="X345">
        <v>107.6</v>
      </c>
      <c r="Y345">
        <v>108.1</v>
      </c>
      <c r="Z345">
        <v>106.5</v>
      </c>
      <c r="AA345">
        <v>110.8</v>
      </c>
      <c r="AB345">
        <v>106</v>
      </c>
      <c r="AC345">
        <v>108.3</v>
      </c>
      <c r="AD345">
        <v>112.7</v>
      </c>
      <c r="AE345">
        <v>115.60714285714288</v>
      </c>
      <c r="AF345">
        <v>109.69999999999999</v>
      </c>
      <c r="AG345">
        <v>108.80000000000001</v>
      </c>
      <c r="AH345" s="2">
        <f>All_India_Index_Upto_April23__1[[#This Row],[House]]/All_India_Index_Upto_April23__1[[#This Row],[TOTAL BROADER CATEGORIES]]</f>
        <v>9.9751799291416463E-2</v>
      </c>
      <c r="AI345" s="2">
        <f>All_India_Index_Upto_April23__1[[#This Row],[Cloth]]/All_India_Index_Upto_April23__1[[#This Row],[TOTAL BROADER CATEGORIES]]</f>
        <v>0.10057695204290794</v>
      </c>
      <c r="AJ345" s="2">
        <f>All_India_Index_Upto_April23__1[[#This Row],[Food]]/All_India_Index_Upto_April23__1[[#This Row],[TOTAL BROADER CATEGORIES]]</f>
        <v>0.10599283557849104</v>
      </c>
      <c r="AK345" s="2">
        <f>All_India_Index_Upto_April23__1[[#This Row],[Miscellaneous]]/All_India_Index_Upto_April23__1[[#This Row],[TOTAL BROADER CATEGORIES]]</f>
        <v>9.9293381096143399E-2</v>
      </c>
      <c r="AL345" s="2">
        <f>All_India_Index_Upto_April23__1[[#This Row],[Personal care and effects]]/All_India_Index_Upto_April23__1[[#This Row],[TOTAL BROADER CATEGORIES]]</f>
        <v>9.7184657397887356E-2</v>
      </c>
      <c r="AM345" s="2">
        <f>All_India_Index_Upto_April23__1[[#This Row],[Education]]/All_India_Index_Upto_April23__1[[#This Row],[TOTAL BROADER CATEGORIES]]</f>
        <v>0.10158547207250866</v>
      </c>
      <c r="AN345" s="2">
        <f>All_India_Index_Upto_April23__1[[#This Row],[Recreation and amusement]]/All_India_Index_Upto_April23__1[[#This Row],[TOTAL BROADER CATEGORIES]]</f>
        <v>9.7643075593160406E-2</v>
      </c>
      <c r="AO345" s="2">
        <f>All_India_Index_Upto_April23__1[[#This Row],[Transport and communication]]/All_India_Index_Upto_April23__1[[#This Row],[TOTAL BROADER CATEGORIES]]</f>
        <v>9.9110013818034165E-2</v>
      </c>
      <c r="AP345" s="2">
        <f>All_India_Index_Upto_April23__1[[#This Row],[Health]]/All_India_Index_Upto_April23__1[[#This Row],[TOTAL BROADER CATEGORIES]]</f>
        <v>9.8651595622761115E-2</v>
      </c>
      <c r="AQ345" s="2">
        <f>All_India_Index_Upto_April23__1[[#This Row],[Fuel and light]]/All_India_Index_Upto_April23__1[[#This Row],[TOTAL BROADER CATEGORIES]]</f>
        <v>0.1002102174866895</v>
      </c>
      <c r="AR345">
        <f>MONTH(1 &amp; All_India_Index_Upto_April23__1[[#This Row],[Month]])</f>
        <v>8</v>
      </c>
      <c r="AS345" s="19" t="str">
        <f>All_India_Index_Upto_April23__1[[#This Row],[MONTH IN NUM]]&amp;"/"&amp;All_India_Index_Upto_April23__1[[#This Row],[Year]]</f>
        <v>8/2013</v>
      </c>
      <c r="AT34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109.54285714285716</v>
      </c>
      <c r="AU34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1090.7071428571428</v>
      </c>
    </row>
    <row r="346" spans="1:47" x14ac:dyDescent="0.3">
      <c r="A346" t="s">
        <v>33</v>
      </c>
      <c r="B346">
        <v>2013</v>
      </c>
      <c r="C346" t="s">
        <v>40</v>
      </c>
      <c r="D346">
        <v>115.6</v>
      </c>
      <c r="E346">
        <v>117.2</v>
      </c>
      <c r="F346">
        <v>111.7</v>
      </c>
      <c r="G346">
        <v>109.6</v>
      </c>
      <c r="H346">
        <v>104.5</v>
      </c>
      <c r="I346">
        <v>109.8</v>
      </c>
      <c r="J346">
        <v>151.80000000000001</v>
      </c>
      <c r="K346">
        <v>106.5</v>
      </c>
      <c r="L346">
        <v>103.1</v>
      </c>
      <c r="M346">
        <v>107.4</v>
      </c>
      <c r="N346">
        <v>110.2</v>
      </c>
      <c r="O346">
        <v>113.4</v>
      </c>
      <c r="P346">
        <v>116.6</v>
      </c>
      <c r="Q346">
        <v>111.2</v>
      </c>
      <c r="R346">
        <v>111</v>
      </c>
      <c r="S346">
        <v>109.4</v>
      </c>
      <c r="T346">
        <v>110.7</v>
      </c>
      <c r="U346">
        <v>108.9</v>
      </c>
      <c r="V346">
        <v>109.7</v>
      </c>
      <c r="W346">
        <v>108.7</v>
      </c>
      <c r="X346">
        <v>107.5</v>
      </c>
      <c r="Y346">
        <v>108</v>
      </c>
      <c r="Z346">
        <v>106.6</v>
      </c>
      <c r="AA346">
        <v>109.9</v>
      </c>
      <c r="AB346">
        <v>105.4</v>
      </c>
      <c r="AC346">
        <v>107.9</v>
      </c>
      <c r="AD346">
        <v>112.4</v>
      </c>
      <c r="AE346">
        <v>113.47142857142858</v>
      </c>
      <c r="AF346">
        <v>110.36666666666667</v>
      </c>
      <c r="AG346">
        <v>108.80000000000001</v>
      </c>
      <c r="AH346" s="2">
        <f>All_India_Index_Upto_April23__1[[#This Row],[House]]/All_India_Index_Upto_April23__1[[#This Row],[TOTAL BROADER CATEGORIES]]</f>
        <v>0.10003327437347859</v>
      </c>
      <c r="AI346" s="2">
        <f>All_India_Index_Upto_April23__1[[#This Row],[Cloth]]/All_India_Index_Upto_April23__1[[#This Row],[TOTAL BROADER CATEGORIES]]</f>
        <v>0.10147370448853786</v>
      </c>
      <c r="AJ346" s="2">
        <f>All_India_Index_Upto_April23__1[[#This Row],[Food]]/All_India_Index_Upto_April23__1[[#This Row],[TOTAL BROADER CATEGORIES]]</f>
        <v>0.10432829547643649</v>
      </c>
      <c r="AK346" s="2">
        <f>All_India_Index_Upto_April23__1[[#This Row],[Miscellaneous]]/All_India_Index_Upto_April23__1[[#This Row],[TOTAL BROADER CATEGORIES]]</f>
        <v>9.9205793243550902E-2</v>
      </c>
      <c r="AL346" s="2">
        <f>All_India_Index_Upto_April23__1[[#This Row],[Personal care and effects]]/All_India_Index_Upto_April23__1[[#This Row],[TOTAL BROADER CATEGORIES]]</f>
        <v>9.6907234549307372E-2</v>
      </c>
      <c r="AM346" s="2">
        <f>All_India_Index_Upto_April23__1[[#This Row],[Education]]/All_India_Index_Upto_April23__1[[#This Row],[TOTAL BROADER CATEGORIES]]</f>
        <v>0.10104464019894573</v>
      </c>
      <c r="AN346" s="2">
        <f>All_India_Index_Upto_April23__1[[#This Row],[Recreation and amusement]]/All_India_Index_Upto_April23__1[[#This Row],[TOTAL BROADER CATEGORIES]]</f>
        <v>9.8010542722544253E-2</v>
      </c>
      <c r="AO346" s="2">
        <f>All_India_Index_Upto_April23__1[[#This Row],[Transport and communication]]/All_India_Index_Upto_April23__1[[#This Row],[TOTAL BROADER CATEGORIES]]</f>
        <v>9.9297735591320643E-2</v>
      </c>
      <c r="AP346" s="2">
        <f>All_India_Index_Upto_April23__1[[#This Row],[Health]]/All_India_Index_Upto_April23__1[[#This Row],[TOTAL BROADER CATEGORIES]]</f>
        <v>9.8838023852471937E-2</v>
      </c>
      <c r="AQ346" s="2">
        <f>All_India_Index_Upto_April23__1[[#This Row],[Fuel and light]]/All_India_Index_Upto_April23__1[[#This Row],[TOTAL BROADER CATEGORIES]]</f>
        <v>0.10086075550340624</v>
      </c>
      <c r="AR346">
        <f>MONTH(1 &amp; All_India_Index_Upto_April23__1[[#This Row],[Month]])</f>
        <v>8</v>
      </c>
      <c r="AS346" s="19" t="str">
        <f>All_India_Index_Upto_April23__1[[#This Row],[MONTH IN NUM]]&amp;"/"&amp;All_India_Index_Upto_April23__1[[#This Row],[Year]]</f>
        <v>8/2013</v>
      </c>
      <c r="AT34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109.75714285714287</v>
      </c>
      <c r="AU34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1087.6380952380953</v>
      </c>
    </row>
    <row r="347" spans="1:47" x14ac:dyDescent="0.3">
      <c r="A347" t="s">
        <v>33</v>
      </c>
      <c r="B347">
        <v>2013</v>
      </c>
      <c r="C347" t="s">
        <v>39</v>
      </c>
      <c r="D347">
        <v>114.8</v>
      </c>
      <c r="E347">
        <v>116.4</v>
      </c>
      <c r="F347">
        <v>111.9</v>
      </c>
      <c r="G347">
        <v>108.9</v>
      </c>
      <c r="H347">
        <v>104.3</v>
      </c>
      <c r="I347">
        <v>111.7</v>
      </c>
      <c r="J347">
        <v>140</v>
      </c>
      <c r="K347">
        <v>106.4</v>
      </c>
      <c r="L347">
        <v>103.3</v>
      </c>
      <c r="M347">
        <v>106.8</v>
      </c>
      <c r="N347">
        <v>109.6</v>
      </c>
      <c r="O347">
        <v>112.6</v>
      </c>
      <c r="P347">
        <v>114.7</v>
      </c>
      <c r="Q347">
        <v>110.3</v>
      </c>
      <c r="R347">
        <v>110.2</v>
      </c>
      <c r="S347">
        <v>108.8</v>
      </c>
      <c r="T347">
        <v>110</v>
      </c>
      <c r="U347">
        <v>107.7</v>
      </c>
      <c r="V347">
        <v>109.2</v>
      </c>
      <c r="W347">
        <v>108.2</v>
      </c>
      <c r="X347">
        <v>107</v>
      </c>
      <c r="Y347">
        <v>107.1</v>
      </c>
      <c r="Z347">
        <v>106.1</v>
      </c>
      <c r="AA347">
        <v>109.1</v>
      </c>
      <c r="AB347">
        <v>102.8</v>
      </c>
      <c r="AC347">
        <v>106.9</v>
      </c>
      <c r="AD347">
        <v>111</v>
      </c>
      <c r="AE347">
        <v>112.26428571428571</v>
      </c>
      <c r="AF347">
        <v>109.66666666666667</v>
      </c>
      <c r="AG347">
        <v>107.95</v>
      </c>
      <c r="AH347" s="2">
        <f>All_India_Index_Upto_April23__1[[#This Row],[House]]/All_India_Index_Upto_April23__1[[#This Row],[TOTAL BROADER CATEGORIES]]</f>
        <v>0.10013162718587261</v>
      </c>
      <c r="AI347" s="2">
        <f>All_India_Index_Upto_April23__1[[#This Row],[Cloth]]/All_India_Index_Upto_April23__1[[#This Row],[TOTAL BROADER CATEGORIES]]</f>
        <v>0.10172396277335831</v>
      </c>
      <c r="AJ347" s="2">
        <f>All_India_Index_Upto_April23__1[[#This Row],[Food]]/All_India_Index_Upto_April23__1[[#This Row],[TOTAL BROADER CATEGORIES]]</f>
        <v>0.10413344699797258</v>
      </c>
      <c r="AK347" s="2">
        <f>All_India_Index_Upto_April23__1[[#This Row],[Miscellaneous]]/All_India_Index_Upto_April23__1[[#This Row],[TOTAL BROADER CATEGORIES]]</f>
        <v>9.915767435080855E-2</v>
      </c>
      <c r="AL347" s="2">
        <f>All_India_Index_Upto_April23__1[[#This Row],[Personal care and effects]]/All_India_Index_Upto_April23__1[[#This Row],[TOTAL BROADER CATEGORIES]]</f>
        <v>9.5354620423415512E-2</v>
      </c>
      <c r="AM347" s="2">
        <f>All_India_Index_Upto_April23__1[[#This Row],[Education]]/All_India_Index_Upto_April23__1[[#This Row],[TOTAL BROADER CATEGORIES]]</f>
        <v>0.10119833743379991</v>
      </c>
      <c r="AN347" s="2">
        <f>All_India_Index_Upto_April23__1[[#This Row],[Recreation and amusement]]/All_India_Index_Upto_April23__1[[#This Row],[TOTAL BROADER CATEGORIES]]</f>
        <v>9.8415615047902583E-2</v>
      </c>
      <c r="AO347" s="2">
        <f>All_India_Index_Upto_April23__1[[#This Row],[Transport and communication]]/All_India_Index_Upto_April23__1[[#This Row],[TOTAL BROADER CATEGORIES]]</f>
        <v>9.9343189176535021E-2</v>
      </c>
      <c r="AP347" s="2">
        <f>All_India_Index_Upto_April23__1[[#This Row],[Health]]/All_India_Index_Upto_April23__1[[#This Row],[TOTAL BROADER CATEGORIES]]</f>
        <v>9.9250431763671779E-2</v>
      </c>
      <c r="AQ347" s="2">
        <f>All_India_Index_Upto_April23__1[[#This Row],[Fuel and light]]/All_India_Index_Upto_April23__1[[#This Row],[TOTAL BROADER CATEGORIES]]</f>
        <v>0.10129109484666317</v>
      </c>
      <c r="AR347">
        <f>MONTH(1 &amp; All_India_Index_Upto_April23__1[[#This Row],[Month]])</f>
        <v>7</v>
      </c>
      <c r="AS347" s="19" t="str">
        <f>All_India_Index_Upto_April23__1[[#This Row],[MONTH IN NUM]]&amp;"/"&amp;All_India_Index_Upto_April23__1[[#This Row],[Year]]</f>
        <v>7/2013</v>
      </c>
      <c r="AT34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109.02857142857144</v>
      </c>
      <c r="AU34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1078.0809523809523</v>
      </c>
    </row>
    <row r="348" spans="1:47" x14ac:dyDescent="0.3">
      <c r="A348" t="s">
        <v>30</v>
      </c>
      <c r="B348">
        <v>2013</v>
      </c>
      <c r="C348" t="s">
        <v>39</v>
      </c>
      <c r="D348">
        <v>113.4</v>
      </c>
      <c r="E348">
        <v>114.9</v>
      </c>
      <c r="F348">
        <v>110.5</v>
      </c>
      <c r="G348">
        <v>109.3</v>
      </c>
      <c r="H348">
        <v>106.2</v>
      </c>
      <c r="I348">
        <v>110.3</v>
      </c>
      <c r="J348">
        <v>129.19999999999999</v>
      </c>
      <c r="K348">
        <v>107.1</v>
      </c>
      <c r="L348">
        <v>104.3</v>
      </c>
      <c r="M348">
        <v>106.4</v>
      </c>
      <c r="N348">
        <v>109.1</v>
      </c>
      <c r="O348">
        <v>112.1</v>
      </c>
      <c r="P348">
        <v>113.1</v>
      </c>
      <c r="Q348">
        <v>109.8</v>
      </c>
      <c r="R348">
        <v>110.5</v>
      </c>
      <c r="S348">
        <v>109.5</v>
      </c>
      <c r="T348">
        <v>110.3</v>
      </c>
      <c r="U348">
        <v>140.85</v>
      </c>
      <c r="V348">
        <v>109.5</v>
      </c>
      <c r="W348">
        <v>108.3</v>
      </c>
      <c r="X348">
        <v>106.9</v>
      </c>
      <c r="Y348">
        <v>106.8</v>
      </c>
      <c r="Z348">
        <v>106.4</v>
      </c>
      <c r="AA348">
        <v>107.8</v>
      </c>
      <c r="AB348">
        <v>102.5</v>
      </c>
      <c r="AC348">
        <v>106.5</v>
      </c>
      <c r="AD348">
        <v>110.7</v>
      </c>
      <c r="AE348">
        <v>111.12142857142854</v>
      </c>
      <c r="AF348">
        <v>110.10000000000001</v>
      </c>
      <c r="AG348">
        <v>124.57499999999999</v>
      </c>
      <c r="AH348" s="2">
        <f>All_India_Index_Upto_April23__1[[#This Row],[House]]/All_India_Index_Upto_April23__1[[#This Row],[TOTAL BROADER CATEGORIES]]</f>
        <v>0.11405915340974118</v>
      </c>
      <c r="AI348" s="2">
        <f>All_India_Index_Upto_April23__1[[#This Row],[Cloth]]/All_India_Index_Upto_April23__1[[#This Row],[TOTAL BROADER CATEGORIES]]</f>
        <v>0.10080604286905484</v>
      </c>
      <c r="AJ348" s="2">
        <f>All_India_Index_Upto_April23__1[[#This Row],[Food]]/All_India_Index_Upto_April23__1[[#This Row],[TOTAL BROADER CATEGORIES]]</f>
        <v>0.10174124879420562</v>
      </c>
      <c r="AK348" s="2">
        <f>All_India_Index_Upto_April23__1[[#This Row],[Miscellaneous]]/All_India_Index_Upto_April23__1[[#This Row],[TOTAL BROADER CATEGORIES]]</f>
        <v>9.7509932475516259E-2</v>
      </c>
      <c r="AL348" s="2">
        <f>All_India_Index_Upto_April23__1[[#This Row],[Personal care and effects]]/All_India_Index_Upto_April23__1[[#This Row],[TOTAL BROADER CATEGORIES]]</f>
        <v>9.3847587593806722E-2</v>
      </c>
      <c r="AM348" s="2">
        <f>All_India_Index_Upto_April23__1[[#This Row],[Education]]/All_India_Index_Upto_April23__1[[#This Row],[TOTAL BROADER CATEGORIES]]</f>
        <v>9.8700194562071852E-2</v>
      </c>
      <c r="AN348" s="2">
        <f>All_India_Index_Upto_April23__1[[#This Row],[Recreation and amusement]]/All_India_Index_Upto_April23__1[[#This Row],[TOTAL BROADER CATEGORIES]]</f>
        <v>9.7418373853473517E-2</v>
      </c>
      <c r="AO348" s="2">
        <f>All_India_Index_Upto_April23__1[[#This Row],[Transport and communication]]/All_India_Index_Upto_April23__1[[#This Row],[TOTAL BROADER CATEGORIES]]</f>
        <v>9.7784608341644472E-2</v>
      </c>
      <c r="AP348" s="2">
        <f>All_India_Index_Upto_April23__1[[#This Row],[Health]]/All_India_Index_Upto_April23__1[[#This Row],[TOTAL BROADER CATEGORIES]]</f>
        <v>9.7876166963687214E-2</v>
      </c>
      <c r="AQ348" s="2">
        <f>All_India_Index_Upto_April23__1[[#This Row],[Fuel and light]]/All_India_Index_Upto_April23__1[[#This Row],[TOTAL BROADER CATEGORIES]]</f>
        <v>0.1002566911367984</v>
      </c>
      <c r="AR348">
        <f>MONTH(1 &amp; All_India_Index_Upto_April23__1[[#This Row],[Month]])</f>
        <v>7</v>
      </c>
      <c r="AS348" s="19" t="str">
        <f>All_India_Index_Upto_April23__1[[#This Row],[MONTH IN NUM]]&amp;"/"&amp;All_India_Index_Upto_April23__1[[#This Row],[Year]]</f>
        <v>7/2013</v>
      </c>
      <c r="AT34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113.82142857142857</v>
      </c>
      <c r="AU34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1092.1964285714284</v>
      </c>
    </row>
    <row r="349" spans="1:47" x14ac:dyDescent="0.3">
      <c r="A349" t="s">
        <v>32</v>
      </c>
      <c r="B349">
        <v>2013</v>
      </c>
      <c r="C349" t="s">
        <v>39</v>
      </c>
      <c r="D349">
        <v>117.8</v>
      </c>
      <c r="E349">
        <v>119.2</v>
      </c>
      <c r="F349">
        <v>114</v>
      </c>
      <c r="G349">
        <v>108.3</v>
      </c>
      <c r="H349">
        <v>101.1</v>
      </c>
      <c r="I349">
        <v>113.2</v>
      </c>
      <c r="J349">
        <v>160.9</v>
      </c>
      <c r="K349">
        <v>105.1</v>
      </c>
      <c r="L349">
        <v>101.3</v>
      </c>
      <c r="M349">
        <v>107.5</v>
      </c>
      <c r="N349">
        <v>110.4</v>
      </c>
      <c r="O349">
        <v>113.1</v>
      </c>
      <c r="P349">
        <v>117.5</v>
      </c>
      <c r="Q349">
        <v>111.7</v>
      </c>
      <c r="R349">
        <v>109.8</v>
      </c>
      <c r="S349">
        <v>107.8</v>
      </c>
      <c r="T349">
        <v>109.5</v>
      </c>
      <c r="U349">
        <v>107.7</v>
      </c>
      <c r="V349">
        <v>108.6</v>
      </c>
      <c r="W349">
        <v>108.1</v>
      </c>
      <c r="X349">
        <v>107.1</v>
      </c>
      <c r="Y349">
        <v>107.3</v>
      </c>
      <c r="Z349">
        <v>105.9</v>
      </c>
      <c r="AA349">
        <v>110.1</v>
      </c>
      <c r="AB349">
        <v>103.2</v>
      </c>
      <c r="AC349">
        <v>107.3</v>
      </c>
      <c r="AD349">
        <v>111.4</v>
      </c>
      <c r="AE349">
        <v>114.36428571428573</v>
      </c>
      <c r="AF349">
        <v>109.03333333333335</v>
      </c>
      <c r="AG349">
        <v>107.9</v>
      </c>
      <c r="AH349" s="2">
        <f>All_India_Index_Upto_April23__1[[#This Row],[House]]/All_India_Index_Upto_April23__1[[#This Row],[TOTAL BROADER CATEGORIES]]</f>
        <v>9.9833676627711018E-2</v>
      </c>
      <c r="AI349" s="2">
        <f>All_India_Index_Upto_April23__1[[#This Row],[Cloth]]/All_India_Index_Upto_April23__1[[#This Row],[TOTAL BROADER CATEGORIES]]</f>
        <v>0.10088228490863231</v>
      </c>
      <c r="AJ349" s="2">
        <f>All_India_Index_Upto_April23__1[[#This Row],[Food]]/All_India_Index_Upto_April23__1[[#This Row],[TOTAL BROADER CATEGORIES]]</f>
        <v>0.10581470915439437</v>
      </c>
      <c r="AK349" s="2">
        <f>All_India_Index_Upto_April23__1[[#This Row],[Miscellaneous]]/All_India_Index_Upto_April23__1[[#This Row],[TOTAL BROADER CATEGORIES]]</f>
        <v>9.9278531067223286E-2</v>
      </c>
      <c r="AL349" s="2">
        <f>All_India_Index_Upto_April23__1[[#This Row],[Personal care and effects]]/All_India_Index_Upto_April23__1[[#This Row],[TOTAL BROADER CATEGORIES]]</f>
        <v>9.548503640389043E-2</v>
      </c>
      <c r="AM349" s="2">
        <f>All_India_Index_Upto_April23__1[[#This Row],[Education]]/All_India_Index_Upto_April23__1[[#This Row],[TOTAL BROADER CATEGORIES]]</f>
        <v>0.10186921034949938</v>
      </c>
      <c r="AN349" s="2">
        <f>All_India_Index_Upto_April23__1[[#This Row],[Recreation and amusement]]/All_India_Index_Upto_April23__1[[#This Row],[TOTAL BROADER CATEGORIES]]</f>
        <v>9.7983191426085234E-2</v>
      </c>
      <c r="AO349" s="2">
        <f>All_India_Index_Upto_April23__1[[#This Row],[Transport and communication]]/All_India_Index_Upto_April23__1[[#This Row],[TOTAL BROADER CATEGORIES]]</f>
        <v>9.9278531067223286E-2</v>
      </c>
      <c r="AP349" s="2">
        <f>All_India_Index_Upto_April23__1[[#This Row],[Health]]/All_India_Index_Upto_April23__1[[#This Row],[TOTAL BROADER CATEGORIES]]</f>
        <v>9.9093482547060699E-2</v>
      </c>
      <c r="AQ349" s="2">
        <f>All_India_Index_Upto_April23__1[[#This Row],[Fuel and light]]/All_India_Index_Upto_April23__1[[#This Row],[TOTAL BROADER CATEGORIES]]</f>
        <v>0.10048134644828004</v>
      </c>
      <c r="AR349">
        <f>MONTH(1 &amp; All_India_Index_Upto_April23__1[[#This Row],[Month]])</f>
        <v>7</v>
      </c>
      <c r="AS349" s="19" t="str">
        <f>All_India_Index_Upto_April23__1[[#This Row],[MONTH IN NUM]]&amp;"/"&amp;All_India_Index_Upto_April23__1[[#This Row],[Year]]</f>
        <v>7/2013</v>
      </c>
      <c r="AT34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108.79999999999998</v>
      </c>
      <c r="AU34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1080.797619047619</v>
      </c>
    </row>
    <row r="350" spans="1:47" x14ac:dyDescent="0.3">
      <c r="A350" t="s">
        <v>32</v>
      </c>
      <c r="B350">
        <v>2013</v>
      </c>
      <c r="C350" t="s">
        <v>38</v>
      </c>
      <c r="D350">
        <v>117</v>
      </c>
      <c r="E350">
        <v>120.1</v>
      </c>
      <c r="F350">
        <v>112.5</v>
      </c>
      <c r="G350">
        <v>107.3</v>
      </c>
      <c r="H350">
        <v>101.3</v>
      </c>
      <c r="I350">
        <v>112.4</v>
      </c>
      <c r="J350">
        <v>143.6</v>
      </c>
      <c r="K350">
        <v>105.4</v>
      </c>
      <c r="L350">
        <v>101.4</v>
      </c>
      <c r="M350">
        <v>106.4</v>
      </c>
      <c r="N350">
        <v>110</v>
      </c>
      <c r="O350">
        <v>112.2</v>
      </c>
      <c r="P350">
        <v>115</v>
      </c>
      <c r="Q350">
        <v>110.9</v>
      </c>
      <c r="R350">
        <v>109.2</v>
      </c>
      <c r="S350">
        <v>107.2</v>
      </c>
      <c r="T350">
        <v>108.9</v>
      </c>
      <c r="U350">
        <v>106.6</v>
      </c>
      <c r="V350">
        <v>108</v>
      </c>
      <c r="W350">
        <v>107.7</v>
      </c>
      <c r="X350">
        <v>106.5</v>
      </c>
      <c r="Y350">
        <v>105.2</v>
      </c>
      <c r="Z350">
        <v>105.2</v>
      </c>
      <c r="AA350">
        <v>108.1</v>
      </c>
      <c r="AB350">
        <v>103.3</v>
      </c>
      <c r="AC350">
        <v>106.1</v>
      </c>
      <c r="AD350">
        <v>109.7</v>
      </c>
      <c r="AE350">
        <v>112.53571428571431</v>
      </c>
      <c r="AF350">
        <v>108.43333333333334</v>
      </c>
      <c r="AG350">
        <v>107.15</v>
      </c>
      <c r="AH350" s="2">
        <f>All_India_Index_Upto_April23__1[[#This Row],[House]]/All_India_Index_Upto_April23__1[[#This Row],[TOTAL BROADER CATEGORIES]]</f>
        <v>0.10009163334208149</v>
      </c>
      <c r="AI350" s="2">
        <f>All_India_Index_Upto_April23__1[[#This Row],[Cloth]]/All_India_Index_Upto_April23__1[[#This Row],[TOTAL BROADER CATEGORIES]]</f>
        <v>0.10129042876397296</v>
      </c>
      <c r="AJ350" s="2">
        <f>All_India_Index_Upto_April23__1[[#This Row],[Food]]/All_India_Index_Upto_April23__1[[#This Row],[TOTAL BROADER CATEGORIES]]</f>
        <v>0.10512257071558523</v>
      </c>
      <c r="AK350" s="2">
        <f>All_India_Index_Upto_April23__1[[#This Row],[Miscellaneous]]/All_India_Index_Upto_April23__1[[#This Row],[TOTAL BROADER CATEGORIES]]</f>
        <v>9.9110800724170278E-2</v>
      </c>
      <c r="AL350" s="2">
        <f>All_India_Index_Upto_April23__1[[#This Row],[Personal care and effects]]/All_India_Index_Upto_April23__1[[#This Row],[TOTAL BROADER CATEGORIES]]</f>
        <v>9.6495247076407067E-2</v>
      </c>
      <c r="AM350" s="2">
        <f>All_India_Index_Upto_April23__1[[#This Row],[Education]]/All_India_Index_Upto_April23__1[[#This Row],[TOTAL BROADER CATEGORIES]]</f>
        <v>0.10097905332971542</v>
      </c>
      <c r="AN350" s="2">
        <f>All_India_Index_Upto_April23__1[[#This Row],[Recreation and amusement]]/All_India_Index_Upto_April23__1[[#This Row],[TOTAL BROADER CATEGORIES]]</f>
        <v>9.8270087051674962E-2</v>
      </c>
      <c r="AO350" s="2">
        <f>All_India_Index_Upto_April23__1[[#This Row],[Transport and communication]]/All_India_Index_Upto_April23__1[[#This Row],[TOTAL BROADER CATEGORIES]]</f>
        <v>9.8270087051674962E-2</v>
      </c>
      <c r="AP350" s="2">
        <f>All_India_Index_Upto_April23__1[[#This Row],[Health]]/All_India_Index_Upto_April23__1[[#This Row],[TOTAL BROADER CATEGORIES]]</f>
        <v>9.9484451245279312E-2</v>
      </c>
      <c r="AQ350" s="2">
        <f>All_India_Index_Upto_April23__1[[#This Row],[Fuel and light]]/All_India_Index_Upto_April23__1[[#This Row],[TOTAL BROADER CATEGORIES]]</f>
        <v>0.10088564069943817</v>
      </c>
      <c r="AR350">
        <f>MONTH(1 &amp; All_India_Index_Upto_April23__1[[#This Row],[Month]])</f>
        <v>6</v>
      </c>
      <c r="AS350" s="19" t="str">
        <f>All_India_Index_Upto_April23__1[[#This Row],[MONTH IN NUM]]&amp;"/"&amp;All_India_Index_Upto_April23__1[[#This Row],[Year]]</f>
        <v>6/2013</v>
      </c>
      <c r="AT35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107.95714285714287</v>
      </c>
      <c r="AU35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1070.5190476190478</v>
      </c>
    </row>
    <row r="351" spans="1:47" x14ac:dyDescent="0.3">
      <c r="A351" t="s">
        <v>33</v>
      </c>
      <c r="B351">
        <v>2013</v>
      </c>
      <c r="C351" t="s">
        <v>38</v>
      </c>
      <c r="D351">
        <v>113.8</v>
      </c>
      <c r="E351">
        <v>114.9</v>
      </c>
      <c r="F351">
        <v>109.8</v>
      </c>
      <c r="G351">
        <v>107.9</v>
      </c>
      <c r="H351">
        <v>104.2</v>
      </c>
      <c r="I351">
        <v>110.7</v>
      </c>
      <c r="J351">
        <v>126.7</v>
      </c>
      <c r="K351">
        <v>106.3</v>
      </c>
      <c r="L351">
        <v>103.2</v>
      </c>
      <c r="M351">
        <v>105.7</v>
      </c>
      <c r="N351">
        <v>109</v>
      </c>
      <c r="O351">
        <v>111.6</v>
      </c>
      <c r="P351">
        <v>112.2</v>
      </c>
      <c r="Q351">
        <v>109.5</v>
      </c>
      <c r="R351">
        <v>109.5</v>
      </c>
      <c r="S351">
        <v>108.1</v>
      </c>
      <c r="T351">
        <v>109.3</v>
      </c>
      <c r="U351">
        <v>106.6</v>
      </c>
      <c r="V351">
        <v>108.3</v>
      </c>
      <c r="W351">
        <v>107.6</v>
      </c>
      <c r="X351">
        <v>106.4</v>
      </c>
      <c r="Y351">
        <v>105.1</v>
      </c>
      <c r="Z351">
        <v>105.4</v>
      </c>
      <c r="AA351">
        <v>107.4</v>
      </c>
      <c r="AB351">
        <v>102.8</v>
      </c>
      <c r="AC351">
        <v>105.8</v>
      </c>
      <c r="AD351">
        <v>109.3</v>
      </c>
      <c r="AE351">
        <v>110.39285714285714</v>
      </c>
      <c r="AF351">
        <v>108.96666666666665</v>
      </c>
      <c r="AG351">
        <v>107.1</v>
      </c>
      <c r="AH351" s="2">
        <f>All_India_Index_Upto_April23__1[[#This Row],[House]]/All_India_Index_Upto_April23__1[[#This Row],[TOTAL BROADER CATEGORIES]]</f>
        <v>0.10031287841451149</v>
      </c>
      <c r="AI351" s="2">
        <f>All_India_Index_Upto_April23__1[[#This Row],[Cloth]]/All_India_Index_Upto_April23__1[[#This Row],[TOTAL BROADER CATEGORIES]]</f>
        <v>0.10206125102304328</v>
      </c>
      <c r="AJ351" s="2">
        <f>All_India_Index_Upto_April23__1[[#This Row],[Food]]/All_India_Index_Upto_April23__1[[#This Row],[TOTAL BROADER CATEGORIES]]</f>
        <v>0.10339706121757204</v>
      </c>
      <c r="AK351" s="2">
        <f>All_India_Index_Upto_April23__1[[#This Row],[Miscellaneous]]/All_India_Index_Upto_April23__1[[#This Row],[TOTAL BROADER CATEGORIES]]</f>
        <v>9.9095261776426857E-2</v>
      </c>
      <c r="AL351" s="2">
        <f>All_India_Index_Upto_April23__1[[#This Row],[Personal care and effects]]/All_India_Index_Upto_April23__1[[#This Row],[TOTAL BROADER CATEGORIES]]</f>
        <v>9.6285377227000757E-2</v>
      </c>
      <c r="AM351" s="2">
        <f>All_India_Index_Upto_April23__1[[#This Row],[Education]]/All_India_Index_Upto_April23__1[[#This Row],[TOTAL BROADER CATEGORIES]]</f>
        <v>0.10059386686945411</v>
      </c>
      <c r="AN351" s="2">
        <f>All_India_Index_Upto_April23__1[[#This Row],[Recreation and amusement]]/All_India_Index_Upto_April23__1[[#This Row],[TOTAL BROADER CATEGORIES]]</f>
        <v>9.8720610503170048E-2</v>
      </c>
      <c r="AO351" s="2">
        <f>All_India_Index_Upto_April23__1[[#This Row],[Transport and communication]]/All_India_Index_Upto_April23__1[[#This Row],[TOTAL BROADER CATEGORIES]]</f>
        <v>9.8439622048227426E-2</v>
      </c>
      <c r="AP351" s="2">
        <f>All_India_Index_Upto_April23__1[[#This Row],[Health]]/All_India_Index_Upto_April23__1[[#This Row],[TOTAL BROADER CATEGORIES]]</f>
        <v>9.9657238686312086E-2</v>
      </c>
      <c r="AQ351" s="2">
        <f>All_India_Index_Upto_April23__1[[#This Row],[Fuel and light]]/All_India_Index_Upto_April23__1[[#This Row],[TOTAL BROADER CATEGORIES]]</f>
        <v>0.10143683223428193</v>
      </c>
      <c r="AR351">
        <f>MONTH(1 &amp; All_India_Index_Upto_April23__1[[#This Row],[Month]])</f>
        <v>6</v>
      </c>
      <c r="AS351" s="19" t="str">
        <f>All_India_Index_Upto_April23__1[[#This Row],[MONTH IN NUM]]&amp;"/"&amp;All_India_Index_Upto_April23__1[[#This Row],[Year]]</f>
        <v>6/2013</v>
      </c>
      <c r="AT35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108.11428571428571</v>
      </c>
      <c r="AU35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1067.6595238095238</v>
      </c>
    </row>
    <row r="352" spans="1:47" x14ac:dyDescent="0.3">
      <c r="A352" t="s">
        <v>30</v>
      </c>
      <c r="B352">
        <v>2013</v>
      </c>
      <c r="C352" t="s">
        <v>38</v>
      </c>
      <c r="D352">
        <v>112.3</v>
      </c>
      <c r="E352">
        <v>112.1</v>
      </c>
      <c r="F352">
        <v>108.1</v>
      </c>
      <c r="G352">
        <v>108.3</v>
      </c>
      <c r="H352">
        <v>105.9</v>
      </c>
      <c r="I352">
        <v>109.2</v>
      </c>
      <c r="J352">
        <v>118</v>
      </c>
      <c r="K352">
        <v>106.8</v>
      </c>
      <c r="L352">
        <v>104.1</v>
      </c>
      <c r="M352">
        <v>105.4</v>
      </c>
      <c r="N352">
        <v>108.2</v>
      </c>
      <c r="O352">
        <v>111</v>
      </c>
      <c r="P352">
        <v>110.6</v>
      </c>
      <c r="Q352">
        <v>109</v>
      </c>
      <c r="R352">
        <v>109.7</v>
      </c>
      <c r="S352">
        <v>108.8</v>
      </c>
      <c r="T352">
        <v>109.5</v>
      </c>
      <c r="U352">
        <v>140.85</v>
      </c>
      <c r="V352">
        <v>108.5</v>
      </c>
      <c r="W352">
        <v>107.5</v>
      </c>
      <c r="X352">
        <v>106.3</v>
      </c>
      <c r="Y352">
        <v>105</v>
      </c>
      <c r="Z352">
        <v>105.6</v>
      </c>
      <c r="AA352">
        <v>106.5</v>
      </c>
      <c r="AB352">
        <v>102.5</v>
      </c>
      <c r="AC352">
        <v>105.5</v>
      </c>
      <c r="AD352">
        <v>108.9</v>
      </c>
      <c r="AE352">
        <v>109.21428571428571</v>
      </c>
      <c r="AF352">
        <v>109.33333333333333</v>
      </c>
      <c r="AG352">
        <v>124.175</v>
      </c>
      <c r="AH352" s="2">
        <f>All_India_Index_Upto_April23__1[[#This Row],[House]]/All_India_Index_Upto_April23__1[[#This Row],[TOTAL BROADER CATEGORIES]]</f>
        <v>0.11469832406534836</v>
      </c>
      <c r="AI352" s="2">
        <f>All_India_Index_Upto_April23__1[[#This Row],[Cloth]]/All_India_Index_Upto_April23__1[[#This Row],[TOTAL BROADER CATEGORIES]]</f>
        <v>0.10098933036288642</v>
      </c>
      <c r="AJ352" s="2">
        <f>All_India_Index_Upto_April23__1[[#This Row],[Food]]/All_India_Index_Upto_April23__1[[#This Row],[TOTAL BROADER CATEGORIES]]</f>
        <v>0.10087936811292682</v>
      </c>
      <c r="AK352" s="2">
        <f>All_India_Index_Upto_April23__1[[#This Row],[Miscellaneous]]/All_India_Index_Upto_April23__1[[#This Row],[TOTAL BROADER CATEGORIES]]</f>
        <v>9.7448545914187654E-2</v>
      </c>
      <c r="AL352" s="2">
        <f>All_India_Index_Upto_April23__1[[#This Row],[Personal care and effects]]/All_India_Index_Upto_April23__1[[#This Row],[TOTAL BROADER CATEGORIES]]</f>
        <v>9.4677497215206019E-2</v>
      </c>
      <c r="AM352" s="2">
        <f>All_India_Index_Upto_April23__1[[#This Row],[Education]]/All_India_Index_Upto_April23__1[[#This Row],[TOTAL BROADER CATEGORIES]]</f>
        <v>9.8372228813848203E-2</v>
      </c>
      <c r="AN352" s="2">
        <f>All_India_Index_Upto_April23__1[[#This Row],[Recreation and amusement]]/All_India_Index_Upto_April23__1[[#This Row],[TOTAL BROADER CATEGORIES]]</f>
        <v>9.75409142041537E-2</v>
      </c>
      <c r="AO352" s="2">
        <f>All_India_Index_Upto_April23__1[[#This Row],[Transport and communication]]/All_India_Index_Upto_April23__1[[#This Row],[TOTAL BROADER CATEGORIES]]</f>
        <v>9.6986704464357379E-2</v>
      </c>
      <c r="AP352" s="2">
        <f>All_India_Index_Upto_April23__1[[#This Row],[Health]]/All_India_Index_Upto_April23__1[[#This Row],[TOTAL BROADER CATEGORIES]]</f>
        <v>9.8187492233916096E-2</v>
      </c>
      <c r="AQ352" s="2">
        <f>All_India_Index_Upto_April23__1[[#This Row],[Fuel and light]]/All_India_Index_Upto_April23__1[[#This Row],[TOTAL BROADER CATEGORIES]]</f>
        <v>0.1002195946131693</v>
      </c>
      <c r="AR352">
        <f>MONTH(1 &amp; All_India_Index_Upto_April23__1[[#This Row],[Month]])</f>
        <v>6</v>
      </c>
      <c r="AS352" s="19" t="str">
        <f>All_India_Index_Upto_April23__1[[#This Row],[MONTH IN NUM]]&amp;"/"&amp;All_India_Index_Upto_April23__1[[#This Row],[Year]]</f>
        <v>6/2013</v>
      </c>
      <c r="AT35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113.05</v>
      </c>
      <c r="AU35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1082.6226190476191</v>
      </c>
    </row>
    <row r="353" spans="1:47" x14ac:dyDescent="0.3">
      <c r="A353" t="s">
        <v>30</v>
      </c>
      <c r="B353">
        <v>2013</v>
      </c>
      <c r="C353" t="s">
        <v>37</v>
      </c>
      <c r="D353">
        <v>110.9</v>
      </c>
      <c r="E353">
        <v>109.8</v>
      </c>
      <c r="F353">
        <v>105.9</v>
      </c>
      <c r="G353">
        <v>107.5</v>
      </c>
      <c r="H353">
        <v>105.3</v>
      </c>
      <c r="I353">
        <v>108.1</v>
      </c>
      <c r="J353">
        <v>107.3</v>
      </c>
      <c r="K353">
        <v>106.1</v>
      </c>
      <c r="L353">
        <v>103.7</v>
      </c>
      <c r="M353">
        <v>104</v>
      </c>
      <c r="N353">
        <v>107.4</v>
      </c>
      <c r="O353">
        <v>109.9</v>
      </c>
      <c r="P353">
        <v>108.1</v>
      </c>
      <c r="Q353">
        <v>108.1</v>
      </c>
      <c r="R353">
        <v>108.8</v>
      </c>
      <c r="S353">
        <v>107.9</v>
      </c>
      <c r="T353">
        <v>108.6</v>
      </c>
      <c r="U353">
        <v>140.85</v>
      </c>
      <c r="V353">
        <v>107.5</v>
      </c>
      <c r="W353">
        <v>106.8</v>
      </c>
      <c r="X353">
        <v>105.7</v>
      </c>
      <c r="Y353">
        <v>104.1</v>
      </c>
      <c r="Z353">
        <v>105</v>
      </c>
      <c r="AA353">
        <v>105.5</v>
      </c>
      <c r="AB353">
        <v>102.1</v>
      </c>
      <c r="AC353">
        <v>104.8</v>
      </c>
      <c r="AD353">
        <v>107.2</v>
      </c>
      <c r="AE353">
        <v>107.29285714285713</v>
      </c>
      <c r="AF353">
        <v>108.43333333333332</v>
      </c>
      <c r="AG353">
        <v>123.82499999999999</v>
      </c>
      <c r="AH353" s="2">
        <f>All_India_Index_Upto_April23__1[[#This Row],[House]]/All_India_Index_Upto_April23__1[[#This Row],[TOTAL BROADER CATEGORIES]]</f>
        <v>0.11526633723823128</v>
      </c>
      <c r="AI353" s="2">
        <f>All_India_Index_Upto_April23__1[[#This Row],[Cloth]]/All_India_Index_Upto_April23__1[[#This Row],[TOTAL BROADER CATEGORIES]]</f>
        <v>0.10093852750143788</v>
      </c>
      <c r="AJ353" s="2">
        <f>All_India_Index_Upto_April23__1[[#This Row],[Food]]/All_India_Index_Upto_April23__1[[#This Row],[TOTAL BROADER CATEGORIES]]</f>
        <v>9.9876879908596339E-2</v>
      </c>
      <c r="AK353" s="2">
        <f>All_India_Index_Upto_April23__1[[#This Row],[Miscellaneous]]/All_India_Index_Upto_April23__1[[#This Row],[TOTAL BROADER CATEGORIES]]</f>
        <v>9.7556326610673441E-2</v>
      </c>
      <c r="AL353" s="2">
        <f>All_India_Index_Upto_April23__1[[#This Row],[Personal care and effects]]/All_India_Index_Upto_April23__1[[#This Row],[TOTAL BROADER CATEGORIES]]</f>
        <v>9.5042947967077837E-2</v>
      </c>
      <c r="AM353" s="2">
        <f>All_India_Index_Upto_April23__1[[#This Row],[Education]]/All_India_Index_Upto_April23__1[[#This Row],[TOTAL BROADER CATEGORIES]]</f>
        <v>9.8207943296050079E-2</v>
      </c>
      <c r="AN353" s="2">
        <f>All_India_Index_Upto_April23__1[[#This Row],[Recreation and amusement]]/All_India_Index_Upto_April23__1[[#This Row],[TOTAL BROADER CATEGORIES]]</f>
        <v>9.7742502806495338E-2</v>
      </c>
      <c r="AO353" s="2">
        <f>All_India_Index_Upto_April23__1[[#This Row],[Transport and communication]]/All_India_Index_Upto_April23__1[[#This Row],[TOTAL BROADER CATEGORIES]]</f>
        <v>9.6904709925296803E-2</v>
      </c>
      <c r="AP353" s="2">
        <f>All_India_Index_Upto_April23__1[[#This Row],[Health]]/All_India_Index_Upto_April23__1[[#This Row],[TOTAL BROADER CATEGORIES]]</f>
        <v>9.8394119491871976E-2</v>
      </c>
      <c r="AQ353" s="2">
        <f>All_India_Index_Upto_April23__1[[#This Row],[Fuel and light]]/All_India_Index_Upto_April23__1[[#This Row],[TOTAL BROADER CATEGORIES]]</f>
        <v>0.10006970525426903</v>
      </c>
      <c r="AR353">
        <f>MONTH(1 &amp; All_India_Index_Upto_April23__1[[#This Row],[Month]])</f>
        <v>5</v>
      </c>
      <c r="AS353" s="19" t="str">
        <f>All_India_Index_Upto_April23__1[[#This Row],[MONTH IN NUM]]&amp;"/"&amp;All_India_Index_Upto_April23__1[[#This Row],[Year]]</f>
        <v>5/2013</v>
      </c>
      <c r="AT35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112.27857142857142</v>
      </c>
      <c r="AU35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1074.2511904761905</v>
      </c>
    </row>
    <row r="354" spans="1:47" x14ac:dyDescent="0.3">
      <c r="A354" t="s">
        <v>32</v>
      </c>
      <c r="B354">
        <v>2013</v>
      </c>
      <c r="C354" t="s">
        <v>37</v>
      </c>
      <c r="D354">
        <v>115.4</v>
      </c>
      <c r="E354">
        <v>114.2</v>
      </c>
      <c r="F354">
        <v>102.7</v>
      </c>
      <c r="G354">
        <v>105.5</v>
      </c>
      <c r="H354">
        <v>101.5</v>
      </c>
      <c r="I354">
        <v>110.6</v>
      </c>
      <c r="J354">
        <v>123.7</v>
      </c>
      <c r="K354">
        <v>105.2</v>
      </c>
      <c r="L354">
        <v>101.9</v>
      </c>
      <c r="M354">
        <v>105</v>
      </c>
      <c r="N354">
        <v>109.1</v>
      </c>
      <c r="O354">
        <v>111.3</v>
      </c>
      <c r="P354">
        <v>111.1</v>
      </c>
      <c r="Q354">
        <v>109.8</v>
      </c>
      <c r="R354">
        <v>108.5</v>
      </c>
      <c r="S354">
        <v>106.7</v>
      </c>
      <c r="T354">
        <v>108.3</v>
      </c>
      <c r="U354">
        <v>100.5</v>
      </c>
      <c r="V354">
        <v>107.2</v>
      </c>
      <c r="W354">
        <v>107.1</v>
      </c>
      <c r="X354">
        <v>106.2</v>
      </c>
      <c r="Y354">
        <v>103.9</v>
      </c>
      <c r="Z354">
        <v>104.6</v>
      </c>
      <c r="AA354">
        <v>105.7</v>
      </c>
      <c r="AB354">
        <v>102.6</v>
      </c>
      <c r="AC354">
        <v>104.9</v>
      </c>
      <c r="AD354">
        <v>106.6</v>
      </c>
      <c r="AE354">
        <v>109.07142857142856</v>
      </c>
      <c r="AF354">
        <v>107.83333333333333</v>
      </c>
      <c r="AG354">
        <v>103.8</v>
      </c>
      <c r="AH354" s="2">
        <f>All_India_Index_Upto_April23__1[[#This Row],[House]]/All_India_Index_Upto_April23__1[[#This Row],[TOTAL BROADER CATEGORIES]]</f>
        <v>9.8313631217892911E-2</v>
      </c>
      <c r="AI354" s="2">
        <f>All_India_Index_Upto_April23__1[[#This Row],[Cloth]]/All_India_Index_Upto_April23__1[[#This Row],[TOTAL BROADER CATEGORIES]]</f>
        <v>0.102133781949224</v>
      </c>
      <c r="AJ354" s="2">
        <f>All_India_Index_Upto_April23__1[[#This Row],[Food]]/All_India_Index_Upto_April23__1[[#This Row],[TOTAL BROADER CATEGORIES]]</f>
        <v>0.10330643742755467</v>
      </c>
      <c r="AK354" s="2">
        <f>All_India_Index_Upto_April23__1[[#This Row],[Miscellaneous]]/All_India_Index_Upto_April23__1[[#This Row],[TOTAL BROADER CATEGORIES]]</f>
        <v>9.9355490508255942E-2</v>
      </c>
      <c r="AL354" s="2">
        <f>All_India_Index_Upto_April23__1[[#This Row],[Personal care and effects]]/All_India_Index_Upto_April23__1[[#This Row],[TOTAL BROADER CATEGORIES]]</f>
        <v>9.7177057446587778E-2</v>
      </c>
      <c r="AM354" s="2">
        <f>All_India_Index_Upto_April23__1[[#This Row],[Education]]/All_India_Index_Upto_April23__1[[#This Row],[TOTAL BROADER CATEGORIES]]</f>
        <v>0.10011320635579268</v>
      </c>
      <c r="AN354" s="2">
        <f>All_India_Index_Upto_April23__1[[#This Row],[Recreation and amusement]]/All_India_Index_Upto_April23__1[[#This Row],[TOTAL BROADER CATEGORIES]]</f>
        <v>9.9071347065429652E-2</v>
      </c>
      <c r="AO354" s="2">
        <f>All_India_Index_Upto_April23__1[[#This Row],[Transport and communication]]/All_India_Index_Upto_April23__1[[#This Row],[TOTAL BROADER CATEGORIES]]</f>
        <v>9.8408345698835012E-2</v>
      </c>
      <c r="AP354" s="2">
        <f>All_India_Index_Upto_April23__1[[#This Row],[Health]]/All_India_Index_Upto_April23__1[[#This Row],[TOTAL BROADER CATEGORIES]]</f>
        <v>0.10058677876050315</v>
      </c>
      <c r="AQ354" s="2">
        <f>All_India_Index_Upto_April23__1[[#This Row],[Fuel and light]]/All_India_Index_Upto_April23__1[[#This Row],[TOTAL BROADER CATEGORIES]]</f>
        <v>0.10153392356992408</v>
      </c>
      <c r="AR354">
        <f>MONTH(1 &amp; All_India_Index_Upto_April23__1[[#This Row],[Month]])</f>
        <v>5</v>
      </c>
      <c r="AS354" s="19" t="str">
        <f>All_India_Index_Upto_April23__1[[#This Row],[MONTH IN NUM]]&amp;"/"&amp;All_India_Index_Upto_April23__1[[#This Row],[Year]]</f>
        <v>5/2013</v>
      </c>
      <c r="AT35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106.28571428571429</v>
      </c>
      <c r="AU35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1055.804761904762</v>
      </c>
    </row>
    <row r="355" spans="1:47" x14ac:dyDescent="0.3">
      <c r="A355" t="s">
        <v>33</v>
      </c>
      <c r="B355">
        <v>2013</v>
      </c>
      <c r="C355" t="s">
        <v>37</v>
      </c>
      <c r="D355">
        <v>112.3</v>
      </c>
      <c r="E355">
        <v>111.3</v>
      </c>
      <c r="F355">
        <v>104.7</v>
      </c>
      <c r="G355">
        <v>106.8</v>
      </c>
      <c r="H355">
        <v>103.9</v>
      </c>
      <c r="I355">
        <v>109.3</v>
      </c>
      <c r="J355">
        <v>112.9</v>
      </c>
      <c r="K355">
        <v>105.8</v>
      </c>
      <c r="L355">
        <v>103.1</v>
      </c>
      <c r="M355">
        <v>104.3</v>
      </c>
      <c r="N355">
        <v>108.1</v>
      </c>
      <c r="O355">
        <v>110.5</v>
      </c>
      <c r="P355">
        <v>109.2</v>
      </c>
      <c r="Q355">
        <v>108.6</v>
      </c>
      <c r="R355">
        <v>108.7</v>
      </c>
      <c r="S355">
        <v>107.4</v>
      </c>
      <c r="T355">
        <v>108.5</v>
      </c>
      <c r="U355">
        <v>100.5</v>
      </c>
      <c r="V355">
        <v>107.4</v>
      </c>
      <c r="W355">
        <v>106.9</v>
      </c>
      <c r="X355">
        <v>105.9</v>
      </c>
      <c r="Y355">
        <v>104</v>
      </c>
      <c r="Z355">
        <v>104.8</v>
      </c>
      <c r="AA355">
        <v>105.6</v>
      </c>
      <c r="AB355">
        <v>102.3</v>
      </c>
      <c r="AC355">
        <v>104.8</v>
      </c>
      <c r="AD355">
        <v>106.9</v>
      </c>
      <c r="AE355">
        <v>107.9142857142857</v>
      </c>
      <c r="AF355">
        <v>108.2</v>
      </c>
      <c r="AG355">
        <v>103.7</v>
      </c>
      <c r="AH355" s="2">
        <f>All_India_Index_Upto_April23__1[[#This Row],[House]]/All_India_Index_Upto_April23__1[[#This Row],[TOTAL BROADER CATEGORIES]]</f>
        <v>9.8329788819202693E-2</v>
      </c>
      <c r="AI355" s="2">
        <f>All_India_Index_Upto_April23__1[[#This Row],[Cloth]]/All_India_Index_Upto_April23__1[[#This Row],[TOTAL BROADER CATEGORIES]]</f>
        <v>0.10259675168985277</v>
      </c>
      <c r="AJ355" s="2">
        <f>All_India_Index_Upto_April23__1[[#This Row],[Food]]/All_India_Index_Upto_April23__1[[#This Row],[TOTAL BROADER CATEGORIES]]</f>
        <v>0.10232583341235116</v>
      </c>
      <c r="AK355" s="2">
        <f>All_India_Index_Upto_April23__1[[#This Row],[Miscellaneous]]/All_India_Index_Upto_April23__1[[#This Row],[TOTAL BROADER CATEGORIES]]</f>
        <v>9.9372824187583822E-2</v>
      </c>
      <c r="AL355" s="2">
        <f>All_India_Index_Upto_April23__1[[#This Row],[Personal care and effects]]/All_India_Index_Upto_April23__1[[#This Row],[TOTAL BROADER CATEGORIES]]</f>
        <v>9.7002289259444888E-2</v>
      </c>
      <c r="AM355" s="2">
        <f>All_India_Index_Upto_April23__1[[#This Row],[Education]]/All_India_Index_Upto_April23__1[[#This Row],[TOTAL BROADER CATEGORIES]]</f>
        <v>0.10013139536458827</v>
      </c>
      <c r="AN355" s="2">
        <f>All_India_Index_Upto_April23__1[[#This Row],[Recreation and amusement]]/All_India_Index_Upto_April23__1[[#This Row],[TOTAL BROADER CATEGORIES]]</f>
        <v>9.9372824187583822E-2</v>
      </c>
      <c r="AO355" s="2">
        <f>All_India_Index_Upto_April23__1[[#This Row],[Transport and communication]]/All_India_Index_Upto_April23__1[[#This Row],[TOTAL BROADER CATEGORIES]]</f>
        <v>9.861425301057937E-2</v>
      </c>
      <c r="AP355" s="2">
        <f>All_India_Index_Upto_April23__1[[#This Row],[Health]]/All_India_Index_Upto_April23__1[[#This Row],[TOTAL BROADER CATEGORIES]]</f>
        <v>0.10041585955596495</v>
      </c>
      <c r="AQ355" s="2">
        <f>All_India_Index_Upto_April23__1[[#This Row],[Fuel and light]]/All_India_Index_Upto_April23__1[[#This Row],[TOTAL BROADER CATEGORIES]]</f>
        <v>0.10183818051284831</v>
      </c>
      <c r="AR355">
        <f>MONTH(1 &amp; All_India_Index_Upto_April23__1[[#This Row],[Month]])</f>
        <v>5</v>
      </c>
      <c r="AS355" s="19" t="str">
        <f>All_India_Index_Upto_April23__1[[#This Row],[MONTH IN NUM]]&amp;"/"&amp;All_India_Index_Upto_April23__1[[#This Row],[Year]]</f>
        <v>5/2013</v>
      </c>
      <c r="AT35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106.42857142857143</v>
      </c>
      <c r="AU35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1054.6142857142856</v>
      </c>
    </row>
    <row r="356" spans="1:47" x14ac:dyDescent="0.3">
      <c r="A356" t="s">
        <v>33</v>
      </c>
      <c r="B356">
        <v>2013</v>
      </c>
      <c r="C356" t="s">
        <v>36</v>
      </c>
      <c r="D356">
        <v>111.6</v>
      </c>
      <c r="E356">
        <v>110.9</v>
      </c>
      <c r="F356">
        <v>106.6</v>
      </c>
      <c r="G356">
        <v>105.7</v>
      </c>
      <c r="H356">
        <v>104.4</v>
      </c>
      <c r="I356">
        <v>108.9</v>
      </c>
      <c r="J356">
        <v>105.5</v>
      </c>
      <c r="K356">
        <v>105.3</v>
      </c>
      <c r="L356">
        <v>103.5</v>
      </c>
      <c r="M356">
        <v>103.3</v>
      </c>
      <c r="N356">
        <v>107.2</v>
      </c>
      <c r="O356">
        <v>109.6</v>
      </c>
      <c r="P356">
        <v>107.7</v>
      </c>
      <c r="Q356">
        <v>107.5</v>
      </c>
      <c r="R356">
        <v>108</v>
      </c>
      <c r="S356">
        <v>107</v>
      </c>
      <c r="T356">
        <v>107.9</v>
      </c>
      <c r="U356">
        <v>100.5</v>
      </c>
      <c r="V356">
        <v>106.5</v>
      </c>
      <c r="W356">
        <v>106.3</v>
      </c>
      <c r="X356">
        <v>105.3</v>
      </c>
      <c r="Y356">
        <v>104.7</v>
      </c>
      <c r="Z356">
        <v>104.2</v>
      </c>
      <c r="AA356">
        <v>105</v>
      </c>
      <c r="AB356">
        <v>102.9</v>
      </c>
      <c r="AC356">
        <v>104.8</v>
      </c>
      <c r="AD356">
        <v>106.1</v>
      </c>
      <c r="AE356">
        <v>106.97857142857143</v>
      </c>
      <c r="AF356">
        <v>107.63333333333333</v>
      </c>
      <c r="AG356">
        <v>103.4</v>
      </c>
      <c r="AH356" s="2">
        <f>All_India_Index_Upto_April23__1[[#This Row],[House]]/All_India_Index_Upto_April23__1[[#This Row],[TOTAL BROADER CATEGORIES]]</f>
        <v>9.8343950198485949E-2</v>
      </c>
      <c r="AI356" s="2">
        <f>All_India_Index_Upto_April23__1[[#This Row],[Cloth]]/All_India_Index_Upto_April23__1[[#This Row],[TOTAL BROADER CATEGORIES]]</f>
        <v>0.10237028213762446</v>
      </c>
      <c r="AJ356" s="2">
        <f>All_India_Index_Upto_April23__1[[#This Row],[Food]]/All_India_Index_Upto_April23__1[[#This Row],[TOTAL BROADER CATEGORIES]]</f>
        <v>0.10174753675896131</v>
      </c>
      <c r="AK356" s="2">
        <f>All_India_Index_Upto_April23__1[[#This Row],[Miscellaneous]]/All_India_Index_Upto_April23__1[[#This Row],[TOTAL BROADER CATEGORIES]]</f>
        <v>9.9675493044500255E-2</v>
      </c>
      <c r="AL356" s="2">
        <f>All_India_Index_Upto_April23__1[[#This Row],[Personal care and effects]]/All_India_Index_Upto_April23__1[[#This Row],[TOTAL BROADER CATEGORIES]]</f>
        <v>9.7868399182052271E-2</v>
      </c>
      <c r="AM356" s="2">
        <f>All_India_Index_Upto_April23__1[[#This Row],[Education]]/All_India_Index_Upto_April23__1[[#This Row],[TOTAL BROADER CATEGORIES]]</f>
        <v>9.9865713451073729E-2</v>
      </c>
      <c r="AN356" s="2">
        <f>All_India_Index_Upto_April23__1[[#This Row],[Recreation and amusement]]/All_India_Index_Upto_April23__1[[#This Row],[TOTAL BROADER CATEGORIES]]</f>
        <v>9.9104831824779846E-2</v>
      </c>
      <c r="AO356" s="2">
        <f>All_India_Index_Upto_April23__1[[#This Row],[Transport and communication]]/All_India_Index_Upto_April23__1[[#This Row],[TOTAL BROADER CATEGORIES]]</f>
        <v>9.9580382841213524E-2</v>
      </c>
      <c r="AP356" s="2">
        <f>All_India_Index_Upto_April23__1[[#This Row],[Health]]/All_India_Index_Upto_April23__1[[#This Row],[TOTAL BROADER CATEGORIES]]</f>
        <v>0.10015104406093395</v>
      </c>
      <c r="AQ356" s="2">
        <f>All_India_Index_Upto_April23__1[[#This Row],[Fuel and light]]/All_India_Index_Upto_April23__1[[#This Row],[TOTAL BROADER CATEGORIES]]</f>
        <v>0.10129236650037479</v>
      </c>
      <c r="AR356">
        <f>MONTH(1 &amp; All_India_Index_Upto_April23__1[[#This Row],[Month]])</f>
        <v>4</v>
      </c>
      <c r="AS356" s="19" t="str">
        <f>All_India_Index_Upto_April23__1[[#This Row],[MONTH IN NUM]]&amp;"/"&amp;All_India_Index_Upto_April23__1[[#This Row],[Year]]</f>
        <v>4/2013</v>
      </c>
      <c r="AT35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105.88571428571429</v>
      </c>
      <c r="AU35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1051.4119047619047</v>
      </c>
    </row>
    <row r="357" spans="1:47" x14ac:dyDescent="0.3">
      <c r="A357" t="s">
        <v>30</v>
      </c>
      <c r="B357">
        <v>2013</v>
      </c>
      <c r="C357" t="s">
        <v>36</v>
      </c>
      <c r="D357">
        <v>110.2</v>
      </c>
      <c r="E357">
        <v>109.5</v>
      </c>
      <c r="F357">
        <v>106.9</v>
      </c>
      <c r="G357">
        <v>106.3</v>
      </c>
      <c r="H357">
        <v>105.7</v>
      </c>
      <c r="I357">
        <v>108.3</v>
      </c>
      <c r="J357">
        <v>103.4</v>
      </c>
      <c r="K357">
        <v>105.7</v>
      </c>
      <c r="L357">
        <v>104.2</v>
      </c>
      <c r="M357">
        <v>103.2</v>
      </c>
      <c r="N357">
        <v>106.5</v>
      </c>
      <c r="O357">
        <v>108.8</v>
      </c>
      <c r="P357">
        <v>107.1</v>
      </c>
      <c r="Q357">
        <v>107.1</v>
      </c>
      <c r="R357">
        <v>108.1</v>
      </c>
      <c r="S357">
        <v>107.4</v>
      </c>
      <c r="T357">
        <v>108</v>
      </c>
      <c r="U357">
        <v>140.85</v>
      </c>
      <c r="V357">
        <v>106.5</v>
      </c>
      <c r="W357">
        <v>106.1</v>
      </c>
      <c r="X357">
        <v>105.1</v>
      </c>
      <c r="Y357">
        <v>104.4</v>
      </c>
      <c r="Z357">
        <v>104.5</v>
      </c>
      <c r="AA357">
        <v>104.8</v>
      </c>
      <c r="AB357">
        <v>102.7</v>
      </c>
      <c r="AC357">
        <v>104.6</v>
      </c>
      <c r="AD357">
        <v>106.4</v>
      </c>
      <c r="AE357">
        <v>106.63571428571427</v>
      </c>
      <c r="AF357">
        <v>107.83333333333333</v>
      </c>
      <c r="AG357">
        <v>123.47499999999999</v>
      </c>
      <c r="AH357" s="2">
        <f>All_India_Index_Upto_April23__1[[#This Row],[House]]/All_India_Index_Upto_April23__1[[#This Row],[TOTAL BROADER CATEGORIES]]</f>
        <v>0.11533855171547176</v>
      </c>
      <c r="AI357" s="2">
        <f>All_India_Index_Upto_April23__1[[#This Row],[Cloth]]/All_India_Index_Upto_April23__1[[#This Row],[TOTAL BROADER CATEGORIES]]</f>
        <v>0.10072760067477929</v>
      </c>
      <c r="AJ357" s="2">
        <f>All_India_Index_Upto_April23__1[[#This Row],[Food]]/All_India_Index_Upto_April23__1[[#This Row],[TOTAL BROADER CATEGORIES]]</f>
        <v>9.9608899346905255E-2</v>
      </c>
      <c r="AK357" s="2">
        <f>All_India_Index_Upto_April23__1[[#This Row],[Miscellaneous]]/All_India_Index_Upto_April23__1[[#This Row],[TOTAL BROADER CATEGORIES]]</f>
        <v>9.7707329495350034E-2</v>
      </c>
      <c r="AL357" s="2">
        <f>All_India_Index_Upto_April23__1[[#This Row],[Personal care and effects]]/All_India_Index_Upto_April23__1[[#This Row],[TOTAL BROADER CATEGORIES]]</f>
        <v>9.5932530967231838E-2</v>
      </c>
      <c r="AM357" s="2">
        <f>All_India_Index_Upto_April23__1[[#This Row],[Education]]/All_India_Index_Upto_April23__1[[#This Row],[TOTAL BROADER CATEGORIES]]</f>
        <v>9.7894150393046692E-2</v>
      </c>
      <c r="AN357" s="2">
        <f>All_India_Index_Upto_April23__1[[#This Row],[Recreation and amusement]]/All_India_Index_Upto_April23__1[[#This Row],[TOTAL BROADER CATEGORIES]]</f>
        <v>9.7613919046501713E-2</v>
      </c>
      <c r="AO357" s="2">
        <f>All_India_Index_Upto_April23__1[[#This Row],[Transport and communication]]/All_India_Index_Upto_April23__1[[#This Row],[TOTAL BROADER CATEGORIES]]</f>
        <v>9.7520508597653391E-2</v>
      </c>
      <c r="AP357" s="2">
        <f>All_India_Index_Upto_April23__1[[#This Row],[Health]]/All_India_Index_Upto_April23__1[[#This Row],[TOTAL BROADER CATEGORIES]]</f>
        <v>9.8174381739591671E-2</v>
      </c>
      <c r="AQ357" s="2">
        <f>All_India_Index_Upto_April23__1[[#This Row],[Fuel and light]]/All_India_Index_Upto_April23__1[[#This Row],[TOTAL BROADER CATEGORIES]]</f>
        <v>9.9482128023468258E-2</v>
      </c>
      <c r="AR357">
        <f>MONTH(1 &amp; All_India_Index_Upto_April23__1[[#This Row],[Month]])</f>
        <v>4</v>
      </c>
      <c r="AS357" s="19" t="str">
        <f>All_India_Index_Upto_April23__1[[#This Row],[MONTH IN NUM]]&amp;"/"&amp;All_India_Index_Upto_April23__1[[#This Row],[Year]]</f>
        <v>4/2013</v>
      </c>
      <c r="AT35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111.67857142857143</v>
      </c>
      <c r="AU35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1070.5440476190477</v>
      </c>
    </row>
    <row r="358" spans="1:47" x14ac:dyDescent="0.3">
      <c r="A358" t="s">
        <v>32</v>
      </c>
      <c r="B358">
        <v>2013</v>
      </c>
      <c r="C358" t="s">
        <v>36</v>
      </c>
      <c r="D358">
        <v>114.6</v>
      </c>
      <c r="E358">
        <v>113.4</v>
      </c>
      <c r="F358">
        <v>106</v>
      </c>
      <c r="G358">
        <v>104.7</v>
      </c>
      <c r="H358">
        <v>102.1</v>
      </c>
      <c r="I358">
        <v>109.5</v>
      </c>
      <c r="J358">
        <v>109.7</v>
      </c>
      <c r="K358">
        <v>104.6</v>
      </c>
      <c r="L358">
        <v>102</v>
      </c>
      <c r="M358">
        <v>103.5</v>
      </c>
      <c r="N358">
        <v>108.2</v>
      </c>
      <c r="O358">
        <v>110.6</v>
      </c>
      <c r="P358">
        <v>108.8</v>
      </c>
      <c r="Q358">
        <v>108.5</v>
      </c>
      <c r="R358">
        <v>107.9</v>
      </c>
      <c r="S358">
        <v>106.4</v>
      </c>
      <c r="T358">
        <v>107.7</v>
      </c>
      <c r="U358">
        <v>100.5</v>
      </c>
      <c r="V358">
        <v>106.4</v>
      </c>
      <c r="W358">
        <v>106.5</v>
      </c>
      <c r="X358">
        <v>105.7</v>
      </c>
      <c r="Y358">
        <v>105</v>
      </c>
      <c r="Z358">
        <v>104</v>
      </c>
      <c r="AA358">
        <v>105.2</v>
      </c>
      <c r="AB358">
        <v>103.2</v>
      </c>
      <c r="AC358">
        <v>105.1</v>
      </c>
      <c r="AD358">
        <v>105.7</v>
      </c>
      <c r="AE358">
        <v>107.58571428571427</v>
      </c>
      <c r="AF358">
        <v>107.33333333333333</v>
      </c>
      <c r="AG358">
        <v>103.5</v>
      </c>
      <c r="AH358" s="2">
        <f>All_India_Index_Upto_April23__1[[#This Row],[House]]/All_India_Index_Upto_April23__1[[#This Row],[TOTAL BROADER CATEGORIES]]</f>
        <v>9.828882035326994E-2</v>
      </c>
      <c r="AI358" s="2">
        <f>All_India_Index_Upto_April23__1[[#This Row],[Cloth]]/All_India_Index_Upto_April23__1[[#This Row],[TOTAL BROADER CATEGORIES]]</f>
        <v>0.10192914703302068</v>
      </c>
      <c r="AJ358" s="2">
        <f>All_India_Index_Upto_April23__1[[#This Row],[Food]]/All_India_Index_Upto_April23__1[[#This Row],[TOTAL BROADER CATEGORIES]]</f>
        <v>0.10216882071504153</v>
      </c>
      <c r="AK358" s="2">
        <f>All_India_Index_Upto_April23__1[[#This Row],[Miscellaneous]]/All_India_Index_Upto_April23__1[[#This Row],[TOTAL BROADER CATEGORIES]]</f>
        <v>9.9808261054383299E-2</v>
      </c>
      <c r="AL358" s="2">
        <f>All_India_Index_Upto_April23__1[[#This Row],[Personal care and effects]]/All_India_Index_Upto_April23__1[[#This Row],[TOTAL BROADER CATEGORIES]]</f>
        <v>9.80039252218112E-2</v>
      </c>
      <c r="AM358" s="2">
        <f>All_India_Index_Upto_April23__1[[#This Row],[Education]]/All_India_Index_Upto_April23__1[[#This Row],[TOTAL BROADER CATEGORIES]]</f>
        <v>9.9903226098202888E-2</v>
      </c>
      <c r="AN358" s="2">
        <f>All_India_Index_Upto_April23__1[[#This Row],[Recreation and amusement]]/All_India_Index_Upto_April23__1[[#This Row],[TOTAL BROADER CATEGORIES]]</f>
        <v>9.8763645572367872E-2</v>
      </c>
      <c r="AO358" s="2">
        <f>All_India_Index_Upto_April23__1[[#This Row],[Transport and communication]]/All_India_Index_Upto_April23__1[[#This Row],[TOTAL BROADER CATEGORIES]]</f>
        <v>9.971329601056371E-2</v>
      </c>
      <c r="AP358" s="2">
        <f>All_India_Index_Upto_April23__1[[#This Row],[Health]]/All_India_Index_Upto_April23__1[[#This Row],[TOTAL BROADER CATEGORIES]]</f>
        <v>0.10037805131730081</v>
      </c>
      <c r="AQ358" s="2">
        <f>All_India_Index_Upto_April23__1[[#This Row],[Fuel and light]]/All_India_Index_Upto_April23__1[[#This Row],[TOTAL BROADER CATEGORIES]]</f>
        <v>0.1010428066240379</v>
      </c>
      <c r="AR358">
        <f>MONTH(1 &amp; All_India_Index_Upto_April23__1[[#This Row],[Month]])</f>
        <v>4</v>
      </c>
      <c r="AS358" s="19" t="str">
        <f>All_India_Index_Upto_April23__1[[#This Row],[MONTH IN NUM]]&amp;"/"&amp;All_India_Index_Upto_April23__1[[#This Row],[Year]]</f>
        <v>4/2013</v>
      </c>
      <c r="AT358">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105.8</v>
      </c>
      <c r="AU358">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1053.0190476190478</v>
      </c>
    </row>
    <row r="359" spans="1:47" x14ac:dyDescent="0.3">
      <c r="A359" t="s">
        <v>32</v>
      </c>
      <c r="B359">
        <v>2013</v>
      </c>
      <c r="C359" t="s">
        <v>35</v>
      </c>
      <c r="D359">
        <v>113.9</v>
      </c>
      <c r="E359">
        <v>111.4</v>
      </c>
      <c r="F359">
        <v>113.2</v>
      </c>
      <c r="G359">
        <v>104.3</v>
      </c>
      <c r="H359">
        <v>102.7</v>
      </c>
      <c r="I359">
        <v>104.9</v>
      </c>
      <c r="J359">
        <v>103.8</v>
      </c>
      <c r="K359">
        <v>103.5</v>
      </c>
      <c r="L359">
        <v>102.6</v>
      </c>
      <c r="M359">
        <v>102.4</v>
      </c>
      <c r="N359">
        <v>107</v>
      </c>
      <c r="O359">
        <v>109.8</v>
      </c>
      <c r="P359">
        <v>107.3</v>
      </c>
      <c r="Q359">
        <v>106.8</v>
      </c>
      <c r="R359">
        <v>107.2</v>
      </c>
      <c r="S359">
        <v>106</v>
      </c>
      <c r="T359">
        <v>107</v>
      </c>
      <c r="U359">
        <v>100.4</v>
      </c>
      <c r="V359">
        <v>106</v>
      </c>
      <c r="W359">
        <v>105.7</v>
      </c>
      <c r="X359">
        <v>105.2</v>
      </c>
      <c r="Y359">
        <v>105.5</v>
      </c>
      <c r="Z359">
        <v>103.5</v>
      </c>
      <c r="AA359">
        <v>103.8</v>
      </c>
      <c r="AB359">
        <v>104.2</v>
      </c>
      <c r="AC359">
        <v>104.9</v>
      </c>
      <c r="AD359">
        <v>105</v>
      </c>
      <c r="AE359">
        <v>106.68571428571428</v>
      </c>
      <c r="AF359">
        <v>106.73333333333333</v>
      </c>
      <c r="AG359">
        <v>103.05000000000001</v>
      </c>
      <c r="AH359" s="2">
        <f>All_India_Index_Upto_April23__1[[#This Row],[House]]/All_India_Index_Upto_April23__1[[#This Row],[TOTAL BROADER CATEGORIES]]</f>
        <v>9.8183154537349812E-2</v>
      </c>
      <c r="AI359" s="2">
        <f>All_India_Index_Upto_April23__1[[#This Row],[Cloth]]/All_India_Index_Upto_April23__1[[#This Row],[TOTAL BROADER CATEGORIES]]</f>
        <v>0.10169253140177716</v>
      </c>
      <c r="AJ359" s="2">
        <f>All_India_Index_Upto_April23__1[[#This Row],[Food]]/All_India_Index_Upto_April23__1[[#This Row],[TOTAL BROADER CATEGORIES]]</f>
        <v>0.10164716130656801</v>
      </c>
      <c r="AK359" s="2">
        <f>All_India_Index_Upto_April23__1[[#This Row],[Miscellaneous]]/All_India_Index_Upto_April23__1[[#This Row],[TOTAL BROADER CATEGORIES]]</f>
        <v>9.9945782736225092E-2</v>
      </c>
      <c r="AL359" s="2">
        <f>All_India_Index_Upto_April23__1[[#This Row],[Personal care and effects]]/All_India_Index_Upto_April23__1[[#This Row],[TOTAL BROADER CATEGORIES]]</f>
        <v>9.9278842336650658E-2</v>
      </c>
      <c r="AM359" s="2">
        <f>All_India_Index_Upto_April23__1[[#This Row],[Education]]/All_India_Index_Upto_April23__1[[#This Row],[TOTAL BROADER CATEGORIES]]</f>
        <v>9.8897733536893837E-2</v>
      </c>
      <c r="AN359" s="2">
        <f>All_India_Index_Upto_April23__1[[#This Row],[Recreation and amusement]]/All_India_Index_Upto_April23__1[[#This Row],[TOTAL BROADER CATEGORIES]]</f>
        <v>9.8611901937076224E-2</v>
      </c>
      <c r="AO359" s="2">
        <f>All_India_Index_Upto_April23__1[[#This Row],[Transport and communication]]/All_India_Index_Upto_April23__1[[#This Row],[TOTAL BROADER CATEGORIES]]</f>
        <v>0.1005174459358603</v>
      </c>
      <c r="AP359" s="2">
        <f>All_India_Index_Upto_April23__1[[#This Row],[Health]]/All_India_Index_Upto_April23__1[[#This Row],[TOTAL BROADER CATEGORIES]]</f>
        <v>0.10023161433604269</v>
      </c>
      <c r="AQ359" s="2">
        <f>All_India_Index_Upto_April23__1[[#This Row],[Fuel and light]]/All_India_Index_Upto_April23__1[[#This Row],[TOTAL BROADER CATEGORIES]]</f>
        <v>0.10099383193555632</v>
      </c>
      <c r="AR359">
        <f>MONTH(1 &amp; All_India_Index_Upto_April23__1[[#This Row],[Month]])</f>
        <v>3</v>
      </c>
      <c r="AS359" s="19" t="str">
        <f>All_India_Index_Upto_April23__1[[#This Row],[MONTH IN NUM]]&amp;"/"&amp;All_India_Index_Upto_April23__1[[#This Row],[Year]]</f>
        <v>3/2013</v>
      </c>
      <c r="AT359">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105.15714285714286</v>
      </c>
      <c r="AU359">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1049.5690476190475</v>
      </c>
    </row>
    <row r="360" spans="1:47" x14ac:dyDescent="0.3">
      <c r="A360" t="s">
        <v>33</v>
      </c>
      <c r="B360">
        <v>2013</v>
      </c>
      <c r="C360" t="s">
        <v>35</v>
      </c>
      <c r="D360">
        <v>111.4</v>
      </c>
      <c r="E360">
        <v>109.7</v>
      </c>
      <c r="F360">
        <v>111.2</v>
      </c>
      <c r="G360">
        <v>105.1</v>
      </c>
      <c r="H360">
        <v>104.9</v>
      </c>
      <c r="I360">
        <v>105.3</v>
      </c>
      <c r="J360">
        <v>102.2</v>
      </c>
      <c r="K360">
        <v>105</v>
      </c>
      <c r="L360">
        <v>104.2</v>
      </c>
      <c r="M360">
        <v>103</v>
      </c>
      <c r="N360">
        <v>106.2</v>
      </c>
      <c r="O360">
        <v>108.9</v>
      </c>
      <c r="P360">
        <v>106.9</v>
      </c>
      <c r="Q360">
        <v>106.6</v>
      </c>
      <c r="R360">
        <v>107.4</v>
      </c>
      <c r="S360">
        <v>106.5</v>
      </c>
      <c r="T360">
        <v>107.3</v>
      </c>
      <c r="U360">
        <v>100.4</v>
      </c>
      <c r="V360">
        <v>106.1</v>
      </c>
      <c r="W360">
        <v>105.6</v>
      </c>
      <c r="X360">
        <v>104.9</v>
      </c>
      <c r="Y360">
        <v>105.1</v>
      </c>
      <c r="Z360">
        <v>103.7</v>
      </c>
      <c r="AA360">
        <v>104</v>
      </c>
      <c r="AB360">
        <v>104.3</v>
      </c>
      <c r="AC360">
        <v>104.7</v>
      </c>
      <c r="AD360">
        <v>105.5</v>
      </c>
      <c r="AE360">
        <v>106.47142857142858</v>
      </c>
      <c r="AF360">
        <v>107.06666666666666</v>
      </c>
      <c r="AG360">
        <v>103</v>
      </c>
      <c r="AH360" s="2">
        <f>All_India_Index_Upto_April23__1[[#This Row],[House]]/All_India_Index_Upto_April23__1[[#This Row],[TOTAL BROADER CATEGORIES]]</f>
        <v>9.8157114915978769E-2</v>
      </c>
      <c r="AI360" s="2">
        <f>All_India_Index_Upto_April23__1[[#This Row],[Cloth]]/All_India_Index_Upto_April23__1[[#This Row],[TOTAL BROADER CATEGORIES]]</f>
        <v>0.10203257382204654</v>
      </c>
      <c r="AJ360" s="2">
        <f>All_India_Index_Upto_April23__1[[#This Row],[Food]]/All_India_Index_Upto_April23__1[[#This Row],[TOTAL BROADER CATEGORIES]]</f>
        <v>0.10146532281120524</v>
      </c>
      <c r="AK360" s="2">
        <f>All_India_Index_Upto_April23__1[[#This Row],[Miscellaneous]]/All_India_Index_Upto_April23__1[[#This Row],[TOTAL BROADER CATEGORIES]]</f>
        <v>9.9777183802941538E-2</v>
      </c>
      <c r="AL360" s="2">
        <f>All_India_Index_Upto_April23__1[[#This Row],[Personal care and effects]]/All_India_Index_Upto_April23__1[[#This Row],[TOTAL BROADER CATEGORIES]]</f>
        <v>9.9395991123656172E-2</v>
      </c>
      <c r="AM360" s="2">
        <f>All_India_Index_Upto_April23__1[[#This Row],[Education]]/All_India_Index_Upto_April23__1[[#This Row],[TOTAL BROADER CATEGORIES]]</f>
        <v>9.9110096614192164E-2</v>
      </c>
      <c r="AN360" s="2">
        <f>All_India_Index_Upto_April23__1[[#This Row],[Recreation and amusement]]/All_India_Index_Upto_April23__1[[#This Row],[TOTAL BROADER CATEGORIES]]</f>
        <v>9.8824202104728143E-2</v>
      </c>
      <c r="AO360" s="2">
        <f>All_India_Index_Upto_April23__1[[#This Row],[Transport and communication]]/All_India_Index_Upto_April23__1[[#This Row],[TOTAL BROADER CATEGORIES]]</f>
        <v>0.10015837648222688</v>
      </c>
      <c r="AP360" s="2">
        <f>All_India_Index_Upto_April23__1[[#This Row],[Health]]/All_India_Index_Upto_April23__1[[#This Row],[TOTAL BROADER CATEGORIES]]</f>
        <v>9.9967780142584214E-2</v>
      </c>
      <c r="AQ360" s="2">
        <f>All_India_Index_Upto_April23__1[[#This Row],[Fuel and light]]/All_India_Index_Upto_April23__1[[#This Row],[TOTAL BROADER CATEGORIES]]</f>
        <v>0.10111135818044026</v>
      </c>
      <c r="AR360">
        <f>MONTH(1 &amp; All_India_Index_Upto_April23__1[[#This Row],[Month]])</f>
        <v>3</v>
      </c>
      <c r="AS360" s="19" t="str">
        <f>All_India_Index_Upto_April23__1[[#This Row],[MONTH IN NUM]]&amp;"/"&amp;All_India_Index_Upto_April23__1[[#This Row],[Year]]</f>
        <v>3/2013</v>
      </c>
      <c r="AT360">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105.32857142857142</v>
      </c>
      <c r="AU360">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1049.3380952380953</v>
      </c>
    </row>
    <row r="361" spans="1:47" x14ac:dyDescent="0.3">
      <c r="A361" t="s">
        <v>30</v>
      </c>
      <c r="B361">
        <v>2013</v>
      </c>
      <c r="C361" t="s">
        <v>35</v>
      </c>
      <c r="D361">
        <v>110.2</v>
      </c>
      <c r="E361">
        <v>108.8</v>
      </c>
      <c r="F361">
        <v>109.9</v>
      </c>
      <c r="G361">
        <v>105.6</v>
      </c>
      <c r="H361">
        <v>106.2</v>
      </c>
      <c r="I361">
        <v>105.7</v>
      </c>
      <c r="J361">
        <v>101.4</v>
      </c>
      <c r="K361">
        <v>105.7</v>
      </c>
      <c r="L361">
        <v>105</v>
      </c>
      <c r="M361">
        <v>103.3</v>
      </c>
      <c r="N361">
        <v>105.6</v>
      </c>
      <c r="O361">
        <v>108.2</v>
      </c>
      <c r="P361">
        <v>106.6</v>
      </c>
      <c r="Q361">
        <v>106.5</v>
      </c>
      <c r="R361">
        <v>107.6</v>
      </c>
      <c r="S361">
        <v>106.8</v>
      </c>
      <c r="T361">
        <v>107.5</v>
      </c>
      <c r="U361">
        <v>140.85</v>
      </c>
      <c r="V361">
        <v>106.1</v>
      </c>
      <c r="W361">
        <v>105.6</v>
      </c>
      <c r="X361">
        <v>104.7</v>
      </c>
      <c r="Y361">
        <v>104.6</v>
      </c>
      <c r="Z361">
        <v>104</v>
      </c>
      <c r="AA361">
        <v>104.3</v>
      </c>
      <c r="AB361">
        <v>104.3</v>
      </c>
      <c r="AC361">
        <v>104.6</v>
      </c>
      <c r="AD361">
        <v>106</v>
      </c>
      <c r="AE361">
        <v>106.33571428571429</v>
      </c>
      <c r="AF361">
        <v>107.3</v>
      </c>
      <c r="AG361">
        <v>123.22499999999999</v>
      </c>
      <c r="AH361" s="2">
        <f>All_India_Index_Upto_April23__1[[#This Row],[House]]/All_India_Index_Upto_April23__1[[#This Row],[TOTAL BROADER CATEGORIES]]</f>
        <v>0.11522162371555758</v>
      </c>
      <c r="AI361" s="2">
        <f>All_India_Index_Upto_April23__1[[#This Row],[Cloth]]/All_India_Index_Upto_April23__1[[#This Row],[TOTAL BROADER CATEGORIES]]</f>
        <v>0.1003309411619341</v>
      </c>
      <c r="AJ361" s="2">
        <f>All_India_Index_Upto_April23__1[[#This Row],[Food]]/All_India_Index_Upto_April23__1[[#This Row],[TOTAL BROADER CATEGORIES]]</f>
        <v>9.9429285120337704E-2</v>
      </c>
      <c r="AK361" s="2">
        <f>All_India_Index_Upto_April23__1[[#This Row],[Miscellaneous]]/All_India_Index_Upto_April23__1[[#This Row],[TOTAL BROADER CATEGORIES]]</f>
        <v>9.7806304245464173E-2</v>
      </c>
      <c r="AL361" s="2">
        <f>All_India_Index_Upto_April23__1[[#This Row],[Personal care and effects]]/All_India_Index_Upto_April23__1[[#This Row],[TOTAL BROADER CATEGORIES]]</f>
        <v>9.7525789032523069E-2</v>
      </c>
      <c r="AM361" s="2">
        <f>All_India_Index_Upto_April23__1[[#This Row],[Education]]/All_India_Index_Upto_April23__1[[#This Row],[TOTAL BROADER CATEGORIES]]</f>
        <v>9.7525789032523069E-2</v>
      </c>
      <c r="AN361" s="2">
        <f>All_India_Index_Upto_April23__1[[#This Row],[Recreation and amusement]]/All_India_Index_Upto_April23__1[[#This Row],[TOTAL BROADER CATEGORIES]]</f>
        <v>9.7245273819581979E-2</v>
      </c>
      <c r="AO361" s="2">
        <f>All_India_Index_Upto_April23__1[[#This Row],[Transport and communication]]/All_India_Index_Upto_April23__1[[#This Row],[TOTAL BROADER CATEGORIES]]</f>
        <v>9.7806304245464173E-2</v>
      </c>
      <c r="AP361" s="2">
        <f>All_India_Index_Upto_April23__1[[#This Row],[Health]]/All_India_Index_Upto_April23__1[[#This Row],[TOTAL BROADER CATEGORIES]]</f>
        <v>9.7899809316444555E-2</v>
      </c>
      <c r="AQ361" s="2">
        <f>All_India_Index_Upto_April23__1[[#This Row],[Fuel and light]]/All_India_Index_Upto_April23__1[[#This Row],[TOTAL BROADER CATEGORIES]]</f>
        <v>9.9208880310169681E-2</v>
      </c>
      <c r="AR361">
        <f>MONTH(1 &amp; All_India_Index_Upto_April23__1[[#This Row],[Month]])</f>
        <v>3</v>
      </c>
      <c r="AS361" s="19" t="str">
        <f>All_India_Index_Upto_April23__1[[#This Row],[MONTH IN NUM]]&amp;"/"&amp;All_India_Index_Upto_April23__1[[#This Row],[Year]]</f>
        <v>3/2013</v>
      </c>
      <c r="AT361">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111.25</v>
      </c>
      <c r="AU361">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1069.4607142857142</v>
      </c>
    </row>
    <row r="362" spans="1:47" x14ac:dyDescent="0.3">
      <c r="A362" t="s">
        <v>30</v>
      </c>
      <c r="B362">
        <v>2013</v>
      </c>
      <c r="C362" t="s">
        <v>34</v>
      </c>
      <c r="D362">
        <v>109.2</v>
      </c>
      <c r="E362">
        <v>108.7</v>
      </c>
      <c r="F362">
        <v>110.2</v>
      </c>
      <c r="G362">
        <v>105.4</v>
      </c>
      <c r="H362">
        <v>106.7</v>
      </c>
      <c r="I362">
        <v>104</v>
      </c>
      <c r="J362">
        <v>102.4</v>
      </c>
      <c r="K362">
        <v>105.9</v>
      </c>
      <c r="L362">
        <v>105.7</v>
      </c>
      <c r="M362">
        <v>103.1</v>
      </c>
      <c r="N362">
        <v>105.1</v>
      </c>
      <c r="O362">
        <v>107.7</v>
      </c>
      <c r="P362">
        <v>106.3</v>
      </c>
      <c r="Q362">
        <v>105.6</v>
      </c>
      <c r="R362">
        <v>107.1</v>
      </c>
      <c r="S362">
        <v>106.3</v>
      </c>
      <c r="T362">
        <v>107</v>
      </c>
      <c r="U362">
        <v>140.85</v>
      </c>
      <c r="V362">
        <v>106.2</v>
      </c>
      <c r="W362">
        <v>105.2</v>
      </c>
      <c r="X362">
        <v>104.4</v>
      </c>
      <c r="Y362">
        <v>103.9</v>
      </c>
      <c r="Z362">
        <v>104</v>
      </c>
      <c r="AA362">
        <v>104.1</v>
      </c>
      <c r="AB362">
        <v>104.6</v>
      </c>
      <c r="AC362">
        <v>104.4</v>
      </c>
      <c r="AD362">
        <v>105.8</v>
      </c>
      <c r="AE362">
        <v>106.14285714285712</v>
      </c>
      <c r="AF362">
        <v>106.8</v>
      </c>
      <c r="AG362">
        <v>123.02500000000001</v>
      </c>
      <c r="AH362" s="2">
        <f>All_India_Index_Upto_April23__1[[#This Row],[House]]/All_India_Index_Upto_April23__1[[#This Row],[TOTAL BROADER CATEGORIES]]</f>
        <v>0.11523857633673337</v>
      </c>
      <c r="AI362" s="2">
        <f>All_India_Index_Upto_April23__1[[#This Row],[Cloth]]/All_India_Index_Upto_April23__1[[#This Row],[TOTAL BROADER CATEGORIES]]</f>
        <v>0.10004047919336008</v>
      </c>
      <c r="AJ362" s="2">
        <f>All_India_Index_Upto_April23__1[[#This Row],[Food]]/All_India_Index_Upto_April23__1[[#This Row],[TOTAL BROADER CATEGORIES]]</f>
        <v>9.9424927823256459E-2</v>
      </c>
      <c r="AK362" s="2">
        <f>All_India_Index_Upto_April23__1[[#This Row],[Miscellaneous]]/All_India_Index_Upto_April23__1[[#This Row],[TOTAL BROADER CATEGORIES]]</f>
        <v>9.7792378537329527E-2</v>
      </c>
      <c r="AL362" s="2">
        <f>All_India_Index_Upto_April23__1[[#This Row],[Personal care and effects]]/All_India_Index_Upto_April23__1[[#This Row],[TOTAL BROADER CATEGORIES]]</f>
        <v>9.7979720258665387E-2</v>
      </c>
      <c r="AM362" s="2">
        <f>All_India_Index_Upto_April23__1[[#This Row],[Education]]/All_India_Index_Upto_April23__1[[#This Row],[TOTAL BROADER CATEGORIES]]</f>
        <v>9.7511365955325696E-2</v>
      </c>
      <c r="AN362" s="2">
        <f>All_India_Index_Upto_April23__1[[#This Row],[Recreation and amusement]]/All_India_Index_Upto_April23__1[[#This Row],[TOTAL BROADER CATEGORIES]]</f>
        <v>9.7417695094657752E-2</v>
      </c>
      <c r="AO362" s="2">
        <f>All_India_Index_Upto_April23__1[[#This Row],[Transport and communication]]/All_India_Index_Upto_April23__1[[#This Row],[TOTAL BROADER CATEGORIES]]</f>
        <v>9.7324024233989823E-2</v>
      </c>
      <c r="AP362" s="2">
        <f>All_India_Index_Upto_April23__1[[#This Row],[Health]]/All_India_Index_Upto_April23__1[[#This Row],[TOTAL BROADER CATEGORIES]]</f>
        <v>9.7792378537329527E-2</v>
      </c>
      <c r="AQ362" s="2">
        <f>All_India_Index_Upto_April23__1[[#This Row],[Fuel and light]]/All_India_Index_Upto_April23__1[[#This Row],[TOTAL BROADER CATEGORIES]]</f>
        <v>9.9478454029352445E-2</v>
      </c>
      <c r="AR362">
        <f>MONTH(1 &amp; All_India_Index_Upto_April23__1[[#This Row],[Month]])</f>
        <v>2</v>
      </c>
      <c r="AS362" s="19" t="str">
        <f>All_India_Index_Upto_April23__1[[#This Row],[MONTH IN NUM]]&amp;"/"&amp;All_India_Index_Upto_April23__1[[#This Row],[Year]]</f>
        <v>2/2013</v>
      </c>
      <c r="AT362">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110.96428571428571</v>
      </c>
      <c r="AU362">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1067.5678571428571</v>
      </c>
    </row>
    <row r="363" spans="1:47" x14ac:dyDescent="0.3">
      <c r="A363" t="s">
        <v>32</v>
      </c>
      <c r="B363">
        <v>2013</v>
      </c>
      <c r="C363" t="s">
        <v>34</v>
      </c>
      <c r="D363">
        <v>112.9</v>
      </c>
      <c r="E363">
        <v>112.9</v>
      </c>
      <c r="F363">
        <v>116.9</v>
      </c>
      <c r="G363">
        <v>104</v>
      </c>
      <c r="H363">
        <v>103.5</v>
      </c>
      <c r="I363">
        <v>103.1</v>
      </c>
      <c r="J363">
        <v>104.9</v>
      </c>
      <c r="K363">
        <v>104.1</v>
      </c>
      <c r="L363">
        <v>103.8</v>
      </c>
      <c r="M363">
        <v>102.3</v>
      </c>
      <c r="N363">
        <v>106</v>
      </c>
      <c r="O363">
        <v>109</v>
      </c>
      <c r="P363">
        <v>107.2</v>
      </c>
      <c r="Q363">
        <v>106</v>
      </c>
      <c r="R363">
        <v>106.6</v>
      </c>
      <c r="S363">
        <v>105.5</v>
      </c>
      <c r="T363">
        <v>106.4</v>
      </c>
      <c r="U363">
        <v>100.4</v>
      </c>
      <c r="V363">
        <v>105.7</v>
      </c>
      <c r="W363">
        <v>105.2</v>
      </c>
      <c r="X363">
        <v>104.7</v>
      </c>
      <c r="Y363">
        <v>104.4</v>
      </c>
      <c r="Z363">
        <v>103.3</v>
      </c>
      <c r="AA363">
        <v>103.7</v>
      </c>
      <c r="AB363">
        <v>104.3</v>
      </c>
      <c r="AC363">
        <v>104.3</v>
      </c>
      <c r="AD363">
        <v>104.7</v>
      </c>
      <c r="AE363">
        <v>106.9</v>
      </c>
      <c r="AF363">
        <v>106.16666666666667</v>
      </c>
      <c r="AG363">
        <v>102.80000000000001</v>
      </c>
      <c r="AH363" s="2">
        <f>All_India_Index_Upto_April23__1[[#This Row],[House]]/All_India_Index_Upto_April23__1[[#This Row],[TOTAL BROADER CATEGORIES]]</f>
        <v>9.8254109850898441E-2</v>
      </c>
      <c r="AI363" s="2">
        <f>All_India_Index_Upto_April23__1[[#This Row],[Cloth]]/All_India_Index_Upto_April23__1[[#This Row],[TOTAL BROADER CATEGORIES]]</f>
        <v>0.10147190008920608</v>
      </c>
      <c r="AJ363" s="2">
        <f>All_India_Index_Upto_April23__1[[#This Row],[Food]]/All_India_Index_Upto_April23__1[[#This Row],[TOTAL BROADER CATEGORIES]]</f>
        <v>0.10217280489358992</v>
      </c>
      <c r="AK363" s="2">
        <f>All_India_Index_Upto_April23__1[[#This Row],[Miscellaneous]]/All_India_Index_Upto_April23__1[[#This Row],[TOTAL BROADER CATEGORIES]]</f>
        <v>9.9687778768956292E-2</v>
      </c>
      <c r="AL363" s="2">
        <f>All_India_Index_Upto_April23__1[[#This Row],[Personal care and effects]]/All_India_Index_Upto_April23__1[[#This Row],[TOTAL BROADER CATEGORIES]]</f>
        <v>9.9687778768956292E-2</v>
      </c>
      <c r="AM363" s="2">
        <f>All_India_Index_Upto_April23__1[[#This Row],[Education]]/All_India_Index_Upto_April23__1[[#This Row],[TOTAL BROADER CATEGORIES]]</f>
        <v>9.9114311201733155E-2</v>
      </c>
      <c r="AN363" s="2">
        <f>All_India_Index_Upto_April23__1[[#This Row],[Recreation and amusement]]/All_India_Index_Upto_April23__1[[#This Row],[TOTAL BROADER CATEGORIES]]</f>
        <v>9.8731999490251049E-2</v>
      </c>
      <c r="AO363" s="2">
        <f>All_India_Index_Upto_April23__1[[#This Row],[Transport and communication]]/All_India_Index_Upto_April23__1[[#This Row],[TOTAL BROADER CATEGORIES]]</f>
        <v>9.9783356696826822E-2</v>
      </c>
      <c r="AP363" s="2">
        <f>All_India_Index_Upto_April23__1[[#This Row],[Health]]/All_India_Index_Upto_April23__1[[#This Row],[TOTAL BROADER CATEGORIES]]</f>
        <v>0.10007009048043838</v>
      </c>
      <c r="AQ363" s="2">
        <f>All_India_Index_Upto_April23__1[[#This Row],[Fuel and light]]/All_India_Index_Upto_April23__1[[#This Row],[TOTAL BROADER CATEGORIES]]</f>
        <v>0.10102586975914363</v>
      </c>
      <c r="AR363">
        <f>MONTH(1 &amp; All_India_Index_Upto_April23__1[[#This Row],[Month]])</f>
        <v>2</v>
      </c>
      <c r="AS363" s="19" t="str">
        <f>All_India_Index_Upto_April23__1[[#This Row],[MONTH IN NUM]]&amp;"/"&amp;All_India_Index_Upto_April23__1[[#This Row],[Year]]</f>
        <v>2/2013</v>
      </c>
      <c r="AT363">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104.78571428571429</v>
      </c>
      <c r="AU363">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1046.2666666666667</v>
      </c>
    </row>
    <row r="364" spans="1:47" x14ac:dyDescent="0.3">
      <c r="A364" t="s">
        <v>33</v>
      </c>
      <c r="B364">
        <v>2013</v>
      </c>
      <c r="C364" t="s">
        <v>34</v>
      </c>
      <c r="D364">
        <v>110.4</v>
      </c>
      <c r="E364">
        <v>110.2</v>
      </c>
      <c r="F364">
        <v>112.8</v>
      </c>
      <c r="G364">
        <v>104.9</v>
      </c>
      <c r="H364">
        <v>105.5</v>
      </c>
      <c r="I364">
        <v>103.6</v>
      </c>
      <c r="J364">
        <v>103.2</v>
      </c>
      <c r="K364">
        <v>105.3</v>
      </c>
      <c r="L364">
        <v>105.1</v>
      </c>
      <c r="M364">
        <v>102.8</v>
      </c>
      <c r="N364">
        <v>105.5</v>
      </c>
      <c r="O364">
        <v>108.3</v>
      </c>
      <c r="P364">
        <v>106.6</v>
      </c>
      <c r="Q364">
        <v>105.7</v>
      </c>
      <c r="R364">
        <v>106.9</v>
      </c>
      <c r="S364">
        <v>106</v>
      </c>
      <c r="T364">
        <v>106.8</v>
      </c>
      <c r="U364">
        <v>100.4</v>
      </c>
      <c r="V364">
        <v>106</v>
      </c>
      <c r="W364">
        <v>105.2</v>
      </c>
      <c r="X364">
        <v>104.5</v>
      </c>
      <c r="Y364">
        <v>104.2</v>
      </c>
      <c r="Z364">
        <v>103.6</v>
      </c>
      <c r="AA364">
        <v>103.9</v>
      </c>
      <c r="AB364">
        <v>104.5</v>
      </c>
      <c r="AC364">
        <v>104.4</v>
      </c>
      <c r="AD364">
        <v>105.3</v>
      </c>
      <c r="AE364">
        <v>106.42142857142858</v>
      </c>
      <c r="AF364">
        <v>106.56666666666666</v>
      </c>
      <c r="AG364">
        <v>102.80000000000001</v>
      </c>
      <c r="AH364" s="2">
        <f>All_India_Index_Upto_April23__1[[#This Row],[House]]/All_India_Index_Upto_April23__1[[#This Row],[TOTAL BROADER CATEGORIES]]</f>
        <v>9.8195786605654409E-2</v>
      </c>
      <c r="AI364" s="2">
        <f>All_India_Index_Upto_April23__1[[#This Row],[Cloth]]/All_India_Index_Upto_April23__1[[#This Row],[TOTAL BROADER CATEGORIES]]</f>
        <v>0.10179375154937649</v>
      </c>
      <c r="AJ364" s="2">
        <f>All_India_Index_Upto_April23__1[[#This Row],[Food]]/All_India_Index_Upto_April23__1[[#This Row],[TOTAL BROADER CATEGORIES]]</f>
        <v>0.1016550183878297</v>
      </c>
      <c r="AK364" s="2">
        <f>All_India_Index_Upto_April23__1[[#This Row],[Miscellaneous]]/All_India_Index_Upto_April23__1[[#This Row],[TOTAL BROADER CATEGORIES]]</f>
        <v>9.9724125696792995E-2</v>
      </c>
      <c r="AL364" s="2">
        <f>All_India_Index_Upto_April23__1[[#This Row],[Personal care and effects]]/All_India_Index_Upto_April23__1[[#This Row],[TOTAL BROADER CATEGORIES]]</f>
        <v>9.981964688998915E-2</v>
      </c>
      <c r="AM364" s="2">
        <f>All_India_Index_Upto_April23__1[[#This Row],[Education]]/All_India_Index_Upto_April23__1[[#This Row],[TOTAL BROADER CATEGORIES]]</f>
        <v>9.924651973081218E-2</v>
      </c>
      <c r="AN364" s="2">
        <f>All_India_Index_Upto_April23__1[[#This Row],[Recreation and amusement]]/All_India_Index_Upto_April23__1[[#This Row],[TOTAL BROADER CATEGORIES]]</f>
        <v>9.8959956151223688E-2</v>
      </c>
      <c r="AO364" s="2">
        <f>All_India_Index_Upto_April23__1[[#This Row],[Transport and communication]]/All_India_Index_Upto_April23__1[[#This Row],[TOTAL BROADER CATEGORIES]]</f>
        <v>9.9533083310400672E-2</v>
      </c>
      <c r="AP364" s="2">
        <f>All_India_Index_Upto_April23__1[[#This Row],[Health]]/All_India_Index_Upto_April23__1[[#This Row],[TOTAL BROADER CATEGORIES]]</f>
        <v>9.981964688998915E-2</v>
      </c>
      <c r="AQ364" s="2">
        <f>All_India_Index_Upto_April23__1[[#This Row],[Fuel and light]]/All_India_Index_Upto_April23__1[[#This Row],[TOTAL BROADER CATEGORIES]]</f>
        <v>0.10125246478793158</v>
      </c>
      <c r="AR364">
        <f>MONTH(1 &amp; All_India_Index_Upto_April23__1[[#This Row],[Month]])</f>
        <v>2</v>
      </c>
      <c r="AS364" s="19" t="str">
        <f>All_India_Index_Upto_April23__1[[#This Row],[MONTH IN NUM]]&amp;"/"&amp;All_India_Index_Upto_April23__1[[#This Row],[Year]]</f>
        <v>2/2013</v>
      </c>
      <c r="AT364">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105.02857142857142</v>
      </c>
      <c r="AU364">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1046.8880952380953</v>
      </c>
    </row>
    <row r="365" spans="1:47" x14ac:dyDescent="0.3">
      <c r="A365" t="s">
        <v>33</v>
      </c>
      <c r="B365">
        <v>2013</v>
      </c>
      <c r="C365" t="s">
        <v>31</v>
      </c>
      <c r="D365">
        <v>108.4</v>
      </c>
      <c r="E365">
        <v>107.3</v>
      </c>
      <c r="F365">
        <v>110</v>
      </c>
      <c r="G365">
        <v>104.4</v>
      </c>
      <c r="H365">
        <v>105.1</v>
      </c>
      <c r="I365">
        <v>103.2</v>
      </c>
      <c r="J365">
        <v>102.2</v>
      </c>
      <c r="K365">
        <v>106</v>
      </c>
      <c r="L365">
        <v>106.2</v>
      </c>
      <c r="M365">
        <v>102.7</v>
      </c>
      <c r="N365">
        <v>104.9</v>
      </c>
      <c r="O365">
        <v>107.3</v>
      </c>
      <c r="P365">
        <v>105.6</v>
      </c>
      <c r="Q365">
        <v>105.1</v>
      </c>
      <c r="R365">
        <v>106.3</v>
      </c>
      <c r="S365">
        <v>105.5</v>
      </c>
      <c r="T365">
        <v>106.2</v>
      </c>
      <c r="U365">
        <v>100.3</v>
      </c>
      <c r="V365">
        <v>105.5</v>
      </c>
      <c r="W365">
        <v>104.8</v>
      </c>
      <c r="X365">
        <v>104</v>
      </c>
      <c r="Y365">
        <v>103.2</v>
      </c>
      <c r="Z365">
        <v>103.1</v>
      </c>
      <c r="AA365">
        <v>103.6</v>
      </c>
      <c r="AB365">
        <v>104.5</v>
      </c>
      <c r="AC365">
        <v>103.9</v>
      </c>
      <c r="AD365">
        <v>104.6</v>
      </c>
      <c r="AE365">
        <v>105.60000000000001</v>
      </c>
      <c r="AF365">
        <v>106</v>
      </c>
      <c r="AG365">
        <v>102.55</v>
      </c>
      <c r="AH365" s="2">
        <f>All_India_Index_Upto_April23__1[[#This Row],[House]]/All_India_Index_Upto_April23__1[[#This Row],[TOTAL BROADER CATEGORIES]]</f>
        <v>9.842122942559621E-2</v>
      </c>
      <c r="AI365" s="2">
        <f>All_India_Index_Upto_April23__1[[#This Row],[Cloth]]/All_India_Index_Upto_April23__1[[#This Row],[TOTAL BROADER CATEGORIES]]</f>
        <v>0.10173232880656459</v>
      </c>
      <c r="AJ365" s="2">
        <f>All_India_Index_Upto_April23__1[[#This Row],[Food]]/All_India_Index_Upto_April23__1[[#This Row],[TOTAL BROADER CATEGORIES]]</f>
        <v>0.10134843322616247</v>
      </c>
      <c r="AK365" s="2">
        <f>All_India_Index_Upto_April23__1[[#This Row],[Miscellaneous]]/All_India_Index_Upto_April23__1[[#This Row],[TOTAL BROADER CATEGORIES]]</f>
        <v>9.9716877009453406E-2</v>
      </c>
      <c r="AL365" s="2">
        <f>All_India_Index_Upto_April23__1[[#This Row],[Personal care and effects]]/All_India_Index_Upto_April23__1[[#This Row],[TOTAL BROADER CATEGORIES]]</f>
        <v>0.1002927203800566</v>
      </c>
      <c r="AM365" s="2">
        <f>All_India_Index_Upto_April23__1[[#This Row],[Education]]/All_India_Index_Upto_April23__1[[#This Row],[TOTAL BROADER CATEGORIES]]</f>
        <v>9.9428955324151802E-2</v>
      </c>
      <c r="AN365" s="2">
        <f>All_India_Index_Upto_April23__1[[#This Row],[Recreation and amusement]]/All_India_Index_Upto_April23__1[[#This Row],[TOTAL BROADER CATEGORIES]]</f>
        <v>9.8949085848649129E-2</v>
      </c>
      <c r="AO365" s="2">
        <f>All_India_Index_Upto_April23__1[[#This Row],[Transport and communication]]/All_India_Index_Upto_April23__1[[#This Row],[TOTAL BROADER CATEGORIES]]</f>
        <v>9.9045059743749678E-2</v>
      </c>
      <c r="AP365" s="2">
        <f>All_India_Index_Upto_April23__1[[#This Row],[Health]]/All_India_Index_Upto_April23__1[[#This Row],[TOTAL BROADER CATEGORIES]]</f>
        <v>9.981285090455394E-2</v>
      </c>
      <c r="AQ365" s="2">
        <f>All_India_Index_Upto_April23__1[[#This Row],[Fuel and light]]/All_India_Index_Upto_April23__1[[#This Row],[TOTAL BROADER CATEGORIES]]</f>
        <v>0.10125245933106193</v>
      </c>
      <c r="AR365">
        <f>MONTH(1 &amp; All_India_Index_Upto_April23__1[[#This Row],[Month]])</f>
        <v>1</v>
      </c>
      <c r="AS365" s="19" t="str">
        <f>All_India_Index_Upto_April23__1[[#This Row],[MONTH IN NUM]]&amp;"/"&amp;All_India_Index_Upto_April23__1[[#This Row],[Year]]</f>
        <v>1/2013</v>
      </c>
      <c r="AT365">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104.6</v>
      </c>
      <c r="AU365">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1041.9500000000003</v>
      </c>
    </row>
    <row r="366" spans="1:47" x14ac:dyDescent="0.3">
      <c r="A366" t="s">
        <v>30</v>
      </c>
      <c r="B366">
        <v>2013</v>
      </c>
      <c r="C366" t="s">
        <v>31</v>
      </c>
      <c r="D366">
        <v>107.5</v>
      </c>
      <c r="E366">
        <v>106.3</v>
      </c>
      <c r="F366">
        <v>108.1</v>
      </c>
      <c r="G366">
        <v>104.9</v>
      </c>
      <c r="H366">
        <v>106.1</v>
      </c>
      <c r="I366">
        <v>103.9</v>
      </c>
      <c r="J366">
        <v>101.9</v>
      </c>
      <c r="K366">
        <v>106.1</v>
      </c>
      <c r="L366">
        <v>106.8</v>
      </c>
      <c r="M366">
        <v>103.1</v>
      </c>
      <c r="N366">
        <v>104.8</v>
      </c>
      <c r="O366">
        <v>106.7</v>
      </c>
      <c r="P366">
        <v>105.5</v>
      </c>
      <c r="Q366">
        <v>105.1</v>
      </c>
      <c r="R366">
        <v>106.5</v>
      </c>
      <c r="S366">
        <v>105.8</v>
      </c>
      <c r="T366">
        <v>106.4</v>
      </c>
      <c r="U366">
        <v>140.85</v>
      </c>
      <c r="V366">
        <v>105.5</v>
      </c>
      <c r="W366">
        <v>104.8</v>
      </c>
      <c r="X366">
        <v>104</v>
      </c>
      <c r="Y366">
        <v>103.3</v>
      </c>
      <c r="Z366">
        <v>103.4</v>
      </c>
      <c r="AA366">
        <v>103.8</v>
      </c>
      <c r="AB366">
        <v>104.7</v>
      </c>
      <c r="AC366">
        <v>104</v>
      </c>
      <c r="AD366">
        <v>105.1</v>
      </c>
      <c r="AE366">
        <v>105.48571428571427</v>
      </c>
      <c r="AF366">
        <v>106.23333333333335</v>
      </c>
      <c r="AG366">
        <v>122.82499999999999</v>
      </c>
      <c r="AH366" s="2">
        <f>All_India_Index_Upto_April23__1[[#This Row],[House]]/All_India_Index_Upto_April23__1[[#This Row],[TOTAL BROADER CATEGORIES]]</f>
        <v>0.11551910426871939</v>
      </c>
      <c r="AI366" s="2">
        <f>All_India_Index_Upto_April23__1[[#This Row],[Cloth]]/All_India_Index_Upto_April23__1[[#This Row],[TOTAL BROADER CATEGORIES]]</f>
        <v>9.9914345696291137E-2</v>
      </c>
      <c r="AJ366" s="2">
        <f>All_India_Index_Upto_April23__1[[#This Row],[Food]]/All_India_Index_Upto_April23__1[[#This Row],[TOTAL BROADER CATEGORIES]]</f>
        <v>9.9211196641007693E-2</v>
      </c>
      <c r="AK366" s="2">
        <f>All_India_Index_Upto_April23__1[[#This Row],[Miscellaneous]]/All_India_Index_Upto_April23__1[[#This Row],[TOTAL BROADER CATEGORIES]]</f>
        <v>9.7813855843247033E-2</v>
      </c>
      <c r="AL366" s="2">
        <f>All_India_Index_Upto_April23__1[[#This Row],[Personal care and effects]]/All_India_Index_Upto_April23__1[[#This Row],[TOTAL BROADER CATEGORIES]]</f>
        <v>9.8472218334499664E-2</v>
      </c>
      <c r="AM366" s="2">
        <f>All_India_Index_Upto_April23__1[[#This Row],[Education]]/All_India_Index_Upto_April23__1[[#This Row],[TOTAL BROADER CATEGORIES]]</f>
        <v>9.7625752274317718E-2</v>
      </c>
      <c r="AN366" s="2">
        <f>All_India_Index_Upto_April23__1[[#This Row],[Recreation and amusement]]/All_India_Index_Upto_April23__1[[#This Row],[TOTAL BROADER CATEGORIES]]</f>
        <v>9.7249545136459087E-2</v>
      </c>
      <c r="AO366" s="2">
        <f>All_India_Index_Upto_April23__1[[#This Row],[Transport and communication]]/All_India_Index_Upto_April23__1[[#This Row],[TOTAL BROADER CATEGORIES]]</f>
        <v>9.7155493351994415E-2</v>
      </c>
      <c r="AP366" s="2">
        <f>All_India_Index_Upto_April23__1[[#This Row],[Health]]/All_India_Index_Upto_April23__1[[#This Row],[TOTAL BROADER CATEGORIES]]</f>
        <v>9.7813855843247033E-2</v>
      </c>
      <c r="AQ366" s="2">
        <f>All_India_Index_Upto_April23__1[[#This Row],[Fuel and light]]/All_India_Index_Upto_April23__1[[#This Row],[TOTAL BROADER CATEGORIES]]</f>
        <v>9.9224632610216953E-2</v>
      </c>
      <c r="AR366">
        <f>MONTH(1 &amp; All_India_Index_Upto_April23__1[[#This Row],[Month]])</f>
        <v>1</v>
      </c>
      <c r="AS366" s="19" t="str">
        <f>All_India_Index_Upto_April23__1[[#This Row],[MONTH IN NUM]]&amp;"/"&amp;All_India_Index_Upto_April23__1[[#This Row],[Year]]</f>
        <v>1/2013</v>
      </c>
      <c r="AT366">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110.52142857142857</v>
      </c>
      <c r="AU366">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1063.2440476190475</v>
      </c>
    </row>
    <row r="367" spans="1:47" x14ac:dyDescent="0.3">
      <c r="A367" t="s">
        <v>32</v>
      </c>
      <c r="B367">
        <v>2013</v>
      </c>
      <c r="C367" t="s">
        <v>31</v>
      </c>
      <c r="D367">
        <v>110.5</v>
      </c>
      <c r="E367">
        <v>109.1</v>
      </c>
      <c r="F367">
        <v>113</v>
      </c>
      <c r="G367">
        <v>103.6</v>
      </c>
      <c r="H367">
        <v>103.4</v>
      </c>
      <c r="I367">
        <v>102.3</v>
      </c>
      <c r="J367">
        <v>102.9</v>
      </c>
      <c r="K367">
        <v>105.8</v>
      </c>
      <c r="L367">
        <v>105.1</v>
      </c>
      <c r="M367">
        <v>101.8</v>
      </c>
      <c r="N367">
        <v>105.1</v>
      </c>
      <c r="O367">
        <v>107.9</v>
      </c>
      <c r="P367">
        <v>105.9</v>
      </c>
      <c r="Q367">
        <v>105.2</v>
      </c>
      <c r="R367">
        <v>105.9</v>
      </c>
      <c r="S367">
        <v>105</v>
      </c>
      <c r="T367">
        <v>105.8</v>
      </c>
      <c r="U367">
        <v>100.3</v>
      </c>
      <c r="V367">
        <v>105.4</v>
      </c>
      <c r="W367">
        <v>104.8</v>
      </c>
      <c r="X367">
        <v>104.1</v>
      </c>
      <c r="Y367">
        <v>103.2</v>
      </c>
      <c r="Z367">
        <v>102.9</v>
      </c>
      <c r="AA367">
        <v>103.5</v>
      </c>
      <c r="AB367">
        <v>104.3</v>
      </c>
      <c r="AC367">
        <v>103.7</v>
      </c>
      <c r="AD367">
        <v>104</v>
      </c>
      <c r="AE367">
        <v>105.82857142857144</v>
      </c>
      <c r="AF367">
        <v>105.56666666666666</v>
      </c>
      <c r="AG367">
        <v>102.55</v>
      </c>
      <c r="AH367" s="2">
        <f>All_India_Index_Upto_April23__1[[#This Row],[House]]/All_India_Index_Upto_April23__1[[#This Row],[TOTAL BROADER CATEGORIES]]</f>
        <v>9.8506766322308842E-2</v>
      </c>
      <c r="AI367" s="2">
        <f>All_India_Index_Upto_April23__1[[#This Row],[Cloth]]/All_India_Index_Upto_April23__1[[#This Row],[TOTAL BROADER CATEGORIES]]</f>
        <v>0.10140449502446031</v>
      </c>
      <c r="AJ367" s="2">
        <f>All_India_Index_Upto_April23__1[[#This Row],[Food]]/All_India_Index_Upto_April23__1[[#This Row],[TOTAL BROADER CATEGORIES]]</f>
        <v>0.10165607368052713</v>
      </c>
      <c r="AK367" s="2">
        <f>All_India_Index_Upto_April23__1[[#This Row],[Miscellaneous]]/All_India_Index_Upto_April23__1[[#This Row],[TOTAL BROADER CATEGORIES]]</f>
        <v>9.9611425330311337E-2</v>
      </c>
      <c r="AL367" s="2">
        <f>All_India_Index_Upto_April23__1[[#This Row],[Personal care and effects]]/All_India_Index_Upto_April23__1[[#This Row],[TOTAL BROADER CATEGORIES]]</f>
        <v>0.10018776916057351</v>
      </c>
      <c r="AM367" s="2">
        <f>All_India_Index_Upto_April23__1[[#This Row],[Education]]/All_India_Index_Upto_April23__1[[#This Row],[TOTAL BROADER CATEGORIES]]</f>
        <v>9.9419310720223947E-2</v>
      </c>
      <c r="AN367" s="2">
        <f>All_India_Index_Upto_April23__1[[#This Row],[Recreation and amusement]]/All_India_Index_Upto_April23__1[[#This Row],[TOTAL BROADER CATEGORIES]]</f>
        <v>9.8842966889961789E-2</v>
      </c>
      <c r="AO367" s="2">
        <f>All_India_Index_Upto_April23__1[[#This Row],[Transport and communication]]/All_India_Index_Upto_April23__1[[#This Row],[TOTAL BROADER CATEGORIES]]</f>
        <v>9.9131138805092861E-2</v>
      </c>
      <c r="AP367" s="2">
        <f>All_India_Index_Upto_April23__1[[#This Row],[Health]]/All_India_Index_Upto_April23__1[[#This Row],[TOTAL BROADER CATEGORIES]]</f>
        <v>9.9995654550486104E-2</v>
      </c>
      <c r="AQ367" s="2">
        <f>All_India_Index_Upto_April23__1[[#This Row],[Fuel and light]]/All_India_Index_Upto_April23__1[[#This Row],[TOTAL BROADER CATEGORIES]]</f>
        <v>0.10124439951605416</v>
      </c>
      <c r="AR367">
        <f>MONTH(1 &amp; All_India_Index_Upto_April23__1[[#This Row],[Month]])</f>
        <v>1</v>
      </c>
      <c r="AS367" s="19" t="str">
        <f>All_India_Index_Upto_April23__1[[#This Row],[MONTH IN NUM]]&amp;"/"&amp;All_India_Index_Upto_April23__1[[#This Row],[Year]]</f>
        <v>1/2013</v>
      </c>
      <c r="AT367">
        <f>SUM((All_India_Index_Upto_April23__1[[#This Row],[Education]]+All_India_Index_Upto_April23__1[[#This Row],[Household goods and services]]+All_India_Index_Upto_April23__1[[#This Row],[Fuel and light]]+All_India_Index_Upto_April23__1[[#This Row],[Housing]]+All_India_Index_Upto_April23__1[[#This Row],[Clothing and footwear]]+All_India_Index_Upto_April23__1[[#This Row],[Footwear]]+All_India_Index_Upto_April23__1[[#This Row],[Clothing]])/7)</f>
        <v>104.38571428571429</v>
      </c>
      <c r="AU367">
        <f>(All_India_Index_Upto_April23__1[[#This Row],[House]]+All_India_Index_Upto_April23__1[[#This Row],[Cloth]]+All_India_Index_Upto_April23__1[[#This Row],[Food]]+All_India_Index_Upto_April23__1[[#This Row],[Miscellaneous]]+All_India_Index_Upto_April23__1[[#This Row],[Personal care and effects]]+All_India_Index_Upto_April23__1[[#This Row],[Education]]+All_India_Index_Upto_April23__1[[#This Row],[Recreation and amusement]]+All_India_Index_Upto_April23__1[[#This Row],[Transport and communication]]+All_India_Index_Upto_April23__1[[#This Row],[Health]]+All_India_Index_Upto_April23__1[[#This Row],[Fuel and light]])</f>
        <v>1041.0452380952381</v>
      </c>
    </row>
  </sheetData>
  <printOptions horizontalCentered="1" verticalCentered="1"/>
  <pageMargins left="0.23622047244094491" right="0.23622047244094491" top="0.74803149606299213" bottom="0.74803149606299213" header="0.31496062992125984" footer="0.31496062992125984"/>
  <pageSetup paperSize="3" scale="15" fitToWidth="0"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
  <sheetViews>
    <sheetView zoomScale="70" zoomScaleNormal="72" zoomScaleSheetLayoutView="25" workbookViewId="0">
      <selection activeCell="E4" sqref="E4"/>
    </sheetView>
  </sheetViews>
  <sheetFormatPr defaultRowHeight="14.4" x14ac:dyDescent="0.3"/>
  <cols>
    <col min="1" max="1" width="34.33203125" customWidth="1"/>
    <col min="2" max="2" width="25.44140625" customWidth="1"/>
    <col min="3" max="3" width="32.33203125" customWidth="1"/>
    <col min="4" max="4" width="23.33203125" customWidth="1"/>
    <col min="5" max="5" width="16.21875" bestFit="1" customWidth="1"/>
    <col min="6" max="6" width="16.21875" customWidth="1"/>
    <col min="7" max="7" width="13.33203125" bestFit="1" customWidth="1"/>
    <col min="8" max="8" width="30.109375" bestFit="1" customWidth="1"/>
    <col min="9" max="9" width="35" bestFit="1" customWidth="1"/>
    <col min="10" max="10" width="34.88671875" bestFit="1" customWidth="1"/>
    <col min="11" max="11" width="54.33203125" customWidth="1"/>
    <col min="12" max="12" width="24" customWidth="1"/>
    <col min="13" max="13" width="20.5546875" customWidth="1"/>
    <col min="14" max="14" width="15.77734375" customWidth="1"/>
    <col min="15" max="15" width="12.88671875" customWidth="1"/>
    <col min="16" max="16" width="31.88671875" customWidth="1"/>
  </cols>
  <sheetData>
    <row r="1" spans="1:4" x14ac:dyDescent="0.3">
      <c r="A1" s="23" t="s">
        <v>48</v>
      </c>
      <c r="B1" s="23" t="s">
        <v>62</v>
      </c>
      <c r="C1" s="23" t="s">
        <v>63</v>
      </c>
      <c r="D1" s="23" t="s">
        <v>33</v>
      </c>
    </row>
    <row r="2" spans="1:4" x14ac:dyDescent="0.3">
      <c r="A2" s="24" t="s">
        <v>49</v>
      </c>
      <c r="B2" s="25">
        <f>SUMIFS('BROADER CATEGORIES'!$AH:$AH,'BROADER CATEGORIES'!$A:$A,"Rural",'BROADER CATEGORIES'!$AS:$AS,"05/2023")</f>
        <v>8.9732886200286369E-2</v>
      </c>
      <c r="C2" s="25">
        <f>SUMIFS('BROADER CATEGORIES'!$AH:$AH,'BROADER CATEGORIES'!$A:$A,"Urban",'BROADER CATEGORIES'!$AS:$AS,"5/2023")</f>
        <v>9.834086949925358E-2</v>
      </c>
      <c r="D2" s="25">
        <f>SUMIFS('BROADER CATEGORIES'!$AH:$AH,'BROADER CATEGORIES'!$A:$A,"Rural+Urban",'BROADER CATEGORIES'!AS:AS,"5/2023")</f>
        <v>9.8459909944226348E-2</v>
      </c>
    </row>
    <row r="3" spans="1:4" x14ac:dyDescent="0.3">
      <c r="A3" s="24" t="s">
        <v>50</v>
      </c>
      <c r="B3" s="25">
        <f>SUMIFS('BROADER CATEGORIES'!$AI:$AI,'BROADER CATEGORIES'!$A:$A,"Rural",'BROADER CATEGORIES'!$AS:$AS,"05/2023")</f>
        <v>0.10632313913518003</v>
      </c>
      <c r="C3" s="25">
        <f>SUMIFS('BROADER CATEGORIES'!$AI:$AI,'BROADER CATEGORIES'!$A:$A,"Urban",'BROADER CATEGORIES'!$AS:$AS,"5/2023")</f>
        <v>0.10026577515042981</v>
      </c>
      <c r="D3" s="25">
        <f>SUMIFS('BROADER CATEGORIES'!$AI:$AI,'BROADER CATEGORIES'!$A:$A,"Rural+Urban",'BROADER CATEGORIES'!AS:AS,"5/2023")</f>
        <v>0.10351201478743069</v>
      </c>
    </row>
    <row r="4" spans="1:4" x14ac:dyDescent="0.3">
      <c r="A4" s="24" t="s">
        <v>51</v>
      </c>
      <c r="B4" s="25">
        <f>SUMIFS('BROADER CATEGORIES'!$AJ:$AJ,'BROADER CATEGORIES'!$A:$A,"Rural",'BROADER CATEGORIES'!$AS:$AS,"05/2023")</f>
        <v>9.956950229241196E-2</v>
      </c>
      <c r="C4" s="25">
        <f>SUMIFS('BROADER CATEGORIES'!$AJ:$AJ,'BROADER CATEGORIES'!$A:$A,"Urban",'BROADER CATEGORIES'!$AS:$AS,"5/2023")</f>
        <v>0.10319309472269705</v>
      </c>
      <c r="D4" s="25">
        <f>SUMIFS('BROADER CATEGORIES'!$AJ:$AJ,'BROADER CATEGORIES'!$A:$A,"Rural+Urban",'BROADER CATEGORIES'!AS:AS,"5/2023")</f>
        <v>0.10055693441485801</v>
      </c>
    </row>
    <row r="5" spans="1:4" x14ac:dyDescent="0.3">
      <c r="A5" s="24" t="s">
        <v>52</v>
      </c>
      <c r="B5" s="25">
        <f>SUMIFS('BROADER CATEGORIES'!$AK:$AK,'BROADER CATEGORIES'!$A:$A,"Rural",'BROADER CATEGORIES'!$AS:$AS,"05/2023")</f>
        <v>0.10046501215001656</v>
      </c>
      <c r="C5" s="25">
        <f>SUMIFS('BROADER CATEGORIES'!$AK:$AK,'BROADER CATEGORIES'!$A:$A,"Urban",'BROADER CATEGORIES'!$AS:$AS,"5/2023")</f>
        <v>9.7629697460641679E-2</v>
      </c>
      <c r="D5" s="25">
        <f>SUMIFS('BROADER CATEGORIES'!$AK:$AK,'BROADER CATEGORIES'!$A:$A,"Rural+Urban",'BROADER CATEGORIES'!AS:AS,"5/2023")</f>
        <v>9.8628313438999832E-2</v>
      </c>
    </row>
    <row r="6" spans="1:4" x14ac:dyDescent="0.3">
      <c r="A6" s="24" t="s">
        <v>53</v>
      </c>
      <c r="B6" s="25">
        <f>SUMIFS('BROADER CATEGORIES'!$AL:$AL,'BROADER CATEGORIES'!$A:$A,"Rural",'BROADER CATEGORIES'!$AS:$AS,"05/2023")</f>
        <v>0.1034873579194321</v>
      </c>
      <c r="C6" s="25">
        <f>SUMIFS('BROADER CATEGORIES'!$AL:$AL,'BROADER CATEGORIES'!$A:$A,"Urban",'BROADER CATEGORIES'!$AS:$AS,"5/2023")</f>
        <v>0.10559482429309497</v>
      </c>
      <c r="D6" s="25">
        <f>SUMIFS('BROADER CATEGORIES'!$AL:$AL,'BROADER CATEGORIES'!$A:$A,"Rural+Urban",'BROADER CATEGORIES'!AS:AS,"5/2023")</f>
        <v>0.10396109077349328</v>
      </c>
    </row>
    <row r="7" spans="1:4" x14ac:dyDescent="0.3">
      <c r="A7" s="24" t="s">
        <v>54</v>
      </c>
      <c r="B7" s="25">
        <f>SUMIFS('BROADER CATEGORIES'!$AM:$AM,'BROADER CATEGORIES'!$A:$A,"Rural",'BROADER CATEGORIES'!$AS:$AS,"05/2023")</f>
        <v>0.10091276707881887</v>
      </c>
      <c r="C7" s="25">
        <f>SUMIFS('BROADER CATEGORIES'!$AM:$AM,'BROADER CATEGORIES'!$A:$A,"Urban",'BROADER CATEGORIES'!$AS:$AS,"5/2023")</f>
        <v>9.9450297879488156E-2</v>
      </c>
      <c r="D7" s="25">
        <f>SUMIFS('BROADER CATEGORIES'!$AM:$AM,'BROADER CATEGORIES'!$A:$A,"Rural+Urban",'BROADER CATEGORIES'!AS:AS,"5/2023")</f>
        <v>9.9414196414609399E-2</v>
      </c>
    </row>
    <row r="8" spans="1:4" x14ac:dyDescent="0.3">
      <c r="A8" s="24" t="s">
        <v>55</v>
      </c>
      <c r="B8" s="25">
        <f>SUMIFS('BROADER CATEGORIES'!$AN:$AN,'BROADER CATEGORIES'!$A:$A,"Rural",'BROADER CATEGORIES'!$AS:$AS,"05/2023")</f>
        <v>9.7274758282300158E-2</v>
      </c>
      <c r="C8" s="25">
        <f>SUMIFS('BROADER CATEGORIES'!$AN:$AN,'BROADER CATEGORIES'!$A:$A,"Urban",'BROADER CATEGORIES'!$AS:$AS,"5/2023")</f>
        <v>9.6264247146506832E-2</v>
      </c>
      <c r="D8" s="25">
        <f>SUMIFS('BROADER CATEGORIES'!$AN:$AN,'BROADER CATEGORIES'!$A:$A,"Rural+Urban",'BROADER CATEGORIES'!AS:AS,"5/2023")</f>
        <v>9.6102261017397675E-2</v>
      </c>
    </row>
    <row r="9" spans="1:4" x14ac:dyDescent="0.3">
      <c r="A9" s="24" t="s">
        <v>56</v>
      </c>
      <c r="B9" s="25">
        <f>SUMIFS('BROADER CATEGORIES'!$AO:$AO,'BROADER CATEGORIES'!$A:$A,"Rural",'BROADER CATEGORIES'!$AS:$AS,"05/2023")</f>
        <v>9.4980014272188357E-2</v>
      </c>
      <c r="C9" s="25">
        <f>SUMIFS('BROADER CATEGORIES'!$AO:$AO,'BROADER CATEGORIES'!$A:$A,"Urban",'BROADER CATEGORIES'!$AS:$AS,"5/2023")</f>
        <v>9.1257595994679058E-2</v>
      </c>
      <c r="D9" s="25">
        <f>SUMIFS('BROADER CATEGORIES'!$AO:$AO,'BROADER CATEGORIES'!$A:$A,"Rural+Urban",'BROADER CATEGORIES'!AS:AS,"5/2023")</f>
        <v>9.2509653128896849E-2</v>
      </c>
    </row>
    <row r="10" spans="1:4" x14ac:dyDescent="0.3">
      <c r="A10" s="24" t="s">
        <v>57</v>
      </c>
      <c r="B10" s="25">
        <f>SUMIFS('BROADER CATEGORIES'!$AP:$AP,'BROADER CATEGORIES'!$A:$A,"Rural",'BROADER CATEGORIES'!$AS:$AS,"05/2023")</f>
        <v>0.10511046953634046</v>
      </c>
      <c r="C10" s="25">
        <f>SUMIFS('BROADER CATEGORIES'!$AP:$AP,'BROADER CATEGORIES'!$A:$A,"Urban",'BROADER CATEGORIES'!$AS:$AS,"5/2023")</f>
        <v>0.10366043634807059</v>
      </c>
      <c r="D10" s="25">
        <f>SUMIFS('BROADER CATEGORIES'!$AP:$AP,'BROADER CATEGORIES'!$A:$A,"Rural+Urban",'BROADER CATEGORIES'!AS:AS,"5/2023")</f>
        <v>0.10424176326478241</v>
      </c>
    </row>
    <row r="11" spans="1:4" x14ac:dyDescent="0.3">
      <c r="A11" s="24" t="s">
        <v>58</v>
      </c>
      <c r="B11" s="25">
        <f>SUMIFS('BROADER CATEGORIES'!$AQ:$AQ,'BROADER CATEGORIES'!$A:$A,"Rural",'BROADER CATEGORIES'!$AS:$AS,"05/2023")</f>
        <v>0.10214409313302519</v>
      </c>
      <c r="C11" s="25">
        <f>SUMIFS('BROADER CATEGORIES'!$AQ:$AQ,'BROADER CATEGORIES'!$A:$A,"Urban",'BROADER CATEGORIES'!$AS:$AS,"5/2023")</f>
        <v>0.10434316150513803</v>
      </c>
      <c r="D11" s="25">
        <f>SUMIFS('BROADER CATEGORIES'!$AQ:$AQ,'BROADER CATEGORIES'!$A:$A,"Rural+Urban",'BROADER CATEGORIES'!AS:AS,"5/2023")</f>
        <v>0.10261386281530548</v>
      </c>
    </row>
    <row r="12" spans="1:4" x14ac:dyDescent="0.3">
      <c r="A12" s="26" t="s">
        <v>101</v>
      </c>
      <c r="B12" s="25">
        <f>SUM(B2:B11)</f>
        <v>1</v>
      </c>
      <c r="C12" s="27">
        <f>SUM(C2:C11)</f>
        <v>0.99999999999999978</v>
      </c>
      <c r="D12" s="27">
        <f>SUM(D2:D11)</f>
        <v>0.99999999999999989</v>
      </c>
    </row>
    <row r="13" spans="1:4" x14ac:dyDescent="0.3">
      <c r="A13" s="26" t="s">
        <v>102</v>
      </c>
      <c r="B13" s="25" t="str">
        <f>INDEX(A2:A11,MATCH(MAX(B2:B11),B2:B11,0))</f>
        <v>CONTRIBUTION IN CLOTH</v>
      </c>
      <c r="C13" s="28" t="str">
        <f>INDEX($A$2:$A$11,MATCH(MAX(C$2:C$11),C$2:C$11,0))</f>
        <v>CONTRIBUTION IN PER_CARE_ITEM</v>
      </c>
      <c r="D13" s="28" t="str">
        <f>INDEX(A2:A11,MATCH(MAX(D2:D11),D2:D11,0))</f>
        <v>CONTRIBUTION IN HEALTH</v>
      </c>
    </row>
    <row r="14" spans="1:4" x14ac:dyDescent="0.3">
      <c r="A14" s="26" t="s">
        <v>114</v>
      </c>
      <c r="B14" s="27">
        <f>MAX(B2:B11)</f>
        <v>0.10632313913518003</v>
      </c>
      <c r="C14" s="27">
        <f>MAX(C2:C11)</f>
        <v>0.10559482429309497</v>
      </c>
      <c r="D14" s="27">
        <f>MAX(D2:D11)</f>
        <v>0.10424176326478241</v>
      </c>
    </row>
    <row r="18" spans="1:11" ht="52.8" x14ac:dyDescent="0.3">
      <c r="A18" s="33" t="s">
        <v>117</v>
      </c>
      <c r="B18" s="33" t="s">
        <v>119</v>
      </c>
      <c r="C18" s="33" t="s">
        <v>122</v>
      </c>
      <c r="D18" s="33" t="s">
        <v>124</v>
      </c>
      <c r="E18" s="35"/>
      <c r="F18" s="35"/>
    </row>
    <row r="19" spans="1:11" ht="105.6" x14ac:dyDescent="0.3">
      <c r="A19" s="34" t="s">
        <v>118</v>
      </c>
      <c r="B19" s="34" t="s">
        <v>120</v>
      </c>
      <c r="C19" s="34" t="s">
        <v>123</v>
      </c>
      <c r="D19" s="34" t="s">
        <v>125</v>
      </c>
      <c r="E19" s="42"/>
      <c r="F19" s="42"/>
    </row>
    <row r="20" spans="1:11" ht="105.6" x14ac:dyDescent="0.3">
      <c r="A20" s="18"/>
      <c r="B20" s="34" t="s">
        <v>121</v>
      </c>
      <c r="C20" s="18"/>
      <c r="E20" s="42"/>
      <c r="F20" s="42"/>
    </row>
    <row r="21" spans="1:11" x14ac:dyDescent="0.3">
      <c r="A21" s="18"/>
      <c r="B21" s="18"/>
      <c r="C21" s="18"/>
      <c r="D21" s="18"/>
      <c r="E21" s="42"/>
      <c r="F21" s="42"/>
    </row>
    <row r="22" spans="1:11" x14ac:dyDescent="0.3">
      <c r="E22" s="42"/>
      <c r="F22" s="42"/>
    </row>
    <row r="23" spans="1:11" x14ac:dyDescent="0.3">
      <c r="E23" s="42"/>
      <c r="F23" s="42"/>
    </row>
    <row r="24" spans="1:11" x14ac:dyDescent="0.3">
      <c r="E24" s="42"/>
      <c r="F24" s="42"/>
    </row>
    <row r="25" spans="1:11" x14ac:dyDescent="0.3">
      <c r="A25" s="29" t="s">
        <v>116</v>
      </c>
      <c r="B25" s="29" t="s">
        <v>30</v>
      </c>
      <c r="C25" s="29" t="s">
        <v>32</v>
      </c>
      <c r="D25" s="29" t="s">
        <v>33</v>
      </c>
      <c r="E25" s="41" t="s">
        <v>115</v>
      </c>
      <c r="F25" s="43"/>
    </row>
    <row r="26" spans="1:11" x14ac:dyDescent="0.3">
      <c r="A26" s="30" t="str">
        <f t="shared" ref="A26:A35" si="0">INDEX($A$2:$A$11,MATCH(B26,$B$2:$B$11,0))</f>
        <v>CONTRIBUTION IN CLOTH</v>
      </c>
      <c r="B26" s="31">
        <f t="shared" ref="B26:B35" si="1">LARGE($B$2:$B$11,$E26)</f>
        <v>0.10632313913518003</v>
      </c>
      <c r="C26" s="31">
        <f t="shared" ref="C26:C35" si="2">LARGE($C$2:$C$11,$E26)</f>
        <v>0.10559482429309497</v>
      </c>
      <c r="D26" s="31">
        <f t="shared" ref="D26:D35" si="3">LARGE($D$2:$D$11,$E26)</f>
        <v>0.10424176326478241</v>
      </c>
      <c r="E26" s="30">
        <v>1</v>
      </c>
      <c r="F26" s="44"/>
    </row>
    <row r="27" spans="1:11" x14ac:dyDescent="0.3">
      <c r="A27" s="30" t="str">
        <f t="shared" si="0"/>
        <v>CONTRIBUTION IN HEALTH</v>
      </c>
      <c r="B27" s="31">
        <f t="shared" si="1"/>
        <v>0.10511046953634046</v>
      </c>
      <c r="C27" s="31">
        <f t="shared" si="2"/>
        <v>0.10434316150513803</v>
      </c>
      <c r="D27" s="31">
        <f t="shared" si="3"/>
        <v>0.10396109077349328</v>
      </c>
      <c r="E27" s="30">
        <v>2</v>
      </c>
      <c r="F27" s="44"/>
    </row>
    <row r="28" spans="1:11" x14ac:dyDescent="0.3">
      <c r="A28" s="30" t="str">
        <f t="shared" si="0"/>
        <v>CONTRIBUTION IN PER_CARE_ITEM</v>
      </c>
      <c r="B28" s="31">
        <f t="shared" si="1"/>
        <v>0.1034873579194321</v>
      </c>
      <c r="C28" s="31">
        <f t="shared" si="2"/>
        <v>0.10366043634807059</v>
      </c>
      <c r="D28" s="31">
        <f t="shared" si="3"/>
        <v>0.10351201478743069</v>
      </c>
      <c r="E28" s="30">
        <v>3</v>
      </c>
      <c r="F28" s="44"/>
      <c r="H28" s="36" t="s">
        <v>126</v>
      </c>
      <c r="I28" s="18"/>
      <c r="J28" s="18"/>
      <c r="K28" s="18"/>
    </row>
    <row r="29" spans="1:11" x14ac:dyDescent="0.3">
      <c r="A29" s="30" t="str">
        <f t="shared" si="0"/>
        <v>CONTRIBUTION IN L&amp;F</v>
      </c>
      <c r="B29" s="31">
        <f t="shared" si="1"/>
        <v>0.10214409313302519</v>
      </c>
      <c r="C29" s="31">
        <f t="shared" si="2"/>
        <v>0.10319309472269705</v>
      </c>
      <c r="D29" s="31">
        <f t="shared" si="3"/>
        <v>0.10261386281530548</v>
      </c>
      <c r="E29" s="30">
        <v>4</v>
      </c>
      <c r="F29" s="44"/>
      <c r="H29" s="36"/>
      <c r="I29" s="18"/>
      <c r="J29" s="18"/>
      <c r="K29" s="18"/>
    </row>
    <row r="30" spans="1:11" x14ac:dyDescent="0.3">
      <c r="A30" s="30" t="str">
        <f t="shared" si="0"/>
        <v>CONTRIBUTION IN EDUCATION</v>
      </c>
      <c r="B30" s="31">
        <f t="shared" si="1"/>
        <v>0.10091276707881887</v>
      </c>
      <c r="C30" s="31">
        <f t="shared" si="2"/>
        <v>0.10026577515042981</v>
      </c>
      <c r="D30" s="31">
        <f t="shared" si="3"/>
        <v>0.10055693441485801</v>
      </c>
      <c r="E30" s="30">
        <v>5</v>
      </c>
      <c r="F30" s="44"/>
      <c r="H30" s="37" t="s">
        <v>127</v>
      </c>
      <c r="I30" s="18"/>
      <c r="J30" s="18"/>
      <c r="K30" s="18"/>
    </row>
    <row r="31" spans="1:11" x14ac:dyDescent="0.3">
      <c r="A31" s="30" t="str">
        <f t="shared" si="0"/>
        <v>CONTRIBUTION IN MIS_ITEM</v>
      </c>
      <c r="B31" s="31">
        <f t="shared" si="1"/>
        <v>0.10046501215001656</v>
      </c>
      <c r="C31" s="31">
        <f t="shared" si="2"/>
        <v>9.9450297879488156E-2</v>
      </c>
      <c r="D31" s="31">
        <f t="shared" si="3"/>
        <v>9.9414196414609399E-2</v>
      </c>
      <c r="E31" s="30">
        <v>6</v>
      </c>
      <c r="F31" s="44"/>
      <c r="H31" s="37" t="s">
        <v>128</v>
      </c>
      <c r="I31" s="18"/>
      <c r="J31" s="18"/>
      <c r="K31" s="18"/>
    </row>
    <row r="32" spans="1:11" x14ac:dyDescent="0.3">
      <c r="A32" s="30" t="str">
        <f t="shared" si="0"/>
        <v>CONTRIBUTION IN FOOD</v>
      </c>
      <c r="B32" s="31">
        <f t="shared" si="1"/>
        <v>9.956950229241196E-2</v>
      </c>
      <c r="C32" s="31">
        <f t="shared" si="2"/>
        <v>9.834086949925358E-2</v>
      </c>
      <c r="D32" s="31">
        <f t="shared" si="3"/>
        <v>9.8628313438999832E-2</v>
      </c>
      <c r="E32" s="30">
        <v>7</v>
      </c>
      <c r="F32" s="44"/>
      <c r="H32" s="37" t="s">
        <v>129</v>
      </c>
      <c r="I32" s="18"/>
      <c r="J32" s="18"/>
      <c r="K32" s="18"/>
    </row>
    <row r="33" spans="1:6" x14ac:dyDescent="0.3">
      <c r="A33" s="30" t="str">
        <f t="shared" si="0"/>
        <v>CONTRIBUTION IN REC_AND_AMU</v>
      </c>
      <c r="B33" s="31">
        <f t="shared" si="1"/>
        <v>9.7274758282300158E-2</v>
      </c>
      <c r="C33" s="31">
        <f t="shared" si="2"/>
        <v>9.7629697460641679E-2</v>
      </c>
      <c r="D33" s="31">
        <f t="shared" si="3"/>
        <v>9.8459909944226348E-2</v>
      </c>
      <c r="E33" s="30">
        <v>8</v>
      </c>
      <c r="F33" s="44"/>
    </row>
    <row r="34" spans="1:6" x14ac:dyDescent="0.3">
      <c r="A34" s="30" t="str">
        <f t="shared" si="0"/>
        <v>CONTRIBUTION IN TR_COM</v>
      </c>
      <c r="B34" s="31">
        <f t="shared" si="1"/>
        <v>9.4980014272188357E-2</v>
      </c>
      <c r="C34" s="31">
        <f t="shared" si="2"/>
        <v>9.6264247146506832E-2</v>
      </c>
      <c r="D34" s="31">
        <f t="shared" si="3"/>
        <v>9.6102261017397675E-2</v>
      </c>
      <c r="E34" s="30">
        <v>9</v>
      </c>
      <c r="F34" s="44"/>
    </row>
    <row r="35" spans="1:6" x14ac:dyDescent="0.3">
      <c r="A35" s="30" t="str">
        <f t="shared" si="0"/>
        <v>CONTRIBUTION IN HOUSE</v>
      </c>
      <c r="B35" s="31">
        <f t="shared" si="1"/>
        <v>8.9732886200286369E-2</v>
      </c>
      <c r="C35" s="31">
        <f t="shared" si="2"/>
        <v>9.1257595994679058E-2</v>
      </c>
      <c r="D35" s="31">
        <f t="shared" si="3"/>
        <v>9.2509653128896849E-2</v>
      </c>
      <c r="E35" s="30">
        <v>10</v>
      </c>
      <c r="F35" s="44"/>
    </row>
  </sheetData>
  <autoFilter ref="A1:D14" xr:uid="{00000000-0001-0000-0500-000000000000}"/>
  <phoneticPr fontId="0" type="noConversion"/>
  <conditionalFormatting sqref="B2:B11">
    <cfRule type="top10" dxfId="13" priority="7" bottom="1" rank="1"/>
    <cfRule type="top10" dxfId="12" priority="8" rank="1"/>
  </conditionalFormatting>
  <conditionalFormatting sqref="C2:C11">
    <cfRule type="top10" dxfId="11" priority="3" bottom="1" rank="1"/>
    <cfRule type="top10" dxfId="10" priority="4" rank="1"/>
    <cfRule type="top10" dxfId="9" priority="5" rank="1"/>
    <cfRule type="top10" dxfId="8" priority="6" rank="1"/>
  </conditionalFormatting>
  <conditionalFormatting sqref="D2:D11">
    <cfRule type="top10" dxfId="7" priority="1" bottom="1" rank="1"/>
    <cfRule type="top10" dxfId="6" priority="2" rank="1"/>
  </conditionalFormatting>
  <printOptions horizontalCentered="1" verticalCentered="1"/>
  <pageMargins left="0.23622047244094491" right="0.23622047244094491" top="0.74803149606299213" bottom="0.74803149606299213" header="0.31496062992125984" footer="0.31496062992125984"/>
  <pageSetup paperSize="3" scale="1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5"/>
  <sheetViews>
    <sheetView zoomScale="82" zoomScaleNormal="95" zoomScaleSheetLayoutView="25" workbookViewId="0">
      <selection activeCell="P18" sqref="P18"/>
    </sheetView>
  </sheetViews>
  <sheetFormatPr defaultRowHeight="14.4" x14ac:dyDescent="0.3"/>
  <cols>
    <col min="1" max="1" width="13" bestFit="1" customWidth="1"/>
    <col min="2" max="2" width="22.77734375" bestFit="1" customWidth="1"/>
    <col min="3" max="3" width="22.33203125" bestFit="1" customWidth="1"/>
  </cols>
  <sheetData>
    <row r="2" spans="1:2" x14ac:dyDescent="0.3">
      <c r="A2" s="15" t="s">
        <v>0</v>
      </c>
      <c r="B2" t="s">
        <v>33</v>
      </c>
    </row>
    <row r="4" spans="1:2" x14ac:dyDescent="0.3">
      <c r="A4" s="15" t="s">
        <v>94</v>
      </c>
      <c r="B4" t="s">
        <v>103</v>
      </c>
    </row>
    <row r="5" spans="1:2" x14ac:dyDescent="0.3">
      <c r="A5" s="16">
        <v>2016</v>
      </c>
      <c r="B5" s="2"/>
    </row>
    <row r="6" spans="1:2" x14ac:dyDescent="0.3">
      <c r="A6" s="16">
        <v>2017</v>
      </c>
      <c r="B6" s="2">
        <v>3.3281733746129895E-2</v>
      </c>
    </row>
    <row r="7" spans="1:2" x14ac:dyDescent="0.3">
      <c r="A7" s="16">
        <v>2018</v>
      </c>
      <c r="B7" s="2">
        <v>3.9513108614232254E-2</v>
      </c>
    </row>
    <row r="8" spans="1:2" x14ac:dyDescent="0.3">
      <c r="A8" s="16">
        <v>2019</v>
      </c>
      <c r="B8" s="2">
        <v>3.8961038961038953E-2</v>
      </c>
    </row>
    <row r="9" spans="1:2" x14ac:dyDescent="0.3">
      <c r="A9" s="16">
        <v>2020</v>
      </c>
      <c r="B9" s="2">
        <v>6.3795712484237196E-2</v>
      </c>
    </row>
    <row r="10" spans="1:2" x14ac:dyDescent="0.3">
      <c r="A10" s="16">
        <v>2021</v>
      </c>
      <c r="B10" s="2">
        <v>5.2668752988220692E-2</v>
      </c>
    </row>
    <row r="11" spans="1:2" x14ac:dyDescent="0.3">
      <c r="A11" s="16">
        <v>2022</v>
      </c>
      <c r="B11" s="2">
        <v>6.6219354838709665E-2</v>
      </c>
    </row>
    <row r="12" spans="1:2" x14ac:dyDescent="0.3">
      <c r="A12" s="16" t="s">
        <v>99</v>
      </c>
      <c r="B12" s="2"/>
    </row>
    <row r="21" spans="1:10" x14ac:dyDescent="0.3">
      <c r="A21" s="18"/>
      <c r="B21" s="18"/>
      <c r="C21" s="18"/>
      <c r="D21" s="18"/>
      <c r="E21" s="18"/>
      <c r="F21" s="18"/>
      <c r="G21" s="18"/>
      <c r="H21" s="18"/>
      <c r="I21" s="18"/>
      <c r="J21" s="18"/>
    </row>
    <row r="22" spans="1:10" x14ac:dyDescent="0.3">
      <c r="A22" s="18"/>
      <c r="B22" s="18"/>
      <c r="C22" s="18"/>
      <c r="D22" s="18"/>
      <c r="E22" s="18"/>
      <c r="F22" s="18"/>
      <c r="G22" s="18"/>
      <c r="H22" s="18"/>
      <c r="I22" s="18"/>
      <c r="J22" s="18"/>
    </row>
    <row r="23" spans="1:10" x14ac:dyDescent="0.3">
      <c r="A23" s="18" t="s">
        <v>130</v>
      </c>
      <c r="B23" s="18"/>
      <c r="C23" s="18"/>
      <c r="D23" s="18"/>
      <c r="E23" s="18"/>
      <c r="F23" s="18"/>
      <c r="G23" s="18"/>
      <c r="H23" s="18"/>
      <c r="I23" s="18"/>
      <c r="J23" s="18"/>
    </row>
    <row r="24" spans="1:10" x14ac:dyDescent="0.3">
      <c r="A24" s="18" t="s">
        <v>131</v>
      </c>
      <c r="B24" s="18"/>
      <c r="C24" s="18"/>
      <c r="D24" s="18"/>
      <c r="E24" s="18"/>
      <c r="F24" s="18"/>
      <c r="G24" s="18"/>
      <c r="H24" s="18"/>
      <c r="I24" s="18"/>
      <c r="J24" s="18"/>
    </row>
    <row r="25" spans="1:10" x14ac:dyDescent="0.3">
      <c r="A25" s="18" t="s">
        <v>132</v>
      </c>
    </row>
  </sheetData>
  <printOptions horizontalCentered="1" verticalCentered="1"/>
  <pageMargins left="0.23622047244094491" right="0.23622047244094491" top="0.74803149606299213" bottom="0.74803149606299213" header="0.31496062992125984" footer="0.31496062992125984"/>
  <pageSetup paperSize="3" scale="15"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178"/>
  <sheetViews>
    <sheetView tabSelected="1" topLeftCell="A26" zoomScale="68" zoomScaleNormal="66" zoomScaleSheetLayoutView="25" workbookViewId="0">
      <selection activeCell="O12" sqref="O12"/>
    </sheetView>
  </sheetViews>
  <sheetFormatPr defaultRowHeight="14.4" x14ac:dyDescent="0.3"/>
  <cols>
    <col min="1" max="1" width="31.6640625" bestFit="1" customWidth="1"/>
    <col min="2" max="2" width="21.21875" customWidth="1"/>
    <col min="3" max="3" width="21.88671875" style="2" bestFit="1" customWidth="1"/>
    <col min="4" max="4" width="29.109375" customWidth="1"/>
    <col min="5" max="12" width="15.6640625" bestFit="1" customWidth="1"/>
    <col min="13" max="13" width="10.88671875" bestFit="1" customWidth="1"/>
    <col min="14" max="122" width="15.6640625" bestFit="1" customWidth="1"/>
    <col min="123" max="124" width="10.88671875" bestFit="1" customWidth="1"/>
  </cols>
  <sheetData>
    <row r="2" spans="1:16" x14ac:dyDescent="0.3">
      <c r="A2" s="47" t="s">
        <v>66</v>
      </c>
      <c r="B2" s="47"/>
    </row>
    <row r="3" spans="1:16" x14ac:dyDescent="0.3">
      <c r="A3" s="7" t="s">
        <v>67</v>
      </c>
      <c r="B3" s="7" t="s">
        <v>65</v>
      </c>
      <c r="C3" s="8" t="s">
        <v>64</v>
      </c>
    </row>
    <row r="4" spans="1:16" x14ac:dyDescent="0.3">
      <c r="A4" s="3" t="str">
        <f>All_India_Index_Upto_April23__1[[#This Row],[CONCAT Y&amp;M]]</f>
        <v>5/2022</v>
      </c>
      <c r="B4" s="6">
        <f>SUMIFS('BROADER CATEGORIES'!$AE:$AE,'BROADER CATEGORIES'!$A:$A,"Rural+Urban",'BROADER CATEGORIES'!$AS:$AS,'M-O-M HIGH &amp; LOW INF'!A4)</f>
        <v>173.78571428571399</v>
      </c>
      <c r="C4" s="9" t="s">
        <v>61</v>
      </c>
    </row>
    <row r="5" spans="1:16" x14ac:dyDescent="0.3">
      <c r="A5" s="4" t="str">
        <f>All_India_Index_Upto_April23__1[[#This Row],[CONCAT Y&amp;M]]</f>
        <v>6/2022</v>
      </c>
      <c r="B5" s="6">
        <f>SUMIFS('BROADER CATEGORIES'!$AE:$AE,'BROADER CATEGORIES'!$A:$A,"Rural+Urban",'BROADER CATEGORIES'!$AS:$AS,'M-O-M HIGH &amp; LOW INF'!A5)</f>
        <v>175.44285714285715</v>
      </c>
      <c r="C5" s="9">
        <f t="shared" ref="C5:C16" si="0">(B5-B4)/B4</f>
        <v>9.5355528154559121E-3</v>
      </c>
    </row>
    <row r="6" spans="1:16" x14ac:dyDescent="0.3">
      <c r="A6" s="3" t="str">
        <f>'BROADER CATEGORIES'!AS10</f>
        <v>7/2022</v>
      </c>
      <c r="B6" s="6">
        <f>SUMIFS('BROADER CATEGORIES'!$AE:$AE,'BROADER CATEGORIES'!$A:$A,"Rural+Urban",'BROADER CATEGORIES'!$AS:$AS,'M-O-M HIGH &amp; LOW INF'!A6)</f>
        <v>175.77857142857144</v>
      </c>
      <c r="C6" s="9">
        <f t="shared" si="0"/>
        <v>1.9135249572510566E-3</v>
      </c>
    </row>
    <row r="7" spans="1:16" x14ac:dyDescent="0.3">
      <c r="A7" s="4" t="str">
        <f>'BROADER CATEGORIES'!AS12</f>
        <v>8/2022</v>
      </c>
      <c r="B7" s="6">
        <f>SUMIFS('BROADER CATEGORIES'!$AE:$AE,'BROADER CATEGORIES'!$A:$A,"Rural+Urban",'BROADER CATEGORIES'!$AS:$AS,'M-O-M HIGH &amp; LOW INF'!A7)</f>
        <v>176.01428571428573</v>
      </c>
      <c r="C7" s="9">
        <f t="shared" si="0"/>
        <v>1.3409728148238956E-3</v>
      </c>
    </row>
    <row r="8" spans="1:16" x14ac:dyDescent="0.3">
      <c r="A8" s="3" t="str">
        <f>'BROADER CATEGORIES'!AS16</f>
        <v>9/2022</v>
      </c>
      <c r="B8" s="6">
        <f>SUMIFS('BROADER CATEGORIES'!$AE:$AE,'BROADER CATEGORIES'!$A:$A,"Rural+Urban",'BROADER CATEGORIES'!$AS:$AS,'M-O-M HIGH &amp; LOW INF'!A8)</f>
        <v>176.91428571428574</v>
      </c>
      <c r="C8" s="9">
        <f t="shared" si="0"/>
        <v>5.1132213294375773E-3</v>
      </c>
    </row>
    <row r="9" spans="1:16" x14ac:dyDescent="0.3">
      <c r="A9" s="4" t="str">
        <f>'BROADER CATEGORIES'!AS18</f>
        <v>10/2022</v>
      </c>
      <c r="B9" s="6">
        <f>SUMIFS('BROADER CATEGORIES'!$AE:$AE,'BROADER CATEGORIES'!$A:$A,"Rural+Urban",'BROADER CATEGORIES'!$AS:$AS,'M-O-M HIGH &amp; LOW INF'!A9)</f>
        <v>178.11428571428573</v>
      </c>
      <c r="C9" s="9">
        <f t="shared" si="0"/>
        <v>6.7829457364340434E-3</v>
      </c>
      <c r="P9" s="18"/>
    </row>
    <row r="10" spans="1:16" x14ac:dyDescent="0.3">
      <c r="A10" s="3" t="str">
        <f>'BROADER CATEGORIES'!AS20</f>
        <v>11/2022</v>
      </c>
      <c r="B10" s="6">
        <f>SUMIFS('BROADER CATEGORIES'!$AE:$AE,'BROADER CATEGORIES'!$A:$A,"Rural+Urban",'BROADER CATEGORIES'!$AS:$AS,'M-O-M HIGH &amp; LOW INF'!A10)</f>
        <v>178.12142857142859</v>
      </c>
      <c r="C10" s="9">
        <f t="shared" si="0"/>
        <v>4.0102662816865741E-5</v>
      </c>
      <c r="P10" s="18"/>
    </row>
    <row r="11" spans="1:16" x14ac:dyDescent="0.3">
      <c r="A11" s="4" t="str">
        <f>'BROADER CATEGORIES'!AS17</f>
        <v>12/2022</v>
      </c>
      <c r="B11" s="6">
        <f>SUMIFS('BROADER CATEGORIES'!$AE:$AE,'BROADER CATEGORIES'!$A:$A,"Rural+Urban",'BROADER CATEGORIES'!$AS:$AS,'M-O-M HIGH &amp; LOW INF'!A11)</f>
        <v>177.19285714285715</v>
      </c>
      <c r="C11" s="9">
        <f t="shared" si="0"/>
        <v>-5.2131371055059656E-3</v>
      </c>
    </row>
    <row r="12" spans="1:16" x14ac:dyDescent="0.3">
      <c r="A12" s="3" t="str">
        <f>'BROADER CATEGORIES'!AS14</f>
        <v>1/2023</v>
      </c>
      <c r="B12" s="6">
        <f>SUMIFS('BROADER CATEGORIES'!$AE:$AE,'BROADER CATEGORIES'!$A:$A,"Rural+Urban",'BROADER CATEGORIES'!$AS:$AS,'M-O-M HIGH &amp; LOW INF'!A12)</f>
        <v>177.92142857142855</v>
      </c>
      <c r="C12" s="9">
        <f t="shared" si="0"/>
        <v>4.1117426532831826E-3</v>
      </c>
    </row>
    <row r="13" spans="1:16" x14ac:dyDescent="0.3">
      <c r="A13" s="4" t="str">
        <f>'BROADER CATEGORIES'!AS11</f>
        <v>2/2023</v>
      </c>
      <c r="B13" s="6">
        <f>SUMIFS('BROADER CATEGORIES'!$AE:$AE,'BROADER CATEGORIES'!$A:$A,"Rural+Urban",'BROADER CATEGORIES'!$AS:$AS,'M-O-M HIGH &amp; LOW INF'!A13)</f>
        <v>177.04285714285714</v>
      </c>
      <c r="C13" s="9">
        <f t="shared" si="0"/>
        <v>-4.9379742261831758E-3</v>
      </c>
    </row>
    <row r="14" spans="1:16" x14ac:dyDescent="0.3">
      <c r="A14" s="3" t="str">
        <f>'BROADER CATEGORIES'!AS8</f>
        <v>3/2023</v>
      </c>
      <c r="B14" s="6">
        <f>SUMIFS('BROADER CATEGORIES'!$AE:$AE,'BROADER CATEGORIES'!$A:$A,"Rural+Urban",'BROADER CATEGORIES'!$AS:$AS,'M-O-M HIGH &amp; LOW INF'!A14)</f>
        <v>177.04999999999998</v>
      </c>
      <c r="C14" s="9">
        <f t="shared" si="0"/>
        <v>4.0345356249390191E-5</v>
      </c>
    </row>
    <row r="15" spans="1:16" x14ac:dyDescent="0.3">
      <c r="A15" s="4" t="str">
        <f>'BROADER CATEGORIES'!AS6</f>
        <v>4/2023</v>
      </c>
      <c r="B15" s="6">
        <f>SUMIFS('BROADER CATEGORIES'!$AE:$AE,'BROADER CATEGORIES'!$A:$A,"Rural+Urban",'BROADER CATEGORIES'!$AS:$AS,'M-O-M HIGH &amp; LOW INF'!A15)</f>
        <v>177.87142857142859</v>
      </c>
      <c r="C15" s="9">
        <f t="shared" si="0"/>
        <v>4.6395287852505629E-3</v>
      </c>
    </row>
    <row r="16" spans="1:16" x14ac:dyDescent="0.3">
      <c r="A16" s="3" t="str">
        <f>'BROADER CATEGORIES'!AS2</f>
        <v>5/2023</v>
      </c>
      <c r="B16" s="6">
        <f>SUMIFS('BROADER CATEGORIES'!$AE:$AE,'BROADER CATEGORIES'!$A:$A,"Rural+Urban",'BROADER CATEGORIES'!$AS:$AS,'M-O-M HIGH &amp; LOW INF'!A16)</f>
        <v>179.1357142857143</v>
      </c>
      <c r="C16" s="9">
        <f t="shared" si="0"/>
        <v>7.1078628222632206E-3</v>
      </c>
    </row>
    <row r="19" spans="1:5" ht="180" customHeight="1" x14ac:dyDescent="0.3">
      <c r="A19" s="35" t="s">
        <v>133</v>
      </c>
      <c r="B19" s="33" t="s">
        <v>158</v>
      </c>
    </row>
    <row r="32" spans="1:5" ht="15.6" customHeight="1" x14ac:dyDescent="0.3">
      <c r="A32" s="10" t="s">
        <v>68</v>
      </c>
      <c r="B32" s="11" t="str">
        <f>'BROADER CATEGORIES'!AR4&amp;"/"&amp;'BROADER CATEGORIES'!B4</f>
        <v>5/2022</v>
      </c>
      <c r="C32" s="11" t="str">
        <f>'BROADER CATEGORIES'!AR2&amp;"/"&amp;'BROADER CATEGORIES'!B2</f>
        <v>5/2023</v>
      </c>
      <c r="D32" s="10" t="s">
        <v>69</v>
      </c>
      <c r="E32" s="10" t="s">
        <v>70</v>
      </c>
    </row>
    <row r="33" spans="1:5" ht="16.8" customHeight="1" x14ac:dyDescent="0.3">
      <c r="A33" s="12" t="s">
        <v>3</v>
      </c>
      <c r="B33" s="13">
        <f>INDEX(All_India_Index_Upto_April23__1[#All],MATCH('M-O-M HIGH &amp; LOW INF'!B$32,All_India_Index_Upto_April23__1[[#All],[CONCAT Y&amp;M]],0),MATCH('M-O-M HIGH &amp; LOW INF'!$A33,All_India_Index_Upto_April23__1[#Headers],0))</f>
        <v>154.1</v>
      </c>
      <c r="C33" s="13">
        <f>INDEX(All_India_Index_Upto_April23__1[#All],MATCH('M-O-M HIGH &amp; LOW INF'!C$32,All_India_Index_Upto_April23__1[[#All],[CONCAT Y&amp;M]],0),MATCH('M-O-M HIGH &amp; LOW INF'!A33,All_India_Index_Upto_April23__1[#Headers],0))</f>
        <v>173.2</v>
      </c>
      <c r="D33" s="13">
        <f>C33-B33</f>
        <v>19.099999999999994</v>
      </c>
      <c r="E33" s="20">
        <f>(C33-B33)/B33</f>
        <v>0.12394548994159633</v>
      </c>
    </row>
    <row r="34" spans="1:5" x14ac:dyDescent="0.3">
      <c r="A34" s="12" t="s">
        <v>4</v>
      </c>
      <c r="B34" s="13">
        <f>INDEX(All_India_Index_Upto_April23__1[#All],MATCH('M-O-M HIGH &amp; LOW INF'!B$32,All_India_Index_Upto_April23__1[[#All],[CONCAT Y&amp;M]],0),MATCH('M-O-M HIGH &amp; LOW INF'!$A34,All_India_Index_Upto_April23__1[#Headers],0))</f>
        <v>217</v>
      </c>
      <c r="C34" s="13">
        <f>INDEX(All_India_Index_Upto_April23__1[#All],MATCH('M-O-M HIGH &amp; LOW INF'!C$32,All_India_Index_Upto_April23__1[[#All],[CONCAT Y&amp;M]],0),MATCH('M-O-M HIGH &amp; LOW INF'!A34,All_India_Index_Upto_April23__1[#Headers],0))</f>
        <v>211.5</v>
      </c>
      <c r="D34" s="13">
        <f t="shared" ref="D34:D46" si="1">C34-B34</f>
        <v>-5.5</v>
      </c>
      <c r="E34" s="20">
        <f t="shared" ref="E34:E45" si="2">(C34-B34)/B34</f>
        <v>-2.5345622119815669E-2</v>
      </c>
    </row>
    <row r="35" spans="1:5" x14ac:dyDescent="0.3">
      <c r="A35" s="12" t="s">
        <v>5</v>
      </c>
      <c r="B35" s="13">
        <f>INDEX(All_India_Index_Upto_April23__1[#All],MATCH('M-O-M HIGH &amp; LOW INF'!B$32,All_India_Index_Upto_April23__1[[#All],[CONCAT Y&amp;M]],0),MATCH('M-O-M HIGH &amp; LOW INF'!$A35,All_India_Index_Upto_April23__1[#Headers],0))</f>
        <v>162.4</v>
      </c>
      <c r="C35" s="13">
        <f>INDEX(All_India_Index_Upto_April23__1[#All],MATCH('M-O-M HIGH &amp; LOW INF'!C$32,All_India_Index_Upto_April23__1[[#All],[CONCAT Y&amp;M]],0),MATCH('M-O-M HIGH &amp; LOW INF'!A35,All_India_Index_Upto_April23__1[#Headers],0))</f>
        <v>171</v>
      </c>
      <c r="D35" s="13">
        <f t="shared" si="1"/>
        <v>8.5999999999999943</v>
      </c>
      <c r="E35" s="20">
        <f t="shared" si="2"/>
        <v>5.2955665024630505E-2</v>
      </c>
    </row>
    <row r="36" spans="1:5" x14ac:dyDescent="0.3">
      <c r="A36" s="12" t="s">
        <v>6</v>
      </c>
      <c r="B36" s="13">
        <f>INDEX(All_India_Index_Upto_April23__1[#All],MATCH('M-O-M HIGH &amp; LOW INF'!B$32,All_India_Index_Upto_April23__1[[#All],[CONCAT Y&amp;M]],0),MATCH('M-O-M HIGH &amp; LOW INF'!$A36,All_India_Index_Upto_April23__1[#Headers],0))</f>
        <v>164.9</v>
      </c>
      <c r="C36" s="13">
        <f>INDEX(All_India_Index_Upto_April23__1[#All],MATCH('M-O-M HIGH &amp; LOW INF'!C$32,All_India_Index_Upto_April23__1[[#All],[CONCAT Y&amp;M]],0),MATCH('M-O-M HIGH &amp; LOW INF'!A36,All_India_Index_Upto_April23__1[#Headers],0))</f>
        <v>179.6</v>
      </c>
      <c r="D36" s="13">
        <f t="shared" si="1"/>
        <v>14.699999999999989</v>
      </c>
      <c r="E36" s="20">
        <f t="shared" si="2"/>
        <v>8.9144936325045415E-2</v>
      </c>
    </row>
    <row r="37" spans="1:5" x14ac:dyDescent="0.3">
      <c r="A37" s="12" t="s">
        <v>7</v>
      </c>
      <c r="B37" s="13">
        <f>INDEX(All_India_Index_Upto_April23__1[#All],MATCH('M-O-M HIGH &amp; LOW INF'!B$32,All_India_Index_Upto_April23__1[[#All],[CONCAT Y&amp;M]],0),MATCH('M-O-M HIGH &amp; LOW INF'!$A37,All_India_Index_Upto_April23__1[#Headers],0))</f>
        <v>189.67500000000001</v>
      </c>
      <c r="C37" s="13">
        <f>INDEX(All_India_Index_Upto_April23__1[#All],MATCH('M-O-M HIGH &amp; LOW INF'!C$32,All_India_Index_Upto_April23__1[[#All],[CONCAT Y&amp;M]],0),MATCH('M-O-M HIGH &amp; LOW INF'!A37,All_India_Index_Upto_April23__1[#Headers],0))</f>
        <v>173.3</v>
      </c>
      <c r="D37" s="13">
        <f t="shared" si="1"/>
        <v>-16.375</v>
      </c>
      <c r="E37" s="20">
        <f t="shared" si="2"/>
        <v>-8.6331883484908389E-2</v>
      </c>
    </row>
    <row r="38" spans="1:5" x14ac:dyDescent="0.3">
      <c r="A38" s="12" t="s">
        <v>8</v>
      </c>
      <c r="B38" s="13">
        <f>INDEX(All_India_Index_Upto_April23__1[#All],MATCH('M-O-M HIGH &amp; LOW INF'!B$32,All_India_Index_Upto_April23__1[[#All],[CONCAT Y&amp;M]],0),MATCH('M-O-M HIGH &amp; LOW INF'!$A38,All_India_Index_Upto_April23__1[#Headers],0))</f>
        <v>171</v>
      </c>
      <c r="C38" s="13">
        <f>INDEX(All_India_Index_Upto_April23__1[#All],MATCH('M-O-M HIGH &amp; LOW INF'!C$32,All_India_Index_Upto_April23__1[[#All],[CONCAT Y&amp;M]],0),MATCH('M-O-M HIGH &amp; LOW INF'!A38,All_India_Index_Upto_April23__1[#Headers],0))</f>
        <v>169</v>
      </c>
      <c r="D38" s="13">
        <f t="shared" si="1"/>
        <v>-2</v>
      </c>
      <c r="E38" s="20">
        <f t="shared" si="2"/>
        <v>-1.1695906432748537E-2</v>
      </c>
    </row>
    <row r="39" spans="1:5" x14ac:dyDescent="0.3">
      <c r="A39" s="12" t="s">
        <v>9</v>
      </c>
      <c r="B39" s="13">
        <f>INDEX(All_India_Index_Upto_April23__1[#All],MATCH('M-O-M HIGH &amp; LOW INF'!B$32,All_India_Index_Upto_April23__1[[#All],[CONCAT Y&amp;M]],0),MATCH('M-O-M HIGH &amp; LOW INF'!$A39,All_India_Index_Upto_April23__1[#Headers],0))</f>
        <v>174.9</v>
      </c>
      <c r="C39" s="13">
        <f>INDEX(All_India_Index_Upto_April23__1[#All],MATCH('M-O-M HIGH &amp; LOW INF'!C$32,All_India_Index_Upto_April23__1[[#All],[CONCAT Y&amp;M]],0),MATCH('M-O-M HIGH &amp; LOW INF'!A39,All_India_Index_Upto_April23__1[#Headers],0))</f>
        <v>148.69999999999999</v>
      </c>
      <c r="D39" s="13">
        <f t="shared" si="1"/>
        <v>-26.200000000000017</v>
      </c>
      <c r="E39" s="20">
        <f t="shared" si="2"/>
        <v>-0.14979988564894234</v>
      </c>
    </row>
    <row r="40" spans="1:5" x14ac:dyDescent="0.3">
      <c r="A40" s="12" t="s">
        <v>10</v>
      </c>
      <c r="B40" s="13">
        <f>INDEX(All_India_Index_Upto_April23__1[#All],MATCH('M-O-M HIGH &amp; LOW INF'!B$32,All_India_Index_Upto_April23__1[[#All],[CONCAT Y&amp;M]],0),MATCH('M-O-M HIGH &amp; LOW INF'!$A40,All_India_Index_Upto_April23__1[#Headers],0))</f>
        <v>164.7</v>
      </c>
      <c r="C40" s="13">
        <f>INDEX(All_India_Index_Upto_April23__1[#All],MATCH('M-O-M HIGH &amp; LOW INF'!C$32,All_India_Index_Upto_April23__1[[#All],[CONCAT Y&amp;M]],0),MATCH('M-O-M HIGH &amp; LOW INF'!A40,All_India_Index_Upto_April23__1[#Headers],0))</f>
        <v>174.9</v>
      </c>
      <c r="D40" s="13">
        <f t="shared" si="1"/>
        <v>10.200000000000017</v>
      </c>
      <c r="E40" s="20">
        <f t="shared" si="2"/>
        <v>6.1930783242258758E-2</v>
      </c>
    </row>
    <row r="41" spans="1:5" x14ac:dyDescent="0.3">
      <c r="A41" s="12" t="s">
        <v>11</v>
      </c>
      <c r="B41" s="13">
        <f>INDEX(All_India_Index_Upto_April23__1[#All],MATCH('M-O-M HIGH &amp; LOW INF'!B$32,All_India_Index_Upto_April23__1[[#All],[CONCAT Y&amp;M]],0),MATCH('M-O-M HIGH &amp; LOW INF'!$A41,All_India_Index_Upto_April23__1[#Headers],0))</f>
        <v>119.7</v>
      </c>
      <c r="C41" s="13">
        <f>INDEX(All_India_Index_Upto_April23__1[#All],MATCH('M-O-M HIGH &amp; LOW INF'!C$32,All_India_Index_Upto_April23__1[[#All],[CONCAT Y&amp;M]],0),MATCH('M-O-M HIGH &amp; LOW INF'!A41,All_India_Index_Upto_April23__1[#Headers],0))</f>
        <v>121.9</v>
      </c>
      <c r="D41" s="13">
        <f t="shared" si="1"/>
        <v>2.2000000000000028</v>
      </c>
      <c r="E41" s="20">
        <f t="shared" si="2"/>
        <v>1.8379281537176297E-2</v>
      </c>
    </row>
    <row r="42" spans="1:5" x14ac:dyDescent="0.3">
      <c r="A42" s="12" t="s">
        <v>12</v>
      </c>
      <c r="B42" s="13">
        <f>INDEX(All_India_Index_Upto_April23__1[#All],MATCH('M-O-M HIGH &amp; LOW INF'!B$32,All_India_Index_Upto_April23__1[[#All],[CONCAT Y&amp;M]],0),MATCH('M-O-M HIGH &amp; LOW INF'!$A42,All_India_Index_Upto_April23__1[#Headers],0))</f>
        <v>184.9</v>
      </c>
      <c r="C42" s="13">
        <f>INDEX(All_India_Index_Upto_April23__1[#All],MATCH('M-O-M HIGH &amp; LOW INF'!C$32,All_India_Index_Upto_April23__1[[#All],[CONCAT Y&amp;M]],0),MATCH('M-O-M HIGH &amp; LOW INF'!A42,All_India_Index_Upto_April23__1[#Headers],0))</f>
        <v>213.04</v>
      </c>
      <c r="D42" s="13">
        <f t="shared" si="1"/>
        <v>28.139999999999986</v>
      </c>
      <c r="E42" s="20">
        <f t="shared" si="2"/>
        <v>0.15219037317468895</v>
      </c>
    </row>
    <row r="43" spans="1:5" x14ac:dyDescent="0.3">
      <c r="A43" s="12" t="s">
        <v>13</v>
      </c>
      <c r="B43" s="13">
        <f>INDEX(All_India_Index_Upto_April23__1[#All],MATCH('M-O-M HIGH &amp; LOW INF'!B$32,All_India_Index_Upto_April23__1[[#All],[CONCAT Y&amp;M]],0),MATCH('M-O-M HIGH &amp; LOW INF'!$A43,All_India_Index_Upto_April23__1[#Headers],0))</f>
        <v>167.1</v>
      </c>
      <c r="C43" s="13">
        <f>INDEX(All_India_Index_Upto_April23__1[#All],MATCH('M-O-M HIGH &amp; LOW INF'!C$32,All_India_Index_Upto_April23__1[[#All],[CONCAT Y&amp;M]],0),MATCH('M-O-M HIGH &amp; LOW INF'!A43,All_India_Index_Upto_April23__1[#Headers],0))</f>
        <v>178.7</v>
      </c>
      <c r="D43" s="13">
        <f t="shared" si="1"/>
        <v>11.599999999999994</v>
      </c>
      <c r="E43" s="20">
        <f t="shared" si="2"/>
        <v>6.9419509275882668E-2</v>
      </c>
    </row>
    <row r="44" spans="1:5" x14ac:dyDescent="0.3">
      <c r="A44" s="12" t="s">
        <v>14</v>
      </c>
      <c r="B44" s="13">
        <f>INDEX(All_India_Index_Upto_April23__1[#All],MATCH('M-O-M HIGH &amp; LOW INF'!B$32,All_India_Index_Upto_April23__1[[#All],[CONCAT Y&amp;M]],0),MATCH('M-O-M HIGH &amp; LOW INF'!$A44,All_India_Index_Upto_April23__1[#Headers],0))</f>
        <v>182.5</v>
      </c>
      <c r="C44" s="13">
        <f>INDEX(All_India_Index_Upto_April23__1[#All],MATCH('M-O-M HIGH &amp; LOW INF'!C$32,All_India_Index_Upto_April23__1[[#All],[CONCAT Y&amp;M]],0),MATCH('M-O-M HIGH &amp; LOW INF'!A44,All_India_Index_Upto_April23__1[#Headers],0))</f>
        <v>191.1</v>
      </c>
      <c r="D44" s="13">
        <f t="shared" si="1"/>
        <v>8.5999999999999943</v>
      </c>
      <c r="E44" s="20">
        <f t="shared" si="2"/>
        <v>4.7123287671232847E-2</v>
      </c>
    </row>
    <row r="45" spans="1:5" x14ac:dyDescent="0.3">
      <c r="A45" s="12" t="s">
        <v>15</v>
      </c>
      <c r="B45" s="13">
        <f>INDEX(All_India_Index_Upto_April23__1[#All],MATCH('M-O-M HIGH &amp; LOW INF'!B$32,All_India_Index_Upto_April23__1[[#All],[CONCAT Y&amp;M]],0),MATCH('M-O-M HIGH &amp; LOW INF'!$A45,All_India_Index_Upto_April23__1[#Headers],0))</f>
        <v>173.3</v>
      </c>
      <c r="C45" s="13">
        <f>INDEX(All_India_Index_Upto_April23__1[#All],MATCH('M-O-M HIGH &amp; LOW INF'!C$32,All_India_Index_Upto_April23__1[[#All],[CONCAT Y&amp;M]],0),MATCH('M-O-M HIGH &amp; LOW INF'!A45,All_India_Index_Upto_April23__1[#Headers],0))</f>
        <v>176.8</v>
      </c>
      <c r="D45" s="13">
        <f t="shared" si="1"/>
        <v>3.5</v>
      </c>
      <c r="E45" s="20">
        <f t="shared" si="2"/>
        <v>2.0196191575302943E-2</v>
      </c>
    </row>
    <row r="46" spans="1:5" x14ac:dyDescent="0.3">
      <c r="A46" s="12" t="s">
        <v>16</v>
      </c>
      <c r="B46" s="13">
        <f>INDEX(All_India_Index_Upto_April23__1[#All],MATCH('M-O-M HIGH &amp; LOW INF'!B$32,All_India_Index_Upto_April23__1[[#All],[CONCAT Y&amp;M]],0),MATCH('M-O-M HIGH &amp; LOW INF'!$A46,All_India_Index_Upto_April23__1[#Headers],0))</f>
        <v>194.1</v>
      </c>
      <c r="C46" s="13">
        <f>INDEX(All_India_Index_Upto_April23__1[#All],MATCH('M-O-M HIGH &amp; LOW INF'!C$32,All_India_Index_Upto_April23__1[[#All],[CONCAT Y&amp;M]],0),MATCH('M-O-M HIGH &amp; LOW INF'!A46,All_India_Index_Upto_April23__1[#Headers],0))</f>
        <v>199.9</v>
      </c>
      <c r="D46" s="13">
        <f t="shared" si="1"/>
        <v>5.8000000000000114</v>
      </c>
      <c r="E46" s="20">
        <f>(C46-B46)/B46</f>
        <v>2.9881504379186047E-2</v>
      </c>
    </row>
    <row r="47" spans="1:5" x14ac:dyDescent="0.3">
      <c r="C47" s="46"/>
    </row>
    <row r="48" spans="1:5" x14ac:dyDescent="0.3">
      <c r="A48" s="18" t="s">
        <v>134</v>
      </c>
    </row>
    <row r="49" spans="1:4" x14ac:dyDescent="0.3">
      <c r="C49"/>
    </row>
    <row r="50" spans="1:4" ht="193.8" customHeight="1" x14ac:dyDescent="0.3">
      <c r="A50" s="33" t="s">
        <v>135</v>
      </c>
      <c r="B50" s="35" t="s">
        <v>136</v>
      </c>
      <c r="C50" s="33" t="s">
        <v>137</v>
      </c>
      <c r="D50" s="33" t="s">
        <v>138</v>
      </c>
    </row>
    <row r="51" spans="1:4" x14ac:dyDescent="0.3">
      <c r="A51" s="38"/>
    </row>
    <row r="52" spans="1:4" x14ac:dyDescent="0.3">
      <c r="C52"/>
    </row>
    <row r="53" spans="1:4" x14ac:dyDescent="0.3">
      <c r="C53"/>
    </row>
    <row r="54" spans="1:4" x14ac:dyDescent="0.3">
      <c r="C54"/>
    </row>
    <row r="55" spans="1:4" x14ac:dyDescent="0.3">
      <c r="C55"/>
    </row>
    <row r="56" spans="1:4" x14ac:dyDescent="0.3">
      <c r="C56"/>
    </row>
    <row r="57" spans="1:4" x14ac:dyDescent="0.3">
      <c r="C57"/>
    </row>
    <row r="58" spans="1:4" x14ac:dyDescent="0.3">
      <c r="C58"/>
    </row>
    <row r="59" spans="1:4" x14ac:dyDescent="0.3">
      <c r="C59"/>
    </row>
    <row r="60" spans="1:4" x14ac:dyDescent="0.3">
      <c r="C60"/>
    </row>
    <row r="61" spans="1:4" x14ac:dyDescent="0.3">
      <c r="C61"/>
    </row>
    <row r="62" spans="1:4" x14ac:dyDescent="0.3">
      <c r="C62"/>
    </row>
    <row r="63" spans="1:4" x14ac:dyDescent="0.3">
      <c r="C63"/>
    </row>
    <row r="64" spans="1:4"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sheetData>
  <mergeCells count="1">
    <mergeCell ref="A2:B2"/>
  </mergeCells>
  <conditionalFormatting sqref="B4:B16">
    <cfRule type="top10" dxfId="5" priority="3" bottom="1" rank="3"/>
    <cfRule type="top10" dxfId="4" priority="4" rank="3"/>
  </conditionalFormatting>
  <conditionalFormatting sqref="C4:C16">
    <cfRule type="top10" dxfId="3" priority="1" bottom="1" rank="3"/>
    <cfRule type="top10" dxfId="2" priority="2" rank="3"/>
  </conditionalFormatting>
  <conditionalFormatting sqref="D33:D46">
    <cfRule type="dataBar" priority="9">
      <dataBar>
        <cfvo type="min"/>
        <cfvo type="max"/>
        <color rgb="FF638EC6"/>
      </dataBar>
      <extLst>
        <ext xmlns:x14="http://schemas.microsoft.com/office/spreadsheetml/2009/9/main" uri="{B025F937-C7B1-47D3-B67F-A62EFF666E3E}">
          <x14:id>{E428BB55-E3D9-4EF2-BE5B-8CACEC6EC621}</x14:id>
        </ext>
      </extLst>
    </cfRule>
  </conditionalFormatting>
  <conditionalFormatting sqref="E33:E46">
    <cfRule type="top10" dxfId="1" priority="5" bottom="1" rank="3"/>
    <cfRule type="top10" dxfId="0" priority="6" rank="3"/>
  </conditionalFormatting>
  <printOptions horizontalCentered="1" verticalCentered="1"/>
  <pageMargins left="0.23622047244094491" right="0.23622047244094491" top="0.74803149606299213" bottom="0.74803149606299213" header="0.31496062992125984" footer="0.31496062992125984"/>
  <pageSetup paperSize="3" scale="15" orientation="portrait" r:id="rId1"/>
  <drawing r:id="rId2"/>
  <extLst>
    <ext xmlns:x14="http://schemas.microsoft.com/office/spreadsheetml/2009/9/main" uri="{78C0D931-6437-407d-A8EE-F0AAD7539E65}">
      <x14:conditionalFormattings>
        <x14:conditionalFormatting xmlns:xm="http://schemas.microsoft.com/office/excel/2006/main">
          <x14:cfRule type="dataBar" id="{E428BB55-E3D9-4EF2-BE5B-8CACEC6EC621}">
            <x14:dataBar minLength="0" maxLength="100" border="1" negativeBarBorderColorSameAsPositive="0">
              <x14:cfvo type="autoMin"/>
              <x14:cfvo type="autoMax"/>
              <x14:borderColor rgb="FF638EC6"/>
              <x14:negativeFillColor rgb="FFFF0000"/>
              <x14:negativeBorderColor rgb="FFFF0000"/>
              <x14:axisColor rgb="FF000000"/>
            </x14:dataBar>
          </x14:cfRule>
          <xm:sqref>D33:D46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J28"/>
  <sheetViews>
    <sheetView topLeftCell="A5" zoomScale="84" zoomScaleNormal="84" zoomScaleSheetLayoutView="25" workbookViewId="0">
      <selection activeCell="E2" sqref="E2"/>
    </sheetView>
  </sheetViews>
  <sheetFormatPr defaultRowHeight="14.4" x14ac:dyDescent="0.3"/>
  <cols>
    <col min="1" max="1" width="11.21875" bestFit="1" customWidth="1"/>
    <col min="2" max="2" width="20.88671875" bestFit="1" customWidth="1"/>
    <col min="3" max="3" width="12.6640625" bestFit="1" customWidth="1"/>
    <col min="4" max="4" width="28.5546875" customWidth="1"/>
    <col min="5" max="5" width="26.109375" bestFit="1" customWidth="1"/>
    <col min="6" max="6" width="17.6640625" bestFit="1" customWidth="1"/>
    <col min="7" max="7" width="17.33203125" bestFit="1" customWidth="1"/>
    <col min="8" max="8" width="10.5546875" bestFit="1" customWidth="1"/>
    <col min="9" max="9" width="9.5546875" bestFit="1" customWidth="1"/>
    <col min="10" max="10" width="19" bestFit="1" customWidth="1"/>
    <col min="11" max="11" width="19.21875" customWidth="1"/>
    <col min="12" max="12" width="7.6640625" bestFit="1" customWidth="1"/>
  </cols>
  <sheetData>
    <row r="1" spans="3:10" x14ac:dyDescent="0.3">
      <c r="C1" t="s">
        <v>0</v>
      </c>
      <c r="D1" t="s">
        <v>1</v>
      </c>
      <c r="E1" t="s">
        <v>23</v>
      </c>
      <c r="F1" t="s">
        <v>45</v>
      </c>
      <c r="G1" t="s">
        <v>108</v>
      </c>
      <c r="H1" t="s">
        <v>107</v>
      </c>
      <c r="I1" t="s">
        <v>104</v>
      </c>
      <c r="J1" t="s">
        <v>109</v>
      </c>
    </row>
    <row r="2" spans="3:10" x14ac:dyDescent="0.3">
      <c r="C2" t="s">
        <v>110</v>
      </c>
      <c r="D2" s="40" t="s">
        <v>139</v>
      </c>
      <c r="E2" s="21" cm="1">
        <f t="array" ref="E2">INDEX('BROADER CATEGORIES'!$X:$X,MATCH(1,('BROADER CATEGORIES'!$AS:$AS="3/2018")*('BROADER CATEGORIES'!$A:$A="Rural+Urban"),0))</f>
        <v>134.30000000000001</v>
      </c>
      <c r="F2" s="21" cm="1">
        <f t="array" ref="F2">INDEX('BROADER CATEGORIES'!$AE:$AE,MATCH(1,('BROADER CATEGORIES'!$AS:$AS="3/2018")*('BROADER CATEGORIES'!$A:$A="Rural+Urban"),0))</f>
        <v>136.59285714285713</v>
      </c>
      <c r="G2" s="21" cm="1">
        <f t="array" ref="G2">INDEX('BROADER CATEGORIES'!$AT:$AT,MATCH(1,('BROADER CATEGORIES'!$AS:$AS="3/2018")*('BROADER CATEGORIES'!$A:$A="Rural+Urban"),0))</f>
        <v>139.64285714285714</v>
      </c>
      <c r="H2" t="s">
        <v>111</v>
      </c>
      <c r="I2" t="s">
        <v>111</v>
      </c>
      <c r="J2" t="s">
        <v>111</v>
      </c>
    </row>
    <row r="3" spans="3:10" x14ac:dyDescent="0.3">
      <c r="C3" t="s">
        <v>110</v>
      </c>
      <c r="D3" s="40" t="s">
        <v>140</v>
      </c>
      <c r="E3" s="21" cm="1">
        <f t="array" ref="E3">INDEX('BROADER CATEGORIES'!$X:$X,MATCH(1,('BROADER CATEGORIES'!$AS:$AS="3/2019")*('BROADER CATEGORIES'!$A:$A="Rural+Urban"),0))</f>
        <v>146.19999999999999</v>
      </c>
      <c r="F3" s="21" cm="1">
        <f t="array" ref="F3">INDEX('BROADER CATEGORIES'!$AE:$AE,MATCH(1,('BROADER CATEGORIES'!$AS:$AS="3/2019")*('BROADER CATEGORIES'!$A:$A="Rural+Urban"),0))</f>
        <v>137.6</v>
      </c>
      <c r="G3" s="21" cm="1">
        <f t="array" ref="G3">INDEX('BROADER CATEGORIES'!$AT:$AT,MATCH(1,('BROADER CATEGORIES'!$AS:$AS="3/2019")*('BROADER CATEGORIES'!$A:$A="Rural+Urban"),0))</f>
        <v>145.32857142857142</v>
      </c>
      <c r="H3" s="21">
        <f>(E3-E2)*100/E2</f>
        <v>8.8607594936708676</v>
      </c>
      <c r="I3" s="21">
        <f t="shared" ref="H3:J4" si="0">(F3-F2)*100/F2</f>
        <v>0.73733200857606751</v>
      </c>
      <c r="J3" s="21">
        <f t="shared" si="0"/>
        <v>4.0716112531969291</v>
      </c>
    </row>
    <row r="4" spans="3:10" x14ac:dyDescent="0.3">
      <c r="C4" t="s">
        <v>110</v>
      </c>
      <c r="D4" s="40" t="s">
        <v>141</v>
      </c>
      <c r="E4" s="21" cm="1">
        <f t="array" ref="E4">INDEX('BROADER CATEGORIES'!$X:$X,MATCH(1,('BROADER CATEGORIES'!$AS:$AS="3/2020")*('BROADER CATEGORIES'!$A:$A="Rural+Urban"),0))</f>
        <v>152.30000000000001</v>
      </c>
      <c r="F4" s="21" cm="1">
        <f t="array" ref="F4">INDEX('BROADER CATEGORIES'!$AE:$AE,MATCH(1,('BROADER CATEGORIES'!$AS:$AS="3/2020")*('BROADER CATEGORIES'!$A:$A="Rural+Urban"),0))</f>
        <v>147.6142857142857</v>
      </c>
      <c r="G4" s="21" cm="1">
        <f t="array" ref="G4">INDEX('BROADER CATEGORIES'!$AT:$AT,MATCH(1,('BROADER CATEGORIES'!$AS:$AS="3/2020")*('BROADER CATEGORIES'!$A:$A="Rural+Urban"),0))</f>
        <v>149.82857142857142</v>
      </c>
      <c r="H4" s="21">
        <f t="shared" si="0"/>
        <v>4.1723666210670469</v>
      </c>
      <c r="I4" s="21">
        <f t="shared" si="0"/>
        <v>7.2778239202657744</v>
      </c>
      <c r="J4" s="21">
        <f t="shared" si="0"/>
        <v>3.0964317310527871</v>
      </c>
    </row>
    <row r="5" spans="3:10" x14ac:dyDescent="0.3">
      <c r="C5" t="s">
        <v>110</v>
      </c>
      <c r="D5" s="40" t="s">
        <v>142</v>
      </c>
      <c r="E5" s="21" cm="1">
        <f t="array" ref="E5">INDEX('BROADER CATEGORIES'!$X:$X,MATCH(1,('BROADER CATEGORIES'!$AS:$AS="3/2021")*('BROADER CATEGORIES'!$A:$A="Rural+Urban"),0))</f>
        <v>161.69999999999999</v>
      </c>
      <c r="F5" s="21" cm="1">
        <f t="array" ref="F5">INDEX('BROADER CATEGORIES'!$AE:$AE,MATCH(1,('BROADER CATEGORIES'!$AS:$AS="3/2021")*('BROADER CATEGORIES'!$A:$A="Rural+Urban"),0))</f>
        <v>159.10714285714286</v>
      </c>
      <c r="G5" s="21" cm="1">
        <f t="array" ref="G5">INDEX('BROADER CATEGORIES'!$AT:$AT,MATCH(1,('BROADER CATEGORIES'!$AS:$AS="3/2021")*('BROADER CATEGORIES'!$A:$A="Rural+Urban"),0))</f>
        <v>155.55714285714285</v>
      </c>
      <c r="H5" s="21">
        <f t="shared" ref="H5:H6" si="1">(E5-E4)*100/E4</f>
        <v>6.1720288903479821</v>
      </c>
      <c r="I5" s="21">
        <f t="shared" ref="I5:I6" si="2">(F5-F4)*100/F4</f>
        <v>7.7857350237104548</v>
      </c>
      <c r="J5" s="21">
        <f t="shared" ref="J5:J6" si="3">(G5-G4)*100/G4</f>
        <v>3.8234172387490459</v>
      </c>
    </row>
    <row r="6" spans="3:10" x14ac:dyDescent="0.3">
      <c r="C6" t="s">
        <v>110</v>
      </c>
      <c r="D6" s="40" t="s">
        <v>143</v>
      </c>
      <c r="E6" s="21" cm="1">
        <f t="array" ref="E6">INDEX('BROADER CATEGORIES'!$X:$X,MATCH(1,('BROADER CATEGORIES'!$AS:$AS="3/2022")*('BROADER CATEGORIES'!$A:$A="Rural+Urban"),0))</f>
        <v>173</v>
      </c>
      <c r="F6" s="21" cm="1">
        <f t="array" ref="F6">INDEX('BROADER CATEGORIES'!$AE:$AE,MATCH(1,('BROADER CATEGORIES'!$AS:$AS="3/2022")*('BROADER CATEGORIES'!$A:$A="Rural+Urban"),0))</f>
        <v>169.85</v>
      </c>
      <c r="G6" s="21" cm="1">
        <f t="array" ref="G6">INDEX('BROADER CATEGORIES'!$AT:$AT,MATCH(1,('BROADER CATEGORIES'!$AS:$AS="3/2022")*('BROADER CATEGORIES'!$A:$A="Rural+Urban"),0))</f>
        <v>167.01428571428571</v>
      </c>
      <c r="H6" s="21">
        <f t="shared" si="1"/>
        <v>6.9882498453927102</v>
      </c>
      <c r="I6" s="21">
        <f t="shared" si="2"/>
        <v>6.7519640852974128</v>
      </c>
      <c r="J6" s="21">
        <f t="shared" si="3"/>
        <v>7.3652309670309482</v>
      </c>
    </row>
    <row r="7" spans="3:10" x14ac:dyDescent="0.3">
      <c r="C7" s="15" t="s">
        <v>0</v>
      </c>
      <c r="D7" t="s">
        <v>110</v>
      </c>
    </row>
    <row r="9" spans="3:10" x14ac:dyDescent="0.3">
      <c r="C9" s="15" t="s">
        <v>94</v>
      </c>
      <c r="D9" t="s">
        <v>105</v>
      </c>
      <c r="E9" t="s">
        <v>112</v>
      </c>
      <c r="F9" t="s">
        <v>113</v>
      </c>
    </row>
    <row r="10" spans="3:10" x14ac:dyDescent="0.3">
      <c r="C10" s="22">
        <v>43525</v>
      </c>
      <c r="D10" s="21">
        <v>8.8607594936708676</v>
      </c>
      <c r="E10" s="21">
        <v>4.0716112531969291</v>
      </c>
      <c r="F10" s="21">
        <v>0.73733200857606751</v>
      </c>
    </row>
    <row r="11" spans="3:10" x14ac:dyDescent="0.3">
      <c r="C11" s="22">
        <v>43891</v>
      </c>
      <c r="D11" s="21">
        <v>4.1723666210670469</v>
      </c>
      <c r="E11" s="21">
        <v>3.0964317310527871</v>
      </c>
      <c r="F11" s="21">
        <v>7.2778239202657744</v>
      </c>
    </row>
    <row r="12" spans="3:10" x14ac:dyDescent="0.3">
      <c r="C12" s="22">
        <v>44256</v>
      </c>
      <c r="D12" s="21">
        <v>6.1720288903479821</v>
      </c>
      <c r="E12" s="21">
        <v>3.8234172387490459</v>
      </c>
      <c r="F12" s="21">
        <v>7.7857350237104548</v>
      </c>
    </row>
    <row r="13" spans="3:10" x14ac:dyDescent="0.3">
      <c r="C13" s="22">
        <v>44621</v>
      </c>
      <c r="D13" s="21">
        <v>6.9882498453927102</v>
      </c>
      <c r="E13" s="21">
        <v>7.3652309670309482</v>
      </c>
      <c r="F13" s="21">
        <v>6.7519640852974128</v>
      </c>
    </row>
    <row r="14" spans="3:10" x14ac:dyDescent="0.3">
      <c r="C14" s="22" t="s">
        <v>99</v>
      </c>
      <c r="D14">
        <v>6.5483512126196519</v>
      </c>
      <c r="E14">
        <v>4.5891727975074277</v>
      </c>
      <c r="F14">
        <v>5.6382137594624275</v>
      </c>
    </row>
    <row r="16" spans="3:10" x14ac:dyDescent="0.3">
      <c r="D16" s="32" t="s">
        <v>144</v>
      </c>
    </row>
    <row r="17" spans="4:5" ht="92.4" x14ac:dyDescent="0.3">
      <c r="D17" s="33" t="s">
        <v>146</v>
      </c>
      <c r="E17" s="39" t="s">
        <v>159</v>
      </c>
    </row>
    <row r="18" spans="4:5" x14ac:dyDescent="0.3">
      <c r="D18" s="18"/>
    </row>
    <row r="19" spans="4:5" x14ac:dyDescent="0.3">
      <c r="D19" s="18"/>
    </row>
    <row r="21" spans="4:5" x14ac:dyDescent="0.3">
      <c r="D21" s="18" t="s">
        <v>145</v>
      </c>
    </row>
    <row r="22" spans="4:5" ht="118.8" x14ac:dyDescent="0.3">
      <c r="D22" s="33" t="s">
        <v>147</v>
      </c>
      <c r="E22" s="33" t="s">
        <v>148</v>
      </c>
    </row>
    <row r="23" spans="4:5" x14ac:dyDescent="0.3">
      <c r="D23" s="18"/>
    </row>
    <row r="24" spans="4:5" x14ac:dyDescent="0.3">
      <c r="D24" s="18" t="s">
        <v>149</v>
      </c>
    </row>
    <row r="26" spans="4:5" x14ac:dyDescent="0.3">
      <c r="D26" s="18" t="s">
        <v>150</v>
      </c>
    </row>
    <row r="27" spans="4:5" x14ac:dyDescent="0.3">
      <c r="D27" s="18"/>
    </row>
    <row r="28" spans="4:5" ht="125.4" customHeight="1" x14ac:dyDescent="0.3">
      <c r="D28" s="39" t="s">
        <v>151</v>
      </c>
    </row>
  </sheetData>
  <phoneticPr fontId="4" type="noConversion"/>
  <printOptions horizontalCentered="1" verticalCentered="1"/>
  <pageMargins left="0.23622047244094491" right="0.23622047244094491" top="0.74803149606299213" bottom="0.74803149606299213" header="0.31496062992125984" footer="0.31496062992125984"/>
  <pageSetup paperSize="3" scale="15" orientation="portrait"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F888-2911-44AA-8806-5740F71C0F1F}">
  <dimension ref="A1:J67"/>
  <sheetViews>
    <sheetView topLeftCell="A43" zoomScaleNormal="100" workbookViewId="0">
      <selection activeCell="E55" sqref="E55"/>
    </sheetView>
  </sheetViews>
  <sheetFormatPr defaultRowHeight="14.4" x14ac:dyDescent="0.3"/>
  <cols>
    <col min="1" max="1" width="14.6640625" bestFit="1" customWidth="1"/>
    <col min="2" max="2" width="21.77734375" bestFit="1" customWidth="1"/>
    <col min="3" max="3" width="26.44140625" bestFit="1" customWidth="1"/>
    <col min="4" max="4" width="22.5546875" bestFit="1" customWidth="1"/>
    <col min="5" max="5" width="23.5546875" bestFit="1" customWidth="1"/>
    <col min="6" max="6" width="30.21875" customWidth="1"/>
    <col min="7" max="7" width="13.88671875" customWidth="1"/>
    <col min="8" max="8" width="15.109375" customWidth="1"/>
    <col min="9" max="9" width="19.77734375" customWidth="1"/>
    <col min="10" max="10" width="15.88671875" customWidth="1"/>
  </cols>
  <sheetData>
    <row r="1" spans="1:10" x14ac:dyDescent="0.3">
      <c r="A1" t="s">
        <v>1</v>
      </c>
      <c r="B1" t="s">
        <v>2</v>
      </c>
      <c r="C1" t="s">
        <v>72</v>
      </c>
      <c r="D1" t="s">
        <v>73</v>
      </c>
      <c r="E1" t="s">
        <v>74</v>
      </c>
      <c r="F1" t="s">
        <v>75</v>
      </c>
      <c r="G1" t="s">
        <v>76</v>
      </c>
      <c r="H1" t="s">
        <v>77</v>
      </c>
      <c r="I1" t="s">
        <v>78</v>
      </c>
      <c r="J1" t="s">
        <v>79</v>
      </c>
    </row>
    <row r="2" spans="1:10" x14ac:dyDescent="0.3">
      <c r="A2">
        <v>2021</v>
      </c>
      <c r="B2" t="s">
        <v>80</v>
      </c>
      <c r="C2">
        <v>54</v>
      </c>
      <c r="D2">
        <v>4.0999999999999996</v>
      </c>
      <c r="E2">
        <v>3.2</v>
      </c>
      <c r="F2">
        <v>5.5</v>
      </c>
      <c r="G2" t="s">
        <v>91</v>
      </c>
      <c r="H2" t="s">
        <v>91</v>
      </c>
      <c r="I2" t="s">
        <v>91</v>
      </c>
      <c r="J2" t="s">
        <v>91</v>
      </c>
    </row>
    <row r="3" spans="1:10" x14ac:dyDescent="0.3">
      <c r="A3">
        <v>2021</v>
      </c>
      <c r="B3" t="s">
        <v>81</v>
      </c>
      <c r="C3">
        <v>56</v>
      </c>
      <c r="D3">
        <v>4.3</v>
      </c>
      <c r="E3">
        <v>3.5</v>
      </c>
      <c r="F3">
        <v>5.6</v>
      </c>
      <c r="G3" s="14">
        <f>(Table4[[#This Row],[Crude_Oil_Price]]-C2)/C2</f>
        <v>3.7037037037037035E-2</v>
      </c>
      <c r="H3" s="14">
        <f>(Table4[[#This Row],[Fuel_Inflation]]-D2)/D2</f>
        <v>4.8780487804878099E-2</v>
      </c>
      <c r="I3" s="14">
        <f>(Table4[[#This Row],[Transport_Inflation]]-E2)/E2</f>
        <v>9.3749999999999944E-2</v>
      </c>
      <c r="J3" s="14">
        <f>(Table4[[#This Row],[Food_Inflation]]-F2)/F2</f>
        <v>1.8181818181818118E-2</v>
      </c>
    </row>
    <row r="4" spans="1:10" x14ac:dyDescent="0.3">
      <c r="A4">
        <v>2021</v>
      </c>
      <c r="B4" t="s">
        <v>82</v>
      </c>
      <c r="C4">
        <v>62</v>
      </c>
      <c r="D4">
        <v>4.8</v>
      </c>
      <c r="E4">
        <v>3.8</v>
      </c>
      <c r="F4">
        <v>5.8</v>
      </c>
      <c r="G4" s="14">
        <f>(Table4[[#This Row],[Crude_Oil_Price]]-C3)/C3</f>
        <v>0.10714285714285714</v>
      </c>
      <c r="H4" s="14">
        <f>(Table4[[#This Row],[Fuel_Inflation]]-D3)/D3</f>
        <v>0.11627906976744186</v>
      </c>
      <c r="I4" s="14">
        <f>(Table4[[#This Row],[Transport_Inflation]]-E3)/E3</f>
        <v>8.571428571428566E-2</v>
      </c>
      <c r="J4" s="14">
        <f>(Table4[[#This Row],[Food_Inflation]]-F3)/F3</f>
        <v>3.5714285714285747E-2</v>
      </c>
    </row>
    <row r="5" spans="1:10" x14ac:dyDescent="0.3">
      <c r="A5">
        <v>2021</v>
      </c>
      <c r="B5" t="s">
        <v>83</v>
      </c>
      <c r="C5">
        <v>65</v>
      </c>
      <c r="D5">
        <v>5</v>
      </c>
      <c r="E5">
        <v>4.2</v>
      </c>
      <c r="F5">
        <v>6.1</v>
      </c>
      <c r="G5" s="14">
        <f>(Table4[[#This Row],[Crude_Oil_Price]]-C4)/C4</f>
        <v>4.8387096774193547E-2</v>
      </c>
      <c r="H5" s="14">
        <f>(Table4[[#This Row],[Fuel_Inflation]]-D4)/D4</f>
        <v>4.1666666666666706E-2</v>
      </c>
      <c r="I5" s="14">
        <f>(Table4[[#This Row],[Transport_Inflation]]-E4)/E4</f>
        <v>0.10526315789473695</v>
      </c>
      <c r="J5" s="14">
        <f>(Table4[[#This Row],[Food_Inflation]]-F4)/F4</f>
        <v>5.1724137931034454E-2</v>
      </c>
    </row>
    <row r="6" spans="1:10" x14ac:dyDescent="0.3">
      <c r="A6">
        <v>2021</v>
      </c>
      <c r="B6" t="s">
        <v>37</v>
      </c>
      <c r="C6">
        <v>68</v>
      </c>
      <c r="D6">
        <v>5.4</v>
      </c>
      <c r="E6">
        <v>4.5</v>
      </c>
      <c r="F6">
        <v>6.3</v>
      </c>
      <c r="G6" s="14">
        <f>(Table4[[#This Row],[Crude_Oil_Price]]-C5)/C5</f>
        <v>4.6153846153846156E-2</v>
      </c>
      <c r="H6" s="14">
        <f>(Table4[[#This Row],[Fuel_Inflation]]-D5)/D5</f>
        <v>8.0000000000000071E-2</v>
      </c>
      <c r="I6" s="14">
        <f>(Table4[[#This Row],[Transport_Inflation]]-E5)/E5</f>
        <v>7.1428571428571383E-2</v>
      </c>
      <c r="J6" s="14">
        <f>(Table4[[#This Row],[Food_Inflation]]-F5)/F5</f>
        <v>3.2786885245901669E-2</v>
      </c>
    </row>
    <row r="7" spans="1:10" x14ac:dyDescent="0.3">
      <c r="A7">
        <v>2021</v>
      </c>
      <c r="B7" t="s">
        <v>84</v>
      </c>
      <c r="C7">
        <v>70</v>
      </c>
      <c r="D7">
        <v>5.8</v>
      </c>
      <c r="E7">
        <v>4.9000000000000004</v>
      </c>
      <c r="F7">
        <v>6.4</v>
      </c>
      <c r="G7" s="14">
        <f>(Table4[[#This Row],[Crude_Oil_Price]]-C6)/C6</f>
        <v>2.9411764705882353E-2</v>
      </c>
      <c r="H7" s="14">
        <f>(Table4[[#This Row],[Fuel_Inflation]]-D6)/D6</f>
        <v>7.4074074074073973E-2</v>
      </c>
      <c r="I7" s="14">
        <f>(Table4[[#This Row],[Transport_Inflation]]-E6)/E6</f>
        <v>8.8888888888888962E-2</v>
      </c>
      <c r="J7" s="14">
        <f>(Table4[[#This Row],[Food_Inflation]]-F6)/F6</f>
        <v>1.5873015873015959E-2</v>
      </c>
    </row>
    <row r="8" spans="1:10" x14ac:dyDescent="0.3">
      <c r="A8">
        <v>2021</v>
      </c>
      <c r="B8" t="s">
        <v>85</v>
      </c>
      <c r="C8">
        <v>73</v>
      </c>
      <c r="D8">
        <v>6</v>
      </c>
      <c r="E8">
        <v>5.2</v>
      </c>
      <c r="F8">
        <v>6.7</v>
      </c>
      <c r="G8" s="14">
        <f>(Table4[[#This Row],[Crude_Oil_Price]]-C7)/C7</f>
        <v>4.2857142857142858E-2</v>
      </c>
      <c r="H8" s="14">
        <f>(Table4[[#This Row],[Fuel_Inflation]]-D7)/D7</f>
        <v>3.4482758620689689E-2</v>
      </c>
      <c r="I8" s="14">
        <f>(Table4[[#This Row],[Transport_Inflation]]-E7)/E7</f>
        <v>6.1224489795918324E-2</v>
      </c>
      <c r="J8" s="14">
        <f>(Table4[[#This Row],[Food_Inflation]]-F7)/F7</f>
        <v>4.6874999999999972E-2</v>
      </c>
    </row>
    <row r="9" spans="1:10" x14ac:dyDescent="0.3">
      <c r="A9">
        <v>2021</v>
      </c>
      <c r="B9" t="s">
        <v>86</v>
      </c>
      <c r="C9">
        <v>71</v>
      </c>
      <c r="D9">
        <v>5.7</v>
      </c>
      <c r="E9">
        <v>4.8</v>
      </c>
      <c r="F9">
        <v>6.6</v>
      </c>
      <c r="G9" s="14">
        <f>(Table4[[#This Row],[Crude_Oil_Price]]-C8)/C8</f>
        <v>-2.7397260273972601E-2</v>
      </c>
      <c r="H9" s="14">
        <f>(Table4[[#This Row],[Fuel_Inflation]]-D8)/D8</f>
        <v>-4.9999999999999968E-2</v>
      </c>
      <c r="I9" s="14">
        <f>(Table4[[#This Row],[Transport_Inflation]]-E8)/E8</f>
        <v>-7.6923076923076983E-2</v>
      </c>
      <c r="J9" s="14">
        <f>(Table4[[#This Row],[Food_Inflation]]-F8)/F8</f>
        <v>-1.4925373134328438E-2</v>
      </c>
    </row>
    <row r="10" spans="1:10" x14ac:dyDescent="0.3">
      <c r="A10">
        <v>2021</v>
      </c>
      <c r="B10" t="s">
        <v>87</v>
      </c>
      <c r="C10">
        <v>72</v>
      </c>
      <c r="D10">
        <v>5.9</v>
      </c>
      <c r="E10">
        <v>5</v>
      </c>
      <c r="F10">
        <v>6.5</v>
      </c>
      <c r="G10" s="14">
        <f>(Table4[[#This Row],[Crude_Oil_Price]]-C9)/C9</f>
        <v>1.4084507042253521E-2</v>
      </c>
      <c r="H10" s="14">
        <f>(Table4[[#This Row],[Fuel_Inflation]]-D9)/D9</f>
        <v>3.5087719298245647E-2</v>
      </c>
      <c r="I10" s="14">
        <f>(Table4[[#This Row],[Transport_Inflation]]-E9)/E9</f>
        <v>4.1666666666666706E-2</v>
      </c>
      <c r="J10" s="14">
        <f>(Table4[[#This Row],[Food_Inflation]]-F9)/F9</f>
        <v>-1.5151515151515098E-2</v>
      </c>
    </row>
    <row r="11" spans="1:10" x14ac:dyDescent="0.3">
      <c r="A11">
        <v>2021</v>
      </c>
      <c r="B11" t="s">
        <v>88</v>
      </c>
      <c r="C11">
        <v>75</v>
      </c>
      <c r="D11">
        <v>6.3</v>
      </c>
      <c r="E11">
        <v>5.4</v>
      </c>
      <c r="F11">
        <v>6.8</v>
      </c>
      <c r="G11" s="14">
        <f>(Table4[[#This Row],[Crude_Oil_Price]]-C10)/C10</f>
        <v>4.1666666666666664E-2</v>
      </c>
      <c r="H11" s="14">
        <f>(Table4[[#This Row],[Fuel_Inflation]]-D10)/D10</f>
        <v>6.7796610169491428E-2</v>
      </c>
      <c r="I11" s="14">
        <f>(Table4[[#This Row],[Transport_Inflation]]-E10)/E10</f>
        <v>8.0000000000000071E-2</v>
      </c>
      <c r="J11" s="14">
        <f>(Table4[[#This Row],[Food_Inflation]]-F10)/F10</f>
        <v>4.6153846153846129E-2</v>
      </c>
    </row>
    <row r="12" spans="1:10" x14ac:dyDescent="0.3">
      <c r="A12">
        <v>2021</v>
      </c>
      <c r="B12" t="s">
        <v>89</v>
      </c>
      <c r="C12">
        <v>77</v>
      </c>
      <c r="D12">
        <v>6.6</v>
      </c>
      <c r="E12">
        <v>5.7</v>
      </c>
      <c r="F12">
        <v>7</v>
      </c>
      <c r="G12" s="14">
        <f>(Table4[[#This Row],[Crude_Oil_Price]]-C11)/C11</f>
        <v>2.6666666666666668E-2</v>
      </c>
      <c r="H12" s="14">
        <f>(Table4[[#This Row],[Fuel_Inflation]]-D11)/D11</f>
        <v>4.7619047619047596E-2</v>
      </c>
      <c r="I12" s="14">
        <f>(Table4[[#This Row],[Transport_Inflation]]-E11)/E11</f>
        <v>5.5555555555555518E-2</v>
      </c>
      <c r="J12" s="14">
        <f>(Table4[[#This Row],[Food_Inflation]]-F11)/F11</f>
        <v>2.941176470588238E-2</v>
      </c>
    </row>
    <row r="13" spans="1:10" x14ac:dyDescent="0.3">
      <c r="A13">
        <v>2021</v>
      </c>
      <c r="B13" t="s">
        <v>90</v>
      </c>
      <c r="C13">
        <v>79</v>
      </c>
      <c r="D13">
        <v>6.9</v>
      </c>
      <c r="E13">
        <v>6</v>
      </c>
      <c r="F13">
        <v>7.2</v>
      </c>
      <c r="G13" s="14">
        <f>(Table4[[#This Row],[Crude_Oil_Price]]-C12)/C12</f>
        <v>2.5974025974025976E-2</v>
      </c>
      <c r="H13" s="14">
        <f>(Table4[[#This Row],[Fuel_Inflation]]-D12)/D12</f>
        <v>4.5454545454545567E-2</v>
      </c>
      <c r="I13" s="14">
        <f>(Table4[[#This Row],[Transport_Inflation]]-E12)/E12</f>
        <v>5.263157894736839E-2</v>
      </c>
      <c r="J13" s="14">
        <f>(Table4[[#This Row],[Food_Inflation]]-F12)/F12</f>
        <v>2.8571428571428598E-2</v>
      </c>
    </row>
    <row r="14" spans="1:10" x14ac:dyDescent="0.3">
      <c r="A14">
        <v>2022</v>
      </c>
      <c r="B14" t="s">
        <v>80</v>
      </c>
      <c r="C14">
        <v>81</v>
      </c>
      <c r="D14">
        <v>7.1</v>
      </c>
      <c r="E14">
        <v>6.2</v>
      </c>
      <c r="F14">
        <v>7.5</v>
      </c>
      <c r="G14" s="14">
        <f>(Table4[[#This Row],[Crude_Oil_Price]]-C13)/C13</f>
        <v>2.5316455696202531E-2</v>
      </c>
      <c r="H14" s="14">
        <f>(Table4[[#This Row],[Fuel_Inflation]]-D13)/D13</f>
        <v>2.8985507246376708E-2</v>
      </c>
      <c r="I14" s="14">
        <f>(Table4[[#This Row],[Transport_Inflation]]-E13)/E13</f>
        <v>3.3333333333333361E-2</v>
      </c>
      <c r="J14" s="14">
        <f>(Table4[[#This Row],[Food_Inflation]]-F13)/F13</f>
        <v>4.1666666666666644E-2</v>
      </c>
    </row>
    <row r="15" spans="1:10" x14ac:dyDescent="0.3">
      <c r="A15">
        <v>2022</v>
      </c>
      <c r="B15" t="s">
        <v>81</v>
      </c>
      <c r="C15">
        <v>84</v>
      </c>
      <c r="D15">
        <v>7.4</v>
      </c>
      <c r="E15">
        <v>6.7</v>
      </c>
      <c r="F15">
        <v>7.8</v>
      </c>
      <c r="G15" s="14">
        <f>(Table4[[#This Row],[Crude_Oil_Price]]-C14)/C14</f>
        <v>3.7037037037037035E-2</v>
      </c>
      <c r="H15" s="14">
        <f>(Table4[[#This Row],[Fuel_Inflation]]-D14)/D14</f>
        <v>4.2253521126760667E-2</v>
      </c>
      <c r="I15" s="14">
        <f>(Table4[[#This Row],[Transport_Inflation]]-E14)/E14</f>
        <v>8.0645161290322578E-2</v>
      </c>
      <c r="J15" s="14">
        <f>(Table4[[#This Row],[Food_Inflation]]-F14)/F14</f>
        <v>3.9999999999999973E-2</v>
      </c>
    </row>
    <row r="16" spans="1:10" x14ac:dyDescent="0.3">
      <c r="A16">
        <v>2022</v>
      </c>
      <c r="B16" t="s">
        <v>82</v>
      </c>
      <c r="C16">
        <v>92</v>
      </c>
      <c r="D16">
        <v>8</v>
      </c>
      <c r="E16">
        <v>7.3</v>
      </c>
      <c r="F16">
        <v>8.1999999999999993</v>
      </c>
      <c r="G16" s="14">
        <f>(Table4[[#This Row],[Crude_Oil_Price]]-C15)/C15</f>
        <v>9.5238095238095233E-2</v>
      </c>
      <c r="H16" s="14">
        <f>(Table4[[#This Row],[Fuel_Inflation]]-D15)/D15</f>
        <v>8.108108108108103E-2</v>
      </c>
      <c r="I16" s="14">
        <f>(Table4[[#This Row],[Transport_Inflation]]-E15)/E15</f>
        <v>8.9552238805970089E-2</v>
      </c>
      <c r="J16" s="14">
        <f>(Table4[[#This Row],[Food_Inflation]]-F15)/F15</f>
        <v>5.1282051282051218E-2</v>
      </c>
    </row>
    <row r="17" spans="1:10" x14ac:dyDescent="0.3">
      <c r="A17">
        <v>2022</v>
      </c>
      <c r="B17" t="s">
        <v>83</v>
      </c>
      <c r="C17">
        <v>105</v>
      </c>
      <c r="D17">
        <v>8.8000000000000007</v>
      </c>
      <c r="E17">
        <v>8</v>
      </c>
      <c r="F17">
        <v>8.6</v>
      </c>
      <c r="G17" s="14">
        <f>(Table4[[#This Row],[Crude_Oil_Price]]-C16)/C16</f>
        <v>0.14130434782608695</v>
      </c>
      <c r="H17" s="14">
        <f>(Table4[[#This Row],[Fuel_Inflation]]-D16)/D16</f>
        <v>0.10000000000000009</v>
      </c>
      <c r="I17" s="14">
        <f>(Table4[[#This Row],[Transport_Inflation]]-E16)/E16</f>
        <v>9.5890410958904132E-2</v>
      </c>
      <c r="J17" s="14">
        <f>(Table4[[#This Row],[Food_Inflation]]-F16)/F16</f>
        <v>4.8780487804878099E-2</v>
      </c>
    </row>
    <row r="18" spans="1:10" x14ac:dyDescent="0.3">
      <c r="A18">
        <v>2022</v>
      </c>
      <c r="B18" t="s">
        <v>37</v>
      </c>
      <c r="C18">
        <v>110</v>
      </c>
      <c r="D18">
        <v>9.1</v>
      </c>
      <c r="E18">
        <v>8.4</v>
      </c>
      <c r="F18">
        <v>8.8000000000000007</v>
      </c>
      <c r="G18" s="14">
        <f>(Table4[[#This Row],[Crude_Oil_Price]]-C17)/C17</f>
        <v>4.7619047619047616E-2</v>
      </c>
      <c r="H18" s="14">
        <f>(Table4[[#This Row],[Fuel_Inflation]]-D17)/D17</f>
        <v>3.409090909090897E-2</v>
      </c>
      <c r="I18" s="14">
        <f>(Table4[[#This Row],[Transport_Inflation]]-E17)/E17</f>
        <v>5.0000000000000044E-2</v>
      </c>
      <c r="J18" s="14">
        <f>(Table4[[#This Row],[Food_Inflation]]-F17)/F17</f>
        <v>2.3255813953488497E-2</v>
      </c>
    </row>
    <row r="19" spans="1:10" x14ac:dyDescent="0.3">
      <c r="A19">
        <v>2022</v>
      </c>
      <c r="B19" t="s">
        <v>84</v>
      </c>
      <c r="C19">
        <v>115</v>
      </c>
      <c r="D19">
        <v>9.3000000000000007</v>
      </c>
      <c r="E19">
        <v>8.6999999999999993</v>
      </c>
      <c r="F19">
        <v>8.6999999999999993</v>
      </c>
      <c r="G19" s="14">
        <f>(Table4[[#This Row],[Crude_Oil_Price]]-C18)/C18</f>
        <v>4.5454545454545456E-2</v>
      </c>
      <c r="H19" s="14">
        <f>(Table4[[#This Row],[Fuel_Inflation]]-D18)/D18</f>
        <v>2.1978021978022098E-2</v>
      </c>
      <c r="I19" s="14">
        <f>(Table4[[#This Row],[Transport_Inflation]]-E18)/E18</f>
        <v>3.5714285714285587E-2</v>
      </c>
      <c r="J19" s="14">
        <f>(Table4[[#This Row],[Food_Inflation]]-F18)/F18</f>
        <v>-1.1363636363636524E-2</v>
      </c>
    </row>
    <row r="20" spans="1:10" x14ac:dyDescent="0.3">
      <c r="A20">
        <v>2022</v>
      </c>
      <c r="B20" t="s">
        <v>85</v>
      </c>
      <c r="C20">
        <v>108</v>
      </c>
      <c r="D20">
        <v>8.9</v>
      </c>
      <c r="E20">
        <v>8.1</v>
      </c>
      <c r="F20">
        <v>8.4</v>
      </c>
      <c r="G20" s="14">
        <f>(Table4[[#This Row],[Crude_Oil_Price]]-C19)/C19</f>
        <v>-6.0869565217391307E-2</v>
      </c>
      <c r="H20" s="14">
        <f>(Table4[[#This Row],[Fuel_Inflation]]-D19)/D19</f>
        <v>-4.3010752688172081E-2</v>
      </c>
      <c r="I20" s="14">
        <f>(Table4[[#This Row],[Transport_Inflation]]-E19)/E19</f>
        <v>-6.8965517241379282E-2</v>
      </c>
      <c r="J20" s="14">
        <f>(Table4[[#This Row],[Food_Inflation]]-F19)/F19</f>
        <v>-3.4482758620689537E-2</v>
      </c>
    </row>
    <row r="21" spans="1:10" x14ac:dyDescent="0.3">
      <c r="A21">
        <v>2022</v>
      </c>
      <c r="B21" t="s">
        <v>86</v>
      </c>
      <c r="C21">
        <v>102</v>
      </c>
      <c r="D21">
        <v>8.1999999999999993</v>
      </c>
      <c r="E21">
        <v>7.5</v>
      </c>
      <c r="F21">
        <v>8.1</v>
      </c>
      <c r="G21" s="14">
        <f>(Table4[[#This Row],[Crude_Oil_Price]]-C20)/C20</f>
        <v>-5.5555555555555552E-2</v>
      </c>
      <c r="H21" s="14">
        <f>(Table4[[#This Row],[Fuel_Inflation]]-D20)/D20</f>
        <v>-7.865168539325855E-2</v>
      </c>
      <c r="I21" s="14">
        <f>(Table4[[#This Row],[Transport_Inflation]]-E20)/E20</f>
        <v>-7.4074074074074028E-2</v>
      </c>
      <c r="J21" s="14">
        <f>(Table4[[#This Row],[Food_Inflation]]-F20)/F20</f>
        <v>-3.5714285714285796E-2</v>
      </c>
    </row>
    <row r="22" spans="1:10" x14ac:dyDescent="0.3">
      <c r="A22">
        <v>2022</v>
      </c>
      <c r="B22" t="s">
        <v>87</v>
      </c>
      <c r="C22">
        <v>96</v>
      </c>
      <c r="D22">
        <v>7.7</v>
      </c>
      <c r="E22">
        <v>7</v>
      </c>
      <c r="F22">
        <v>7.9</v>
      </c>
      <c r="G22" s="14">
        <f>(Table4[[#This Row],[Crude_Oil_Price]]-C21)/C21</f>
        <v>-5.8823529411764705E-2</v>
      </c>
      <c r="H22" s="14">
        <f>(Table4[[#This Row],[Fuel_Inflation]]-D21)/D21</f>
        <v>-6.0975609756097456E-2</v>
      </c>
      <c r="I22" s="14">
        <f>(Table4[[#This Row],[Transport_Inflation]]-E21)/E21</f>
        <v>-6.6666666666666666E-2</v>
      </c>
      <c r="J22" s="14">
        <f>(Table4[[#This Row],[Food_Inflation]]-F21)/F21</f>
        <v>-2.469135802469127E-2</v>
      </c>
    </row>
    <row r="23" spans="1:10" x14ac:dyDescent="0.3">
      <c r="A23">
        <v>2022</v>
      </c>
      <c r="B23" t="s">
        <v>88</v>
      </c>
      <c r="C23">
        <v>88</v>
      </c>
      <c r="D23">
        <v>7.1</v>
      </c>
      <c r="E23">
        <v>6.4</v>
      </c>
      <c r="F23">
        <v>7.6</v>
      </c>
      <c r="G23" s="14">
        <f>(Table4[[#This Row],[Crude_Oil_Price]]-C22)/C22</f>
        <v>-8.3333333333333329E-2</v>
      </c>
      <c r="H23" s="14">
        <f>(Table4[[#This Row],[Fuel_Inflation]]-D22)/D22</f>
        <v>-7.792207792207799E-2</v>
      </c>
      <c r="I23" s="14">
        <f>(Table4[[#This Row],[Transport_Inflation]]-E22)/E22</f>
        <v>-8.571428571428566E-2</v>
      </c>
      <c r="J23" s="14">
        <f>(Table4[[#This Row],[Food_Inflation]]-F22)/F22</f>
        <v>-3.7974683544303889E-2</v>
      </c>
    </row>
    <row r="24" spans="1:10" x14ac:dyDescent="0.3">
      <c r="A24">
        <v>2022</v>
      </c>
      <c r="B24" t="s">
        <v>89</v>
      </c>
      <c r="C24">
        <v>82</v>
      </c>
      <c r="D24">
        <v>6.8</v>
      </c>
      <c r="E24">
        <v>6.1</v>
      </c>
      <c r="F24">
        <v>7.4</v>
      </c>
      <c r="G24" s="14">
        <f>(Table4[[#This Row],[Crude_Oil_Price]]-C23)/C23</f>
        <v>-6.8181818181818177E-2</v>
      </c>
      <c r="H24" s="14">
        <f>(Table4[[#This Row],[Fuel_Inflation]]-D23)/D23</f>
        <v>-4.2253521126760542E-2</v>
      </c>
      <c r="I24" s="14">
        <f>(Table4[[#This Row],[Transport_Inflation]]-E23)/E23</f>
        <v>-4.6875000000000111E-2</v>
      </c>
      <c r="J24" s="14">
        <f>(Table4[[#This Row],[Food_Inflation]]-F23)/F23</f>
        <v>-2.6315789473684119E-2</v>
      </c>
    </row>
    <row r="25" spans="1:10" x14ac:dyDescent="0.3">
      <c r="A25">
        <v>2022</v>
      </c>
      <c r="B25" t="s">
        <v>90</v>
      </c>
      <c r="C25">
        <v>80</v>
      </c>
      <c r="D25">
        <v>6.6</v>
      </c>
      <c r="E25">
        <v>5.9</v>
      </c>
      <c r="F25">
        <v>7.3</v>
      </c>
      <c r="G25" s="14">
        <f>(Table4[[#This Row],[Crude_Oil_Price]]-C24)/C24</f>
        <v>-2.4390243902439025E-2</v>
      </c>
      <c r="H25" s="14">
        <f>(Table4[[#This Row],[Fuel_Inflation]]-D24)/D24</f>
        <v>-2.941176470588238E-2</v>
      </c>
      <c r="I25" s="14">
        <f>(Table4[[#This Row],[Transport_Inflation]]-E24)/E24</f>
        <v>-3.2786885245901523E-2</v>
      </c>
      <c r="J25" s="14">
        <f>(Table4[[#This Row],[Food_Inflation]]-F24)/F24</f>
        <v>-1.3513513513513585E-2</v>
      </c>
    </row>
    <row r="26" spans="1:10" x14ac:dyDescent="0.3">
      <c r="A26">
        <v>2023</v>
      </c>
      <c r="B26" t="s">
        <v>80</v>
      </c>
      <c r="C26">
        <v>82</v>
      </c>
      <c r="D26">
        <v>6.7</v>
      </c>
      <c r="E26">
        <v>6</v>
      </c>
      <c r="F26">
        <v>7.4</v>
      </c>
      <c r="G26" s="14">
        <f>(Table4[[#This Row],[Crude_Oil_Price]]-C25)/C25</f>
        <v>2.5000000000000001E-2</v>
      </c>
      <c r="H26" s="14">
        <f>(Table4[[#This Row],[Fuel_Inflation]]-D25)/D25</f>
        <v>1.5151515151515233E-2</v>
      </c>
      <c r="I26" s="14">
        <f>(Table4[[#This Row],[Transport_Inflation]]-E25)/E25</f>
        <v>1.6949152542372819E-2</v>
      </c>
      <c r="J26" s="14">
        <f>(Table4[[#This Row],[Food_Inflation]]-F25)/F25</f>
        <v>1.3698630136986375E-2</v>
      </c>
    </row>
    <row r="27" spans="1:10" x14ac:dyDescent="0.3">
      <c r="A27">
        <v>2023</v>
      </c>
      <c r="B27" t="s">
        <v>81</v>
      </c>
      <c r="C27">
        <v>85</v>
      </c>
      <c r="D27">
        <v>6.9</v>
      </c>
      <c r="E27">
        <v>6.3</v>
      </c>
      <c r="F27">
        <v>7.5</v>
      </c>
      <c r="G27" s="14">
        <f>(Table4[[#This Row],[Crude_Oil_Price]]-C26)/C26</f>
        <v>3.6585365853658534E-2</v>
      </c>
      <c r="H27" s="14">
        <f>(Table4[[#This Row],[Fuel_Inflation]]-D26)/D26</f>
        <v>2.9850746268656744E-2</v>
      </c>
      <c r="I27" s="14">
        <f>(Table4[[#This Row],[Transport_Inflation]]-E26)/E26</f>
        <v>4.9999999999999968E-2</v>
      </c>
      <c r="J27" s="14">
        <f>(Table4[[#This Row],[Food_Inflation]]-F26)/F26</f>
        <v>1.3513513513513466E-2</v>
      </c>
    </row>
    <row r="28" spans="1:10" x14ac:dyDescent="0.3">
      <c r="A28">
        <v>2023</v>
      </c>
      <c r="B28" t="s">
        <v>82</v>
      </c>
      <c r="C28">
        <v>83</v>
      </c>
      <c r="D28">
        <v>6.8</v>
      </c>
      <c r="E28">
        <v>6.1</v>
      </c>
      <c r="F28">
        <v>7.3</v>
      </c>
      <c r="G28" s="14">
        <f>(Table4[[#This Row],[Crude_Oil_Price]]-C27)/C27</f>
        <v>-2.3529411764705882E-2</v>
      </c>
      <c r="H28" s="14">
        <f>(Table4[[#This Row],[Fuel_Inflation]]-D27)/D27</f>
        <v>-1.4492753623188482E-2</v>
      </c>
      <c r="I28" s="14">
        <f>(Table4[[#This Row],[Transport_Inflation]]-E27)/E27</f>
        <v>-3.1746031746031772E-2</v>
      </c>
      <c r="J28" s="14">
        <f>(Table4[[#This Row],[Food_Inflation]]-F27)/F27</f>
        <v>-2.6666666666666689E-2</v>
      </c>
    </row>
    <row r="29" spans="1:10" x14ac:dyDescent="0.3">
      <c r="A29">
        <v>2023</v>
      </c>
      <c r="B29" t="s">
        <v>83</v>
      </c>
      <c r="C29">
        <v>87</v>
      </c>
      <c r="D29">
        <v>7</v>
      </c>
      <c r="E29">
        <v>6.4</v>
      </c>
      <c r="F29">
        <v>7.6</v>
      </c>
      <c r="G29" s="14">
        <f>(Table4[[#This Row],[Crude_Oil_Price]]-C28)/C28</f>
        <v>4.8192771084337352E-2</v>
      </c>
      <c r="H29" s="14">
        <f>(Table4[[#This Row],[Fuel_Inflation]]-D28)/D28</f>
        <v>2.941176470588238E-2</v>
      </c>
      <c r="I29" s="14">
        <f>(Table4[[#This Row],[Transport_Inflation]]-E28)/E28</f>
        <v>4.9180327868852576E-2</v>
      </c>
      <c r="J29" s="14">
        <f>(Table4[[#This Row],[Food_Inflation]]-F28)/F28</f>
        <v>4.1095890410958881E-2</v>
      </c>
    </row>
    <row r="32" spans="1:10" x14ac:dyDescent="0.3">
      <c r="A32" t="s">
        <v>92</v>
      </c>
      <c r="B32" t="s">
        <v>93</v>
      </c>
    </row>
    <row r="33" spans="1:5" x14ac:dyDescent="0.3">
      <c r="A33" t="s">
        <v>73</v>
      </c>
      <c r="B33" s="45">
        <f>CORREL(G3:G29,H3:H29)</f>
        <v>0.92974830464166736</v>
      </c>
    </row>
    <row r="34" spans="1:5" x14ac:dyDescent="0.3">
      <c r="A34" t="s">
        <v>74</v>
      </c>
      <c r="B34" s="45">
        <f>CORREL(G3:G29,I3:I29)</f>
        <v>0.89219488919367762</v>
      </c>
    </row>
    <row r="35" spans="1:5" x14ac:dyDescent="0.3">
      <c r="A35" t="s">
        <v>75</v>
      </c>
      <c r="B35" s="45">
        <f>CORREL(G3:G29,J3:J29)</f>
        <v>0.85137280313052188</v>
      </c>
    </row>
    <row r="39" spans="1:5" x14ac:dyDescent="0.3">
      <c r="A39" s="17" t="s">
        <v>94</v>
      </c>
      <c r="B39" s="5" t="s">
        <v>95</v>
      </c>
      <c r="C39" s="5" t="s">
        <v>96</v>
      </c>
      <c r="D39" s="5" t="s">
        <v>97</v>
      </c>
      <c r="E39" s="5" t="s">
        <v>98</v>
      </c>
    </row>
    <row r="40" spans="1:5" x14ac:dyDescent="0.3">
      <c r="A40" s="5">
        <v>2021</v>
      </c>
      <c r="B40" s="5">
        <v>5.5666666666666673</v>
      </c>
      <c r="C40" s="5">
        <v>4.6833333333333336</v>
      </c>
      <c r="D40" s="5">
        <v>6.3750000000000009</v>
      </c>
      <c r="E40" s="5">
        <v>68.5</v>
      </c>
    </row>
    <row r="41" spans="1:5" x14ac:dyDescent="0.3">
      <c r="A41" s="5">
        <v>2022</v>
      </c>
      <c r="B41" s="5">
        <v>7.9166666666666652</v>
      </c>
      <c r="C41" s="5">
        <v>7.1916666666666673</v>
      </c>
      <c r="D41" s="5">
        <v>8.0250000000000004</v>
      </c>
      <c r="E41" s="5">
        <v>95.25</v>
      </c>
    </row>
    <row r="42" spans="1:5" x14ac:dyDescent="0.3">
      <c r="A42" s="5">
        <v>2023</v>
      </c>
      <c r="B42" s="5">
        <v>6.8500000000000005</v>
      </c>
      <c r="C42" s="5">
        <v>6.1999999999999993</v>
      </c>
      <c r="D42" s="5">
        <v>7.4499999999999993</v>
      </c>
      <c r="E42" s="5">
        <v>84.25</v>
      </c>
    </row>
    <row r="43" spans="1:5" x14ac:dyDescent="0.3">
      <c r="A43" s="5" t="s">
        <v>99</v>
      </c>
      <c r="B43" s="5">
        <v>6.7571428571428571</v>
      </c>
      <c r="C43" s="5">
        <v>5.9750000000000005</v>
      </c>
      <c r="D43" s="5">
        <v>7.2357142857142867</v>
      </c>
      <c r="E43" s="5">
        <v>82.214285714285708</v>
      </c>
    </row>
    <row r="65" spans="1:6" ht="12.6" customHeight="1" x14ac:dyDescent="0.3">
      <c r="A65" t="s">
        <v>100</v>
      </c>
    </row>
    <row r="66" spans="1:6" hidden="1" x14ac:dyDescent="0.3">
      <c r="A66" s="39"/>
    </row>
    <row r="67" spans="1:6" ht="133.80000000000001" customHeight="1" x14ac:dyDescent="0.3">
      <c r="A67" s="34" t="s">
        <v>152</v>
      </c>
      <c r="B67" s="34" t="s">
        <v>153</v>
      </c>
      <c r="C67" s="33" t="s">
        <v>154</v>
      </c>
      <c r="D67" s="33" t="s">
        <v>155</v>
      </c>
      <c r="E67" s="33" t="s">
        <v>156</v>
      </c>
      <c r="F67" s="33" t="s">
        <v>157</v>
      </c>
    </row>
  </sheetData>
  <pageMargins left="0.7" right="0.7" top="0.75" bottom="0.75" header="0.3" footer="0.3"/>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688F51-C2F8-48FA-BD28-79F6AF19FE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BROADER CATEGORIES</vt:lpstr>
      <vt:lpstr>BROADER CATEGORY SOL</vt:lpstr>
      <vt:lpstr>Y-O-Y HIGHER INF RATE</vt:lpstr>
      <vt:lpstr>M-O-M HIGH &amp; LOW INF</vt:lpstr>
      <vt:lpstr>PRE VS POST COVID INF</vt:lpstr>
      <vt:lpstr>Oil Inflation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Bohra</dc:creator>
  <cp:lastModifiedBy>Ayush Bohra</cp:lastModifiedBy>
  <cp:lastPrinted>2025-06-11T08:48:47Z</cp:lastPrinted>
  <dcterms:created xsi:type="dcterms:W3CDTF">2025-06-06T07:20:00Z</dcterms:created>
  <dcterms:modified xsi:type="dcterms:W3CDTF">2026-04-25T04:37:55Z</dcterms:modified>
</cp:coreProperties>
</file>